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63E851-2075-46B1-952F-4CFCD4B811D6}" xr6:coauthVersionLast="47" xr6:coauthVersionMax="47" xr10:uidLastSave="{00000000-0000-0000-0000-000000000000}"/>
  <bookViews>
    <workbookView xWindow="-90" yWindow="0" windowWidth="12980" windowHeight="16090" tabRatio="500" activeTab="1" xr2:uid="{00000000-000D-0000-FFFF-FFFF00000000}"/>
  </bookViews>
  <sheets>
    <sheet name="RINGKASAN" sheetId="1" r:id="rId1"/>
    <sheet name="FCC" sheetId="2" r:id="rId2"/>
    <sheet name="UU" sheetId="3" r:id="rId3"/>
    <sheet name="UO" sheetId="4" r:id="rId4"/>
    <sheet name="LAIN-LAIN" sheetId="5" r:id="rId5"/>
    <sheet name="CEM-CEM ORI" sheetId="6" r:id="rId6"/>
    <sheet name="CEM-CEM BBQ" sheetId="7" r:id="rId7"/>
    <sheet name="KOPERASI" sheetId="8" r:id="rId8"/>
    <sheet name="MCH BASRENG L0" sheetId="9" r:id="rId9"/>
    <sheet name="MCH BASRENG L5" sheetId="10" r:id="rId10"/>
    <sheet name="MCH BASRENG L10" sheetId="11" r:id="rId11"/>
    <sheet name="MCH KERIPIK LV3" sheetId="12" r:id="rId12"/>
    <sheet name="MCH KERIPIK LV10" sheetId="13" r:id="rId13"/>
    <sheet name="MCH KERIPIK LV5" sheetId="14" r:id="rId14"/>
    <sheet name="UBI PUTIH ACE" sheetId="15" r:id="rId15"/>
    <sheet name="BIAYA BERSAMA" sheetId="16" r:id="rId16"/>
    <sheet name="REKON &amp; KONTROL" sheetId="17" r:id="rId17"/>
    <sheet name="CEK KEWAJARAN" sheetId="18" r:id="rId18"/>
    <sheet name="BRIDGE GP" sheetId="19" r:id="rId19"/>
    <sheet name="REKON MATERIAL" sheetId="20" r:id="rId20"/>
    <sheet name="REKON PERSEDIAAN" sheetId="21" r:id="rId21"/>
    <sheet name="BUDGET" sheetId="22" r:id="rId22"/>
  </sheets>
  <definedNames>
    <definedName name="_xlnm.Print_Area" localSheetId="1">FCC!$A$1:$M$170</definedName>
    <definedName name="_xlnm.Print_Area" localSheetId="4">'LAIN-LAIN'!$A$1:$L$77</definedName>
    <definedName name="_xlnm.Print_Area" localSheetId="3">UO!$A$1:$M$155</definedName>
    <definedName name="_xlnm.Print_Area" localSheetId="2">UU!$A$1:$M$159</definedName>
    <definedName name="_xlnm.Print_Titles" localSheetId="21">BUDGET!$4:$4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95" i="22" l="1"/>
  <c r="G195" i="22"/>
  <c r="E195" i="22"/>
  <c r="D195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R193" i="22"/>
  <c r="R195" i="22" s="1"/>
  <c r="Q193" i="22"/>
  <c r="Q195" i="22" s="1"/>
  <c r="P193" i="22"/>
  <c r="P195" i="22" s="1"/>
  <c r="O193" i="22"/>
  <c r="O195" i="22" s="1"/>
  <c r="N193" i="22"/>
  <c r="N195" i="22" s="1"/>
  <c r="M193" i="22"/>
  <c r="M195" i="22" s="1"/>
  <c r="L193" i="22"/>
  <c r="L195" i="22" s="1"/>
  <c r="K193" i="22"/>
  <c r="K195" i="22" s="1"/>
  <c r="J193" i="22"/>
  <c r="I193" i="22"/>
  <c r="H193" i="22"/>
  <c r="H195" i="22" s="1"/>
  <c r="G193" i="22"/>
  <c r="F193" i="22"/>
  <c r="F195" i="22" s="1"/>
  <c r="E193" i="22"/>
  <c r="D193" i="22"/>
  <c r="C193" i="22"/>
  <c r="C195" i="22" s="1"/>
  <c r="O142" i="22"/>
  <c r="M142" i="22"/>
  <c r="L142" i="22"/>
  <c r="K142" i="22"/>
  <c r="J142" i="22"/>
  <c r="E142" i="22"/>
  <c r="D142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R140" i="22"/>
  <c r="R142" i="22" s="1"/>
  <c r="Q140" i="22"/>
  <c r="Q142" i="22" s="1"/>
  <c r="P140" i="22"/>
  <c r="P142" i="22" s="1"/>
  <c r="O140" i="22"/>
  <c r="N140" i="22"/>
  <c r="N142" i="22" s="1"/>
  <c r="M140" i="22"/>
  <c r="L140" i="22"/>
  <c r="K140" i="22"/>
  <c r="J140" i="22"/>
  <c r="I140" i="22"/>
  <c r="I142" i="22" s="1"/>
  <c r="H140" i="22"/>
  <c r="H142" i="22" s="1"/>
  <c r="G140" i="22"/>
  <c r="G142" i="22" s="1"/>
  <c r="F140" i="22"/>
  <c r="F142" i="22" s="1"/>
  <c r="E140" i="22"/>
  <c r="D140" i="22"/>
  <c r="C140" i="22"/>
  <c r="C142" i="22" s="1"/>
  <c r="M89" i="22"/>
  <c r="L89" i="22"/>
  <c r="K89" i="22"/>
  <c r="F89" i="22"/>
  <c r="E89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R87" i="22"/>
  <c r="R89" i="22" s="1"/>
  <c r="Q87" i="22"/>
  <c r="Q89" i="22" s="1"/>
  <c r="P87" i="22"/>
  <c r="P89" i="22" s="1"/>
  <c r="O87" i="22"/>
  <c r="O89" i="22" s="1"/>
  <c r="N87" i="22"/>
  <c r="N89" i="22" s="1"/>
  <c r="M87" i="22"/>
  <c r="L87" i="22"/>
  <c r="K87" i="22"/>
  <c r="J87" i="22"/>
  <c r="J89" i="22" s="1"/>
  <c r="I87" i="22"/>
  <c r="I89" i="22" s="1"/>
  <c r="H87" i="22"/>
  <c r="H89" i="22" s="1"/>
  <c r="G87" i="22"/>
  <c r="G89" i="22" s="1"/>
  <c r="F87" i="22"/>
  <c r="E87" i="22"/>
  <c r="D87" i="22"/>
  <c r="D89" i="22" s="1"/>
  <c r="C87" i="22"/>
  <c r="C89" i="22" s="1"/>
  <c r="H136" i="21"/>
  <c r="F136" i="21"/>
  <c r="V135" i="21"/>
  <c r="U135" i="21"/>
  <c r="S135" i="21"/>
  <c r="Q135" i="21"/>
  <c r="P135" i="21"/>
  <c r="N135" i="21"/>
  <c r="O135" i="21" s="1"/>
  <c r="V134" i="21"/>
  <c r="U134" i="21"/>
  <c r="S134" i="21"/>
  <c r="Q134" i="21"/>
  <c r="P134" i="21"/>
  <c r="N134" i="21"/>
  <c r="O134" i="21" s="1"/>
  <c r="V133" i="21"/>
  <c r="U133" i="21"/>
  <c r="S133" i="21"/>
  <c r="Q133" i="21"/>
  <c r="P133" i="21"/>
  <c r="N133" i="21"/>
  <c r="O133" i="21" s="1"/>
  <c r="V132" i="21"/>
  <c r="U132" i="21"/>
  <c r="S132" i="21"/>
  <c r="Q132" i="21"/>
  <c r="P132" i="21"/>
  <c r="N132" i="21"/>
  <c r="O132" i="21" s="1"/>
  <c r="V131" i="21"/>
  <c r="U131" i="21"/>
  <c r="S131" i="21"/>
  <c r="Q131" i="21"/>
  <c r="P131" i="21"/>
  <c r="O131" i="21"/>
  <c r="N131" i="21"/>
  <c r="V130" i="21"/>
  <c r="U130" i="21"/>
  <c r="S130" i="21"/>
  <c r="Q130" i="21"/>
  <c r="P130" i="21"/>
  <c r="N130" i="21"/>
  <c r="O130" i="21" s="1"/>
  <c r="V129" i="21"/>
  <c r="U129" i="21"/>
  <c r="S129" i="21"/>
  <c r="Q129" i="21"/>
  <c r="P129" i="21"/>
  <c r="O129" i="21"/>
  <c r="N129" i="21"/>
  <c r="V128" i="21"/>
  <c r="U128" i="21"/>
  <c r="S128" i="21"/>
  <c r="Q128" i="21"/>
  <c r="P128" i="21"/>
  <c r="O128" i="21"/>
  <c r="N128" i="21"/>
  <c r="V127" i="21"/>
  <c r="U127" i="21"/>
  <c r="S127" i="21"/>
  <c r="Q127" i="21"/>
  <c r="P127" i="21"/>
  <c r="O127" i="21"/>
  <c r="N127" i="21"/>
  <c r="V126" i="21"/>
  <c r="U126" i="21"/>
  <c r="S126" i="21"/>
  <c r="Q126" i="21"/>
  <c r="P126" i="21"/>
  <c r="N126" i="21"/>
  <c r="O126" i="21" s="1"/>
  <c r="V125" i="21"/>
  <c r="U125" i="21"/>
  <c r="S125" i="21"/>
  <c r="Q125" i="21"/>
  <c r="P125" i="21"/>
  <c r="O125" i="21"/>
  <c r="N125" i="21"/>
  <c r="V124" i="21"/>
  <c r="U124" i="21"/>
  <c r="S124" i="21"/>
  <c r="Q124" i="21"/>
  <c r="P124" i="21"/>
  <c r="N124" i="21"/>
  <c r="O124" i="21" s="1"/>
  <c r="V123" i="21"/>
  <c r="U123" i="21"/>
  <c r="S123" i="21"/>
  <c r="Q123" i="21"/>
  <c r="P123" i="21"/>
  <c r="O123" i="21"/>
  <c r="N123" i="21"/>
  <c r="V122" i="21"/>
  <c r="U122" i="21"/>
  <c r="S122" i="21"/>
  <c r="Q122" i="21"/>
  <c r="P122" i="21"/>
  <c r="O122" i="21"/>
  <c r="N122" i="21"/>
  <c r="V121" i="21"/>
  <c r="U121" i="21"/>
  <c r="S121" i="21"/>
  <c r="Q121" i="21"/>
  <c r="P121" i="21"/>
  <c r="O121" i="21"/>
  <c r="N121" i="21"/>
  <c r="V120" i="21"/>
  <c r="U120" i="21"/>
  <c r="S120" i="21"/>
  <c r="Q120" i="21"/>
  <c r="P120" i="21"/>
  <c r="O120" i="21"/>
  <c r="N120" i="21"/>
  <c r="V119" i="21"/>
  <c r="U119" i="21"/>
  <c r="S119" i="21"/>
  <c r="Q119" i="21"/>
  <c r="P119" i="21"/>
  <c r="N119" i="21"/>
  <c r="O119" i="21" s="1"/>
  <c r="V118" i="21"/>
  <c r="U118" i="21"/>
  <c r="S118" i="21"/>
  <c r="Q118" i="21"/>
  <c r="P118" i="21"/>
  <c r="N118" i="21"/>
  <c r="O118" i="21" s="1"/>
  <c r="V117" i="21"/>
  <c r="U117" i="21"/>
  <c r="S117" i="21"/>
  <c r="Q117" i="21"/>
  <c r="P117" i="21"/>
  <c r="N117" i="21"/>
  <c r="O117" i="21" s="1"/>
  <c r="V116" i="21"/>
  <c r="U116" i="21"/>
  <c r="S116" i="21"/>
  <c r="Q116" i="21"/>
  <c r="P116" i="21"/>
  <c r="N116" i="21"/>
  <c r="O116" i="21" s="1"/>
  <c r="V115" i="21"/>
  <c r="U115" i="21"/>
  <c r="S115" i="21"/>
  <c r="Q115" i="21"/>
  <c r="P115" i="21"/>
  <c r="O115" i="21"/>
  <c r="N115" i="21"/>
  <c r="U114" i="21"/>
  <c r="S114" i="21"/>
  <c r="P114" i="21"/>
  <c r="V113" i="21"/>
  <c r="U113" i="21"/>
  <c r="S113" i="21"/>
  <c r="Q113" i="21"/>
  <c r="P113" i="21"/>
  <c r="L113" i="21"/>
  <c r="S112" i="21"/>
  <c r="P112" i="21"/>
  <c r="S111" i="21"/>
  <c r="P111" i="21"/>
  <c r="S110" i="21"/>
  <c r="P110" i="21"/>
  <c r="S109" i="21"/>
  <c r="P109" i="21"/>
  <c r="V108" i="21"/>
  <c r="S108" i="21"/>
  <c r="P108" i="21"/>
  <c r="S107" i="21"/>
  <c r="P107" i="21"/>
  <c r="S106" i="21"/>
  <c r="Q106" i="21"/>
  <c r="P106" i="21"/>
  <c r="K106" i="21"/>
  <c r="J106" i="21"/>
  <c r="V106" i="21" s="1"/>
  <c r="V105" i="21"/>
  <c r="S105" i="21"/>
  <c r="P105" i="21"/>
  <c r="J105" i="21"/>
  <c r="S104" i="21"/>
  <c r="Q104" i="21"/>
  <c r="P104" i="21"/>
  <c r="J104" i="21"/>
  <c r="V104" i="21" s="1"/>
  <c r="S103" i="21"/>
  <c r="P103" i="21"/>
  <c r="P102" i="21"/>
  <c r="P101" i="21"/>
  <c r="J101" i="21"/>
  <c r="V101" i="21" s="1"/>
  <c r="S100" i="21"/>
  <c r="P100" i="21"/>
  <c r="S99" i="21"/>
  <c r="P99" i="21"/>
  <c r="S98" i="21"/>
  <c r="P98" i="21"/>
  <c r="S97" i="21"/>
  <c r="P97" i="21"/>
  <c r="S96" i="21"/>
  <c r="P96" i="21"/>
  <c r="S95" i="21"/>
  <c r="P95" i="21"/>
  <c r="S94" i="21"/>
  <c r="P94" i="21"/>
  <c r="S93" i="21"/>
  <c r="P93" i="21"/>
  <c r="K93" i="21"/>
  <c r="P92" i="21"/>
  <c r="V91" i="21"/>
  <c r="U91" i="21"/>
  <c r="S91" i="21"/>
  <c r="Q91" i="21"/>
  <c r="P91" i="21"/>
  <c r="N91" i="21"/>
  <c r="O91" i="21" s="1"/>
  <c r="V90" i="21"/>
  <c r="U90" i="21"/>
  <c r="S90" i="21"/>
  <c r="Q90" i="21"/>
  <c r="P90" i="21"/>
  <c r="N90" i="21"/>
  <c r="O90" i="21" s="1"/>
  <c r="V89" i="21"/>
  <c r="U89" i="21"/>
  <c r="S89" i="21"/>
  <c r="Q89" i="21"/>
  <c r="P89" i="21"/>
  <c r="O89" i="21"/>
  <c r="N89" i="21"/>
  <c r="V88" i="21"/>
  <c r="U88" i="21"/>
  <c r="S88" i="21"/>
  <c r="Q88" i="21"/>
  <c r="P88" i="21"/>
  <c r="O88" i="21"/>
  <c r="N88" i="21"/>
  <c r="V87" i="21"/>
  <c r="U87" i="21"/>
  <c r="S87" i="21"/>
  <c r="Q87" i="21"/>
  <c r="P87" i="21"/>
  <c r="O87" i="21"/>
  <c r="N87" i="21"/>
  <c r="V86" i="21"/>
  <c r="U86" i="21"/>
  <c r="S86" i="21"/>
  <c r="Q86" i="21"/>
  <c r="P86" i="21"/>
  <c r="O86" i="21"/>
  <c r="N86" i="21"/>
  <c r="V85" i="21"/>
  <c r="U85" i="21"/>
  <c r="S85" i="21"/>
  <c r="Q85" i="21"/>
  <c r="P85" i="21"/>
  <c r="O85" i="21"/>
  <c r="N85" i="21"/>
  <c r="V84" i="21"/>
  <c r="U84" i="21"/>
  <c r="S84" i="21"/>
  <c r="Q84" i="21"/>
  <c r="P84" i="21"/>
  <c r="O84" i="21"/>
  <c r="N84" i="21"/>
  <c r="V83" i="21"/>
  <c r="U83" i="21"/>
  <c r="S83" i="21"/>
  <c r="Q83" i="21"/>
  <c r="P83" i="21"/>
  <c r="O83" i="21"/>
  <c r="N83" i="21"/>
  <c r="V82" i="21"/>
  <c r="U82" i="21"/>
  <c r="S82" i="21"/>
  <c r="Q82" i="21"/>
  <c r="P82" i="21"/>
  <c r="O82" i="21"/>
  <c r="N82" i="21"/>
  <c r="V81" i="21"/>
  <c r="U81" i="21"/>
  <c r="S81" i="21"/>
  <c r="Q81" i="21"/>
  <c r="P81" i="21"/>
  <c r="O81" i="21"/>
  <c r="N81" i="21"/>
  <c r="V80" i="21"/>
  <c r="U80" i="21"/>
  <c r="S80" i="21"/>
  <c r="Q80" i="21"/>
  <c r="P80" i="21"/>
  <c r="N80" i="21"/>
  <c r="O80" i="21" s="1"/>
  <c r="V79" i="21"/>
  <c r="U79" i="21"/>
  <c r="S79" i="21"/>
  <c r="Q79" i="21"/>
  <c r="P79" i="21"/>
  <c r="N79" i="21"/>
  <c r="O79" i="21" s="1"/>
  <c r="V78" i="21"/>
  <c r="U78" i="21"/>
  <c r="S78" i="21"/>
  <c r="Q78" i="21"/>
  <c r="P78" i="21"/>
  <c r="O78" i="21"/>
  <c r="N78" i="21"/>
  <c r="V77" i="21"/>
  <c r="U77" i="21"/>
  <c r="S77" i="21"/>
  <c r="Q77" i="21"/>
  <c r="P77" i="21"/>
  <c r="N77" i="21"/>
  <c r="O77" i="21" s="1"/>
  <c r="V76" i="21"/>
  <c r="U76" i="21"/>
  <c r="S76" i="21"/>
  <c r="Q76" i="21"/>
  <c r="P76" i="21"/>
  <c r="O76" i="21"/>
  <c r="N76" i="21"/>
  <c r="V75" i="21"/>
  <c r="U75" i="21"/>
  <c r="S75" i="21"/>
  <c r="Q75" i="21"/>
  <c r="P75" i="21"/>
  <c r="N75" i="21"/>
  <c r="O75" i="21" s="1"/>
  <c r="V74" i="21"/>
  <c r="U74" i="21"/>
  <c r="S74" i="21"/>
  <c r="Q74" i="21"/>
  <c r="P74" i="21"/>
  <c r="N74" i="21"/>
  <c r="O74" i="21" s="1"/>
  <c r="V73" i="21"/>
  <c r="U73" i="21"/>
  <c r="S73" i="21"/>
  <c r="Q73" i="21"/>
  <c r="P73" i="21"/>
  <c r="O73" i="21"/>
  <c r="N73" i="21"/>
  <c r="V72" i="21"/>
  <c r="U72" i="21"/>
  <c r="S72" i="21"/>
  <c r="Q72" i="21"/>
  <c r="P72" i="21"/>
  <c r="N72" i="21"/>
  <c r="O72" i="21" s="1"/>
  <c r="V71" i="21"/>
  <c r="U71" i="21"/>
  <c r="S71" i="21"/>
  <c r="Q71" i="21"/>
  <c r="P71" i="21"/>
  <c r="O71" i="21"/>
  <c r="N71" i="21"/>
  <c r="V70" i="21"/>
  <c r="U70" i="21"/>
  <c r="S70" i="21"/>
  <c r="Q70" i="21"/>
  <c r="P70" i="21"/>
  <c r="O70" i="21"/>
  <c r="N70" i="21"/>
  <c r="V69" i="21"/>
  <c r="U69" i="21"/>
  <c r="S69" i="21"/>
  <c r="Q69" i="21"/>
  <c r="P69" i="21"/>
  <c r="O69" i="21"/>
  <c r="N69" i="21"/>
  <c r="V68" i="21"/>
  <c r="U68" i="21"/>
  <c r="S68" i="21"/>
  <c r="Q68" i="21"/>
  <c r="P68" i="21"/>
  <c r="O68" i="21"/>
  <c r="N68" i="21"/>
  <c r="V67" i="21"/>
  <c r="U67" i="21"/>
  <c r="S67" i="21"/>
  <c r="Q67" i="21"/>
  <c r="P67" i="21"/>
  <c r="N67" i="21"/>
  <c r="O67" i="21" s="1"/>
  <c r="V66" i="21"/>
  <c r="U66" i="21"/>
  <c r="S66" i="21"/>
  <c r="Q66" i="21"/>
  <c r="P66" i="21"/>
  <c r="O66" i="21"/>
  <c r="N66" i="21"/>
  <c r="V65" i="21"/>
  <c r="U65" i="21"/>
  <c r="S65" i="21"/>
  <c r="Q65" i="21"/>
  <c r="P65" i="21"/>
  <c r="N65" i="21"/>
  <c r="O65" i="21" s="1"/>
  <c r="V64" i="21"/>
  <c r="U64" i="21"/>
  <c r="S64" i="21"/>
  <c r="Q64" i="21"/>
  <c r="P64" i="21"/>
  <c r="O64" i="21"/>
  <c r="N64" i="21"/>
  <c r="V63" i="21"/>
  <c r="U63" i="21"/>
  <c r="S63" i="21"/>
  <c r="Q63" i="21"/>
  <c r="P63" i="21"/>
  <c r="N63" i="21"/>
  <c r="O63" i="21" s="1"/>
  <c r="V62" i="21"/>
  <c r="U62" i="21"/>
  <c r="S62" i="21"/>
  <c r="Q62" i="21"/>
  <c r="P62" i="21"/>
  <c r="O62" i="21"/>
  <c r="N62" i="21"/>
  <c r="V61" i="21"/>
  <c r="U61" i="21"/>
  <c r="S61" i="21"/>
  <c r="Q61" i="21"/>
  <c r="P61" i="21"/>
  <c r="N61" i="21"/>
  <c r="O61" i="21" s="1"/>
  <c r="V60" i="21"/>
  <c r="U60" i="21"/>
  <c r="S60" i="21"/>
  <c r="Q60" i="21"/>
  <c r="P60" i="21"/>
  <c r="O60" i="21"/>
  <c r="N60" i="21"/>
  <c r="V59" i="21"/>
  <c r="U59" i="21"/>
  <c r="S59" i="21"/>
  <c r="Q59" i="21"/>
  <c r="P59" i="21"/>
  <c r="N59" i="21"/>
  <c r="O59" i="21" s="1"/>
  <c r="V58" i="21"/>
  <c r="U58" i="21"/>
  <c r="S58" i="21"/>
  <c r="Q58" i="21"/>
  <c r="P58" i="21"/>
  <c r="N58" i="21"/>
  <c r="O58" i="21" s="1"/>
  <c r="P57" i="21"/>
  <c r="P56" i="21"/>
  <c r="P55" i="21"/>
  <c r="C39" i="21"/>
  <c r="D39" i="21" s="1"/>
  <c r="E38" i="21"/>
  <c r="E37" i="21"/>
  <c r="E36" i="21"/>
  <c r="E35" i="21"/>
  <c r="E34" i="21"/>
  <c r="E33" i="21"/>
  <c r="E32" i="21"/>
  <c r="E31" i="21"/>
  <c r="E30" i="21"/>
  <c r="G21" i="21"/>
  <c r="H21" i="21" s="1"/>
  <c r="F21" i="21"/>
  <c r="D21" i="21"/>
  <c r="E21" i="21" s="1"/>
  <c r="C21" i="21"/>
  <c r="G20" i="21"/>
  <c r="H20" i="21" s="1"/>
  <c r="F20" i="21"/>
  <c r="D20" i="21"/>
  <c r="E20" i="21" s="1"/>
  <c r="C20" i="21"/>
  <c r="G19" i="21"/>
  <c r="F19" i="21"/>
  <c r="H19" i="21" s="1"/>
  <c r="D19" i="21"/>
  <c r="C19" i="21"/>
  <c r="G18" i="21"/>
  <c r="F18" i="21"/>
  <c r="E18" i="21"/>
  <c r="D18" i="21"/>
  <c r="C18" i="21"/>
  <c r="G17" i="21"/>
  <c r="H17" i="21" s="1"/>
  <c r="F17" i="21"/>
  <c r="D17" i="21"/>
  <c r="E17" i="21" s="1"/>
  <c r="D72" i="19" s="1"/>
  <c r="C17" i="21"/>
  <c r="H15" i="21"/>
  <c r="G15" i="21"/>
  <c r="F15" i="21"/>
  <c r="D15" i="21"/>
  <c r="E15" i="21" s="1"/>
  <c r="C15" i="21"/>
  <c r="G9" i="21"/>
  <c r="F9" i="21"/>
  <c r="F22" i="21" s="1"/>
  <c r="D9" i="21"/>
  <c r="C9" i="21"/>
  <c r="C22" i="21" s="1"/>
  <c r="G8" i="21"/>
  <c r="H8" i="21" s="1"/>
  <c r="F8" i="21"/>
  <c r="D8" i="21"/>
  <c r="E8" i="21" s="1"/>
  <c r="C8" i="21"/>
  <c r="H7" i="21"/>
  <c r="G7" i="21"/>
  <c r="F7" i="21"/>
  <c r="D7" i="21"/>
  <c r="C7" i="21"/>
  <c r="C80" i="20"/>
  <c r="D80" i="20" s="1"/>
  <c r="C79" i="20"/>
  <c r="D79" i="20" s="1"/>
  <c r="C70" i="20"/>
  <c r="F70" i="20" s="1"/>
  <c r="C85" i="20" s="1"/>
  <c r="D85" i="20" s="1"/>
  <c r="F69" i="20"/>
  <c r="C84" i="20" s="1"/>
  <c r="D84" i="20" s="1"/>
  <c r="F68" i="20"/>
  <c r="C83" i="20" s="1"/>
  <c r="D83" i="20" s="1"/>
  <c r="C67" i="20"/>
  <c r="F67" i="20" s="1"/>
  <c r="J62" i="20"/>
  <c r="I62" i="20"/>
  <c r="G62" i="20"/>
  <c r="F62" i="20"/>
  <c r="E62" i="20"/>
  <c r="D62" i="20"/>
  <c r="N61" i="20"/>
  <c r="H61" i="20"/>
  <c r="M60" i="20"/>
  <c r="L60" i="20"/>
  <c r="H60" i="20"/>
  <c r="N60" i="20" s="1"/>
  <c r="N59" i="20"/>
  <c r="L59" i="20"/>
  <c r="M59" i="20" s="1"/>
  <c r="H59" i="20"/>
  <c r="M58" i="20"/>
  <c r="L58" i="20"/>
  <c r="H58" i="20"/>
  <c r="N58" i="20" s="1"/>
  <c r="N57" i="20"/>
  <c r="M57" i="20"/>
  <c r="L57" i="20"/>
  <c r="H57" i="20"/>
  <c r="L56" i="20"/>
  <c r="M56" i="20" s="1"/>
  <c r="H56" i="20"/>
  <c r="N56" i="20" s="1"/>
  <c r="N55" i="20"/>
  <c r="L55" i="20"/>
  <c r="M55" i="20" s="1"/>
  <c r="H55" i="20"/>
  <c r="N54" i="20"/>
  <c r="L54" i="20"/>
  <c r="H54" i="20"/>
  <c r="M54" i="20" s="1"/>
  <c r="N53" i="20"/>
  <c r="M53" i="20"/>
  <c r="L53" i="20"/>
  <c r="H53" i="20"/>
  <c r="L52" i="20"/>
  <c r="H52" i="20"/>
  <c r="H51" i="20"/>
  <c r="K51" i="20" s="1"/>
  <c r="L51" i="20" s="1"/>
  <c r="M51" i="20" s="1"/>
  <c r="N50" i="20"/>
  <c r="L50" i="20"/>
  <c r="M50" i="20" s="1"/>
  <c r="H50" i="20"/>
  <c r="N49" i="20"/>
  <c r="H49" i="20"/>
  <c r="K49" i="20" s="1"/>
  <c r="L49" i="20" s="1"/>
  <c r="M49" i="20" s="1"/>
  <c r="N48" i="20"/>
  <c r="L48" i="20"/>
  <c r="M48" i="20" s="1"/>
  <c r="H48" i="20"/>
  <c r="K48" i="20" s="1"/>
  <c r="N47" i="20"/>
  <c r="M47" i="20"/>
  <c r="L47" i="20"/>
  <c r="H47" i="20"/>
  <c r="L46" i="20"/>
  <c r="H46" i="20"/>
  <c r="N46" i="20" s="1"/>
  <c r="N45" i="20"/>
  <c r="M45" i="20"/>
  <c r="L45" i="20"/>
  <c r="H45" i="20"/>
  <c r="N44" i="20"/>
  <c r="L44" i="20"/>
  <c r="H44" i="20"/>
  <c r="M44" i="20" s="1"/>
  <c r="N43" i="20"/>
  <c r="M43" i="20"/>
  <c r="L43" i="20"/>
  <c r="H43" i="20"/>
  <c r="M42" i="20"/>
  <c r="L42" i="20"/>
  <c r="H42" i="20"/>
  <c r="N42" i="20" s="1"/>
  <c r="N41" i="20"/>
  <c r="L41" i="20"/>
  <c r="M41" i="20" s="1"/>
  <c r="H41" i="20"/>
  <c r="N40" i="20"/>
  <c r="K40" i="20"/>
  <c r="L40" i="20" s="1"/>
  <c r="M40" i="20" s="1"/>
  <c r="H40" i="20"/>
  <c r="N39" i="20"/>
  <c r="M39" i="20"/>
  <c r="L39" i="20"/>
  <c r="H39" i="20"/>
  <c r="L38" i="20"/>
  <c r="H38" i="20"/>
  <c r="N38" i="20" s="1"/>
  <c r="N37" i="20"/>
  <c r="M37" i="20"/>
  <c r="L37" i="20"/>
  <c r="H37" i="20"/>
  <c r="N36" i="20"/>
  <c r="L36" i="20"/>
  <c r="M36" i="20" s="1"/>
  <c r="H36" i="20"/>
  <c r="M35" i="20"/>
  <c r="L35" i="20"/>
  <c r="H35" i="20"/>
  <c r="N35" i="20" s="1"/>
  <c r="N34" i="20"/>
  <c r="L34" i="20"/>
  <c r="H34" i="20"/>
  <c r="L33" i="20"/>
  <c r="M33" i="20" s="1"/>
  <c r="H33" i="20"/>
  <c r="N33" i="20" s="1"/>
  <c r="N32" i="20"/>
  <c r="L32" i="20"/>
  <c r="M32" i="20" s="1"/>
  <c r="H32" i="20"/>
  <c r="L31" i="20"/>
  <c r="H31" i="20"/>
  <c r="L30" i="20"/>
  <c r="H30" i="20"/>
  <c r="N30" i="20" s="1"/>
  <c r="N29" i="20"/>
  <c r="L29" i="20"/>
  <c r="M29" i="20" s="1"/>
  <c r="H29" i="20"/>
  <c r="N28" i="20"/>
  <c r="L28" i="20"/>
  <c r="M28" i="20" s="1"/>
  <c r="H28" i="20"/>
  <c r="L27" i="20"/>
  <c r="H27" i="20"/>
  <c r="N26" i="20"/>
  <c r="L26" i="20"/>
  <c r="M26" i="20" s="1"/>
  <c r="H26" i="20"/>
  <c r="L25" i="20"/>
  <c r="H25" i="20"/>
  <c r="N25" i="20" s="1"/>
  <c r="N24" i="20"/>
  <c r="L24" i="20"/>
  <c r="M24" i="20" s="1"/>
  <c r="H24" i="20"/>
  <c r="N23" i="20"/>
  <c r="L23" i="20"/>
  <c r="H23" i="20"/>
  <c r="M23" i="20" s="1"/>
  <c r="N22" i="20"/>
  <c r="M22" i="20"/>
  <c r="L22" i="20"/>
  <c r="H22" i="20"/>
  <c r="L21" i="20"/>
  <c r="M21" i="20" s="1"/>
  <c r="H21" i="20"/>
  <c r="N21" i="20" s="1"/>
  <c r="N20" i="20"/>
  <c r="L20" i="20"/>
  <c r="M20" i="20" s="1"/>
  <c r="H20" i="20"/>
  <c r="N19" i="20"/>
  <c r="M19" i="20"/>
  <c r="L19" i="20"/>
  <c r="H19" i="20"/>
  <c r="L18" i="20"/>
  <c r="M18" i="20" s="1"/>
  <c r="H18" i="20"/>
  <c r="N18" i="20" s="1"/>
  <c r="N17" i="20"/>
  <c r="M17" i="20"/>
  <c r="L17" i="20"/>
  <c r="H17" i="20"/>
  <c r="N16" i="20"/>
  <c r="L16" i="20"/>
  <c r="M16" i="20" s="1"/>
  <c r="H16" i="20"/>
  <c r="N15" i="20"/>
  <c r="M15" i="20"/>
  <c r="L15" i="20"/>
  <c r="H15" i="20"/>
  <c r="L14" i="20"/>
  <c r="M14" i="20" s="1"/>
  <c r="H14" i="20"/>
  <c r="N14" i="20" s="1"/>
  <c r="L13" i="20"/>
  <c r="M13" i="20" s="1"/>
  <c r="H13" i="20"/>
  <c r="N13" i="20" s="1"/>
  <c r="N12" i="20"/>
  <c r="L12" i="20"/>
  <c r="M12" i="20" s="1"/>
  <c r="H12" i="20"/>
  <c r="N11" i="20"/>
  <c r="M11" i="20"/>
  <c r="L11" i="20"/>
  <c r="H11" i="20"/>
  <c r="L10" i="20"/>
  <c r="H10" i="20"/>
  <c r="L9" i="20"/>
  <c r="M9" i="20" s="1"/>
  <c r="H9" i="20"/>
  <c r="N8" i="20"/>
  <c r="L8" i="20"/>
  <c r="H8" i="20"/>
  <c r="N7" i="20"/>
  <c r="M7" i="20"/>
  <c r="L7" i="20"/>
  <c r="H7" i="20"/>
  <c r="F161" i="19"/>
  <c r="B161" i="19"/>
  <c r="G161" i="19" s="1"/>
  <c r="C117" i="19"/>
  <c r="C114" i="19"/>
  <c r="C151" i="19" s="1"/>
  <c r="D151" i="19" s="1"/>
  <c r="C111" i="19"/>
  <c r="C106" i="19"/>
  <c r="D105" i="19"/>
  <c r="C105" i="19"/>
  <c r="C104" i="19"/>
  <c r="C103" i="19"/>
  <c r="C102" i="19"/>
  <c r="C97" i="19"/>
  <c r="C96" i="19"/>
  <c r="C98" i="19" s="1"/>
  <c r="C88" i="19"/>
  <c r="C86" i="19"/>
  <c r="C85" i="19"/>
  <c r="C84" i="19"/>
  <c r="C83" i="19"/>
  <c r="C82" i="19"/>
  <c r="C81" i="19"/>
  <c r="D77" i="19"/>
  <c r="D76" i="19"/>
  <c r="D75" i="19"/>
  <c r="D74" i="19"/>
  <c r="D73" i="19"/>
  <c r="D65" i="19"/>
  <c r="D53" i="19"/>
  <c r="D46" i="19"/>
  <c r="D14" i="19"/>
  <c r="D13" i="19"/>
  <c r="D12" i="19"/>
  <c r="D10" i="19"/>
  <c r="D8" i="19"/>
  <c r="B64" i="18"/>
  <c r="B62" i="18"/>
  <c r="J20" i="18"/>
  <c r="I20" i="18"/>
  <c r="H20" i="18"/>
  <c r="G20" i="18"/>
  <c r="F20" i="18"/>
  <c r="E20" i="18"/>
  <c r="D20" i="18"/>
  <c r="C20" i="18"/>
  <c r="B20" i="18"/>
  <c r="L19" i="18"/>
  <c r="K19" i="18"/>
  <c r="J19" i="18"/>
  <c r="I19" i="18"/>
  <c r="H19" i="18"/>
  <c r="G19" i="18"/>
  <c r="F19" i="18"/>
  <c r="E19" i="18"/>
  <c r="D19" i="18"/>
  <c r="C19" i="18"/>
  <c r="B19" i="18"/>
  <c r="J18" i="18"/>
  <c r="I18" i="18"/>
  <c r="H18" i="18"/>
  <c r="G18" i="18"/>
  <c r="F18" i="18"/>
  <c r="E18" i="18"/>
  <c r="D18" i="18"/>
  <c r="C18" i="18"/>
  <c r="B18" i="18"/>
  <c r="J17" i="18"/>
  <c r="I17" i="18"/>
  <c r="H17" i="18"/>
  <c r="G17" i="18"/>
  <c r="F17" i="18"/>
  <c r="E17" i="18"/>
  <c r="D17" i="18"/>
  <c r="C17" i="18"/>
  <c r="B17" i="18"/>
  <c r="L16" i="18"/>
  <c r="J16" i="18"/>
  <c r="I16" i="18"/>
  <c r="H16" i="18"/>
  <c r="G16" i="18"/>
  <c r="F16" i="18"/>
  <c r="E16" i="18"/>
  <c r="D16" i="18"/>
  <c r="C16" i="18"/>
  <c r="B16" i="18"/>
  <c r="J15" i="18"/>
  <c r="I15" i="18"/>
  <c r="H15" i="18"/>
  <c r="G15" i="18"/>
  <c r="F15" i="18"/>
  <c r="E15" i="18"/>
  <c r="D15" i="18"/>
  <c r="C15" i="18"/>
  <c r="B15" i="18"/>
  <c r="J14" i="18"/>
  <c r="I14" i="18"/>
  <c r="H14" i="18"/>
  <c r="G14" i="18"/>
  <c r="F14" i="18"/>
  <c r="E14" i="18"/>
  <c r="D14" i="18"/>
  <c r="C14" i="18"/>
  <c r="B14" i="18"/>
  <c r="J13" i="18"/>
  <c r="I13" i="18"/>
  <c r="L13" i="18" s="1"/>
  <c r="H13" i="18"/>
  <c r="G13" i="18"/>
  <c r="F13" i="18"/>
  <c r="E13" i="18"/>
  <c r="D13" i="18"/>
  <c r="C13" i="18"/>
  <c r="B13" i="18"/>
  <c r="J12" i="18"/>
  <c r="I12" i="18"/>
  <c r="H12" i="18"/>
  <c r="G12" i="18"/>
  <c r="F12" i="18"/>
  <c r="E12" i="18"/>
  <c r="D12" i="18"/>
  <c r="L12" i="18" s="1"/>
  <c r="C12" i="18"/>
  <c r="B12" i="18"/>
  <c r="J11" i="18"/>
  <c r="I11" i="18"/>
  <c r="H11" i="18"/>
  <c r="G11" i="18"/>
  <c r="F11" i="18"/>
  <c r="E11" i="18"/>
  <c r="D11" i="18"/>
  <c r="C11" i="18"/>
  <c r="B11" i="18"/>
  <c r="J10" i="18"/>
  <c r="I10" i="18"/>
  <c r="H10" i="18"/>
  <c r="G10" i="18"/>
  <c r="L10" i="18" s="1"/>
  <c r="F10" i="18"/>
  <c r="E10" i="18"/>
  <c r="D10" i="18"/>
  <c r="C10" i="18"/>
  <c r="B10" i="18"/>
  <c r="J9" i="18"/>
  <c r="I9" i="18"/>
  <c r="H9" i="18"/>
  <c r="G9" i="18"/>
  <c r="F9" i="18"/>
  <c r="E9" i="18"/>
  <c r="D9" i="18"/>
  <c r="C9" i="18"/>
  <c r="B9" i="18"/>
  <c r="J8" i="18"/>
  <c r="I8" i="18"/>
  <c r="H8" i="18"/>
  <c r="G8" i="18"/>
  <c r="F8" i="18"/>
  <c r="E8" i="18"/>
  <c r="D8" i="18"/>
  <c r="C8" i="18"/>
  <c r="B8" i="18"/>
  <c r="J7" i="18"/>
  <c r="I7" i="18"/>
  <c r="H7" i="18"/>
  <c r="G7" i="18"/>
  <c r="F7" i="18"/>
  <c r="E7" i="18"/>
  <c r="D7" i="18"/>
  <c r="C7" i="18"/>
  <c r="B7" i="18"/>
  <c r="J6" i="18"/>
  <c r="I6" i="18"/>
  <c r="H6" i="18"/>
  <c r="G6" i="18"/>
  <c r="F6" i="18"/>
  <c r="E6" i="18"/>
  <c r="D6" i="18"/>
  <c r="C6" i="18"/>
  <c r="B6" i="18"/>
  <c r="C54" i="17"/>
  <c r="C52" i="17"/>
  <c r="C42" i="17"/>
  <c r="D70" i="19" s="1"/>
  <c r="C40" i="17"/>
  <c r="D68" i="19" s="1"/>
  <c r="B27" i="17"/>
  <c r="B26" i="17"/>
  <c r="F15" i="17"/>
  <c r="E15" i="17"/>
  <c r="D15" i="17"/>
  <c r="C15" i="17"/>
  <c r="D9" i="19" s="1"/>
  <c r="B15" i="17"/>
  <c r="C183" i="16"/>
  <c r="D183" i="16" s="1"/>
  <c r="C182" i="16"/>
  <c r="D182" i="16" s="1"/>
  <c r="C181" i="16"/>
  <c r="D181" i="16" s="1"/>
  <c r="C167" i="16"/>
  <c r="C160" i="16"/>
  <c r="C159" i="16"/>
  <c r="C158" i="16"/>
  <c r="C157" i="16"/>
  <c r="C156" i="16"/>
  <c r="C136" i="16"/>
  <c r="D136" i="16" s="1"/>
  <c r="E93" i="16"/>
  <c r="D93" i="16"/>
  <c r="C93" i="16"/>
  <c r="G92" i="16"/>
  <c r="E92" i="16"/>
  <c r="D92" i="16"/>
  <c r="C92" i="16"/>
  <c r="E91" i="16"/>
  <c r="D91" i="16"/>
  <c r="C91" i="16"/>
  <c r="D84" i="16"/>
  <c r="D47" i="19" s="1"/>
  <c r="C78" i="16"/>
  <c r="C77" i="16"/>
  <c r="C76" i="16"/>
  <c r="C75" i="16"/>
  <c r="C74" i="16"/>
  <c r="C73" i="16"/>
  <c r="C72" i="16"/>
  <c r="C71" i="16"/>
  <c r="D85" i="16" s="1"/>
  <c r="C70" i="16"/>
  <c r="C85" i="16" s="1"/>
  <c r="C69" i="16"/>
  <c r="C68" i="16"/>
  <c r="C67" i="16"/>
  <c r="C84" i="16" s="1"/>
  <c r="C64" i="16"/>
  <c r="C60" i="16"/>
  <c r="C59" i="16"/>
  <c r="C50" i="16"/>
  <c r="C44" i="16"/>
  <c r="C43" i="16"/>
  <c r="C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C23" i="16"/>
  <c r="F129" i="15"/>
  <c r="C71" i="15"/>
  <c r="B71" i="15"/>
  <c r="C66" i="15"/>
  <c r="B66" i="15"/>
  <c r="D66" i="15" s="1"/>
  <c r="C65" i="15"/>
  <c r="B65" i="15"/>
  <c r="D65" i="15" s="1"/>
  <c r="B63" i="15"/>
  <c r="B64" i="15" s="1"/>
  <c r="B62" i="15"/>
  <c r="B61" i="15"/>
  <c r="B56" i="15"/>
  <c r="E53" i="15"/>
  <c r="F52" i="15"/>
  <c r="E52" i="15"/>
  <c r="B52" i="15"/>
  <c r="F51" i="15"/>
  <c r="E51" i="15"/>
  <c r="B51" i="15"/>
  <c r="F49" i="15"/>
  <c r="E49" i="15"/>
  <c r="F48" i="15"/>
  <c r="E48" i="15"/>
  <c r="F47" i="15"/>
  <c r="E47" i="15"/>
  <c r="D47" i="15"/>
  <c r="B47" i="15"/>
  <c r="J113" i="21" s="1"/>
  <c r="B39" i="15"/>
  <c r="B38" i="15"/>
  <c r="B37" i="15"/>
  <c r="E34" i="15"/>
  <c r="E33" i="15"/>
  <c r="D33" i="15"/>
  <c r="F32" i="15"/>
  <c r="E32" i="15"/>
  <c r="D32" i="15"/>
  <c r="B32" i="15"/>
  <c r="B25" i="15"/>
  <c r="B33" i="15" s="1"/>
  <c r="B24" i="15"/>
  <c r="B23" i="15"/>
  <c r="B31" i="15" s="1"/>
  <c r="C22" i="15"/>
  <c r="B22" i="15"/>
  <c r="C21" i="15"/>
  <c r="B21" i="15"/>
  <c r="C15" i="15"/>
  <c r="B15" i="15"/>
  <c r="B13" i="15"/>
  <c r="F135" i="14"/>
  <c r="C71" i="14"/>
  <c r="B71" i="14"/>
  <c r="D66" i="14"/>
  <c r="C66" i="14"/>
  <c r="B66" i="14"/>
  <c r="C65" i="14"/>
  <c r="B65" i="14"/>
  <c r="D65" i="14" s="1"/>
  <c r="B63" i="14"/>
  <c r="B62" i="14"/>
  <c r="B64" i="14" s="1"/>
  <c r="B61" i="14"/>
  <c r="F52" i="14"/>
  <c r="E52" i="14"/>
  <c r="B52" i="14"/>
  <c r="L105" i="21" s="1"/>
  <c r="F51" i="14"/>
  <c r="E51" i="14"/>
  <c r="B51" i="14"/>
  <c r="E49" i="14"/>
  <c r="F48" i="14"/>
  <c r="E48" i="14"/>
  <c r="G47" i="14"/>
  <c r="F47" i="14"/>
  <c r="E47" i="14"/>
  <c r="D47" i="14"/>
  <c r="K105" i="21" s="1"/>
  <c r="B47" i="14"/>
  <c r="B39" i="14"/>
  <c r="B38" i="14"/>
  <c r="B37" i="14"/>
  <c r="E34" i="14"/>
  <c r="D33" i="14"/>
  <c r="D32" i="14"/>
  <c r="B32" i="14"/>
  <c r="E32" i="14" s="1"/>
  <c r="B25" i="14"/>
  <c r="B33" i="14" s="1"/>
  <c r="E33" i="14" s="1"/>
  <c r="B24" i="14"/>
  <c r="B23" i="14"/>
  <c r="C22" i="14"/>
  <c r="B22" i="14"/>
  <c r="C21" i="14"/>
  <c r="B21" i="14"/>
  <c r="C15" i="14"/>
  <c r="B15" i="14"/>
  <c r="F135" i="13"/>
  <c r="C71" i="13"/>
  <c r="B71" i="13"/>
  <c r="D66" i="13"/>
  <c r="C66" i="13"/>
  <c r="B66" i="13"/>
  <c r="D65" i="13"/>
  <c r="C65" i="13"/>
  <c r="B65" i="13"/>
  <c r="B63" i="13"/>
  <c r="B62" i="13"/>
  <c r="B61" i="13"/>
  <c r="B56" i="13"/>
  <c r="B53" i="13"/>
  <c r="F52" i="13"/>
  <c r="E52" i="13"/>
  <c r="B52" i="13"/>
  <c r="L104" i="21" s="1"/>
  <c r="U104" i="21" s="1"/>
  <c r="F51" i="13"/>
  <c r="E51" i="13"/>
  <c r="B51" i="13"/>
  <c r="B49" i="13"/>
  <c r="F48" i="13"/>
  <c r="E48" i="13"/>
  <c r="B48" i="13"/>
  <c r="G47" i="13"/>
  <c r="F47" i="13"/>
  <c r="F49" i="13" s="1"/>
  <c r="E47" i="13"/>
  <c r="D47" i="13"/>
  <c r="K104" i="21" s="1"/>
  <c r="B47" i="13"/>
  <c r="B39" i="13"/>
  <c r="B38" i="13"/>
  <c r="B37" i="13"/>
  <c r="E34" i="13"/>
  <c r="D33" i="13"/>
  <c r="D32" i="13"/>
  <c r="B31" i="13"/>
  <c r="B25" i="13"/>
  <c r="B33" i="13" s="1"/>
  <c r="E33" i="13" s="1"/>
  <c r="B24" i="13"/>
  <c r="B23" i="13"/>
  <c r="C22" i="13"/>
  <c r="B22" i="13"/>
  <c r="C21" i="13"/>
  <c r="B21" i="13"/>
  <c r="C15" i="13"/>
  <c r="B15" i="13"/>
  <c r="C13" i="13"/>
  <c r="F135" i="12"/>
  <c r="B71" i="12"/>
  <c r="C71" i="12" s="1"/>
  <c r="C66" i="12"/>
  <c r="B66" i="12"/>
  <c r="D66" i="12" s="1"/>
  <c r="D65" i="12"/>
  <c r="C65" i="12"/>
  <c r="B65" i="12"/>
  <c r="B63" i="12"/>
  <c r="B62" i="12"/>
  <c r="B61" i="12"/>
  <c r="B64" i="12" s="1"/>
  <c r="B56" i="12"/>
  <c r="F52" i="12"/>
  <c r="E52" i="12"/>
  <c r="B52" i="12"/>
  <c r="F51" i="12"/>
  <c r="E51" i="12"/>
  <c r="B51" i="12"/>
  <c r="F49" i="12"/>
  <c r="F53" i="12" s="1"/>
  <c r="E49" i="12"/>
  <c r="E53" i="12" s="1"/>
  <c r="F48" i="12"/>
  <c r="E48" i="12"/>
  <c r="F47" i="12"/>
  <c r="E47" i="12"/>
  <c r="D47" i="12"/>
  <c r="B47" i="12"/>
  <c r="B39" i="12"/>
  <c r="B38" i="12"/>
  <c r="B37" i="12"/>
  <c r="E34" i="12"/>
  <c r="D33" i="12"/>
  <c r="F32" i="12"/>
  <c r="E32" i="12"/>
  <c r="D32" i="12"/>
  <c r="B31" i="12"/>
  <c r="B25" i="12"/>
  <c r="B24" i="12"/>
  <c r="B32" i="12" s="1"/>
  <c r="B23" i="12"/>
  <c r="C22" i="12"/>
  <c r="B22" i="12"/>
  <c r="C21" i="12"/>
  <c r="B21" i="12"/>
  <c r="C15" i="12"/>
  <c r="B15" i="12"/>
  <c r="B13" i="12"/>
  <c r="F132" i="11"/>
  <c r="B71" i="11"/>
  <c r="C71" i="11" s="1"/>
  <c r="C70" i="11"/>
  <c r="C66" i="11"/>
  <c r="D66" i="11" s="1"/>
  <c r="B66" i="11"/>
  <c r="C65" i="11"/>
  <c r="B65" i="11"/>
  <c r="D65" i="11" s="1"/>
  <c r="B63" i="11"/>
  <c r="B62" i="11"/>
  <c r="B64" i="11" s="1"/>
  <c r="B61" i="11"/>
  <c r="F52" i="11"/>
  <c r="E52" i="11"/>
  <c r="B52" i="11"/>
  <c r="L108" i="21" s="1"/>
  <c r="F51" i="11"/>
  <c r="E51" i="11"/>
  <c r="B51" i="11"/>
  <c r="F49" i="11"/>
  <c r="F53" i="11" s="1"/>
  <c r="F54" i="11" s="1"/>
  <c r="F48" i="11"/>
  <c r="E48" i="11"/>
  <c r="E49" i="11" s="1"/>
  <c r="E53" i="11" s="1"/>
  <c r="F47" i="11"/>
  <c r="G47" i="11" s="1"/>
  <c r="E47" i="11"/>
  <c r="D47" i="11"/>
  <c r="K108" i="21" s="1"/>
  <c r="B47" i="11"/>
  <c r="J108" i="21" s="1"/>
  <c r="B40" i="11"/>
  <c r="B39" i="11"/>
  <c r="B38" i="11"/>
  <c r="B37" i="11"/>
  <c r="F34" i="11"/>
  <c r="C9" i="11" s="1"/>
  <c r="E34" i="11"/>
  <c r="B70" i="11" s="1"/>
  <c r="D33" i="11"/>
  <c r="D32" i="11"/>
  <c r="B31" i="11"/>
  <c r="B25" i="11"/>
  <c r="B33" i="11" s="1"/>
  <c r="E33" i="11" s="1"/>
  <c r="F33" i="11" s="1"/>
  <c r="B24" i="11"/>
  <c r="B32" i="11" s="1"/>
  <c r="E32" i="11" s="1"/>
  <c r="B8" i="11" s="1"/>
  <c r="B23" i="11"/>
  <c r="C22" i="11"/>
  <c r="B22" i="11"/>
  <c r="C21" i="11"/>
  <c r="B21" i="11"/>
  <c r="C15" i="11"/>
  <c r="B15" i="11"/>
  <c r="B13" i="11"/>
  <c r="B9" i="11"/>
  <c r="F132" i="10"/>
  <c r="C71" i="10"/>
  <c r="B71" i="10"/>
  <c r="C66" i="10"/>
  <c r="D66" i="10" s="1"/>
  <c r="B66" i="10"/>
  <c r="D65" i="10"/>
  <c r="C65" i="10"/>
  <c r="B65" i="10"/>
  <c r="B63" i="10"/>
  <c r="B62" i="10"/>
  <c r="B64" i="10" s="1"/>
  <c r="B61" i="10"/>
  <c r="B56" i="10"/>
  <c r="F52" i="10"/>
  <c r="E52" i="10"/>
  <c r="B52" i="10"/>
  <c r="L106" i="21" s="1"/>
  <c r="U106" i="21" s="1"/>
  <c r="F51" i="10"/>
  <c r="E51" i="10"/>
  <c r="B51" i="10"/>
  <c r="F48" i="10"/>
  <c r="E48" i="10"/>
  <c r="F47" i="10"/>
  <c r="E47" i="10"/>
  <c r="D47" i="10"/>
  <c r="B47" i="10"/>
  <c r="B40" i="10"/>
  <c r="B39" i="10"/>
  <c r="B38" i="10"/>
  <c r="B37" i="10"/>
  <c r="E34" i="10"/>
  <c r="E33" i="10"/>
  <c r="B8" i="10" s="1"/>
  <c r="D33" i="10"/>
  <c r="B33" i="10"/>
  <c r="E32" i="10"/>
  <c r="D32" i="10"/>
  <c r="B25" i="10"/>
  <c r="B24" i="10"/>
  <c r="B32" i="10" s="1"/>
  <c r="B23" i="10"/>
  <c r="C22" i="10"/>
  <c r="B22" i="10"/>
  <c r="C21" i="10"/>
  <c r="B21" i="10"/>
  <c r="C15" i="10"/>
  <c r="B15" i="10"/>
  <c r="F129" i="9"/>
  <c r="C71" i="9"/>
  <c r="B71" i="9"/>
  <c r="B70" i="9"/>
  <c r="C70" i="9" s="1"/>
  <c r="C66" i="9"/>
  <c r="D66" i="9" s="1"/>
  <c r="B66" i="9"/>
  <c r="D65" i="9"/>
  <c r="C65" i="9"/>
  <c r="B65" i="9"/>
  <c r="B64" i="9"/>
  <c r="B63" i="9"/>
  <c r="B62" i="9"/>
  <c r="B61" i="9"/>
  <c r="F53" i="9"/>
  <c r="F54" i="9" s="1"/>
  <c r="F52" i="9"/>
  <c r="E52" i="9"/>
  <c r="B52" i="9"/>
  <c r="L107" i="21" s="1"/>
  <c r="F51" i="9"/>
  <c r="E51" i="9"/>
  <c r="B51" i="9"/>
  <c r="F49" i="9"/>
  <c r="F48" i="9"/>
  <c r="E48" i="9"/>
  <c r="E49" i="9" s="1"/>
  <c r="E53" i="9" s="1"/>
  <c r="G47" i="9"/>
  <c r="F47" i="9"/>
  <c r="E47" i="9"/>
  <c r="D47" i="9"/>
  <c r="K107" i="21" s="1"/>
  <c r="B47" i="9"/>
  <c r="J107" i="21" s="1"/>
  <c r="V107" i="21" s="1"/>
  <c r="F43" i="9"/>
  <c r="C12" i="9" s="1"/>
  <c r="F39" i="9"/>
  <c r="B39" i="9"/>
  <c r="B38" i="9"/>
  <c r="F37" i="9"/>
  <c r="C10" i="9" s="1"/>
  <c r="B37" i="9"/>
  <c r="E34" i="9"/>
  <c r="B9" i="9" s="1"/>
  <c r="F33" i="9"/>
  <c r="D33" i="9"/>
  <c r="D32" i="9"/>
  <c r="B25" i="9"/>
  <c r="B33" i="9" s="1"/>
  <c r="E33" i="9" s="1"/>
  <c r="B24" i="9"/>
  <c r="B23" i="9"/>
  <c r="C22" i="9"/>
  <c r="B22" i="9"/>
  <c r="C21" i="9"/>
  <c r="B21" i="9"/>
  <c r="F34" i="9" s="1"/>
  <c r="C9" i="9" s="1"/>
  <c r="C16" i="9"/>
  <c r="C15" i="9"/>
  <c r="B15" i="9"/>
  <c r="F131" i="7"/>
  <c r="B71" i="7"/>
  <c r="C71" i="7" s="1"/>
  <c r="B70" i="7"/>
  <c r="C70" i="7" s="1"/>
  <c r="C66" i="7"/>
  <c r="B66" i="7"/>
  <c r="D65" i="7"/>
  <c r="C65" i="7"/>
  <c r="B65" i="7"/>
  <c r="B63" i="7"/>
  <c r="B62" i="7"/>
  <c r="B61" i="7"/>
  <c r="B64" i="7" s="1"/>
  <c r="B57" i="7"/>
  <c r="B56" i="7"/>
  <c r="F52" i="7"/>
  <c r="E52" i="7"/>
  <c r="B52" i="7"/>
  <c r="F51" i="7"/>
  <c r="E51" i="7"/>
  <c r="B51" i="7"/>
  <c r="F48" i="7"/>
  <c r="E48" i="7"/>
  <c r="B48" i="7"/>
  <c r="F47" i="7"/>
  <c r="F49" i="7" s="1"/>
  <c r="F53" i="7" s="1"/>
  <c r="E47" i="7"/>
  <c r="E49" i="7" s="1"/>
  <c r="E53" i="7" s="1"/>
  <c r="D47" i="7"/>
  <c r="B47" i="7"/>
  <c r="B39" i="7"/>
  <c r="B38" i="7"/>
  <c r="B37" i="7"/>
  <c r="E34" i="7"/>
  <c r="B40" i="7" s="1"/>
  <c r="D33" i="7"/>
  <c r="E33" i="7" s="1"/>
  <c r="B33" i="7"/>
  <c r="D32" i="7"/>
  <c r="E32" i="7" s="1"/>
  <c r="B32" i="7"/>
  <c r="B31" i="7"/>
  <c r="B25" i="7"/>
  <c r="B24" i="7"/>
  <c r="B23" i="7"/>
  <c r="C22" i="7"/>
  <c r="B22" i="7"/>
  <c r="C21" i="7"/>
  <c r="B21" i="7"/>
  <c r="C15" i="7"/>
  <c r="B15" i="7"/>
  <c r="C13" i="7"/>
  <c r="B13" i="7"/>
  <c r="B9" i="7"/>
  <c r="F131" i="6"/>
  <c r="C71" i="6"/>
  <c r="B71" i="6"/>
  <c r="C66" i="6"/>
  <c r="D66" i="6" s="1"/>
  <c r="B66" i="6"/>
  <c r="C65" i="6"/>
  <c r="D65" i="6" s="1"/>
  <c r="B65" i="6"/>
  <c r="B63" i="6"/>
  <c r="B62" i="6"/>
  <c r="B61" i="6"/>
  <c r="B56" i="6"/>
  <c r="F52" i="6"/>
  <c r="E52" i="6"/>
  <c r="B52" i="6"/>
  <c r="L111" i="21" s="1"/>
  <c r="F51" i="6"/>
  <c r="E51" i="6"/>
  <c r="B51" i="6"/>
  <c r="F49" i="6"/>
  <c r="E49" i="6"/>
  <c r="F48" i="6"/>
  <c r="E48" i="6"/>
  <c r="F47" i="6"/>
  <c r="E47" i="6"/>
  <c r="D47" i="6"/>
  <c r="B47" i="6"/>
  <c r="J111" i="21" s="1"/>
  <c r="B39" i="6"/>
  <c r="B38" i="6"/>
  <c r="B37" i="6"/>
  <c r="E34" i="6"/>
  <c r="D33" i="6"/>
  <c r="B33" i="6"/>
  <c r="D32" i="6"/>
  <c r="B31" i="6"/>
  <c r="B26" i="6"/>
  <c r="B25" i="6"/>
  <c r="B24" i="6"/>
  <c r="B23" i="6"/>
  <c r="D22" i="5" s="1"/>
  <c r="C22" i="6"/>
  <c r="B22" i="6"/>
  <c r="C21" i="6"/>
  <c r="B21" i="6"/>
  <c r="C15" i="6"/>
  <c r="B15" i="6"/>
  <c r="B13" i="6"/>
  <c r="A103" i="5"/>
  <c r="A102" i="5"/>
  <c r="A101" i="5"/>
  <c r="A100" i="5"/>
  <c r="A99" i="5"/>
  <c r="A98" i="5"/>
  <c r="A97" i="5"/>
  <c r="H91" i="5"/>
  <c r="C91" i="5"/>
  <c r="H90" i="5"/>
  <c r="E90" i="5"/>
  <c r="C90" i="5"/>
  <c r="H89" i="5"/>
  <c r="E89" i="5"/>
  <c r="H88" i="5"/>
  <c r="C88" i="5"/>
  <c r="H87" i="5"/>
  <c r="E87" i="5"/>
  <c r="C87" i="5"/>
  <c r="H86" i="5"/>
  <c r="E86" i="5"/>
  <c r="H85" i="5"/>
  <c r="J85" i="5" s="1"/>
  <c r="E85" i="5"/>
  <c r="C85" i="5"/>
  <c r="H83" i="5"/>
  <c r="H82" i="5"/>
  <c r="H67" i="5"/>
  <c r="D67" i="5"/>
  <c r="C67" i="5"/>
  <c r="A67" i="5"/>
  <c r="A66" i="5"/>
  <c r="H65" i="5"/>
  <c r="D65" i="5"/>
  <c r="C65" i="5"/>
  <c r="A65" i="5"/>
  <c r="H64" i="5"/>
  <c r="D64" i="5"/>
  <c r="C64" i="5"/>
  <c r="A64" i="5"/>
  <c r="H63" i="5"/>
  <c r="D63" i="5"/>
  <c r="C63" i="5"/>
  <c r="A63" i="5"/>
  <c r="H62" i="5"/>
  <c r="D62" i="5"/>
  <c r="C62" i="5"/>
  <c r="A62" i="5"/>
  <c r="H61" i="5"/>
  <c r="D61" i="5"/>
  <c r="C61" i="5"/>
  <c r="A61" i="5"/>
  <c r="H60" i="5"/>
  <c r="D60" i="5"/>
  <c r="C60" i="5"/>
  <c r="A60" i="5"/>
  <c r="H59" i="5"/>
  <c r="D59" i="5"/>
  <c r="C59" i="5"/>
  <c r="A59" i="5"/>
  <c r="H58" i="5"/>
  <c r="D58" i="5"/>
  <c r="C58" i="5"/>
  <c r="A58" i="5"/>
  <c r="H57" i="5"/>
  <c r="D57" i="5"/>
  <c r="C57" i="5"/>
  <c r="A57" i="5"/>
  <c r="H56" i="5"/>
  <c r="D56" i="5"/>
  <c r="C56" i="5"/>
  <c r="A56" i="5"/>
  <c r="H55" i="5"/>
  <c r="D55" i="5"/>
  <c r="C55" i="5"/>
  <c r="A55" i="5"/>
  <c r="H54" i="5"/>
  <c r="D54" i="5"/>
  <c r="C54" i="5"/>
  <c r="A54" i="5"/>
  <c r="H53" i="5"/>
  <c r="D53" i="5"/>
  <c r="C53" i="5"/>
  <c r="A53" i="5"/>
  <c r="A52" i="5"/>
  <c r="A51" i="5"/>
  <c r="A50" i="5"/>
  <c r="A49" i="5"/>
  <c r="A48" i="5"/>
  <c r="A47" i="5"/>
  <c r="I43" i="5"/>
  <c r="I41" i="5"/>
  <c r="H41" i="5"/>
  <c r="F41" i="5"/>
  <c r="E41" i="5"/>
  <c r="C66" i="5" s="1"/>
  <c r="D41" i="5"/>
  <c r="C41" i="5"/>
  <c r="I27" i="5"/>
  <c r="H27" i="5"/>
  <c r="F27" i="5"/>
  <c r="E27" i="5"/>
  <c r="C52" i="5" s="1"/>
  <c r="C27" i="5"/>
  <c r="I26" i="5"/>
  <c r="H26" i="5"/>
  <c r="D26" i="5"/>
  <c r="I25" i="5"/>
  <c r="H25" i="5"/>
  <c r="I23" i="5"/>
  <c r="H23" i="5"/>
  <c r="G23" i="5"/>
  <c r="D48" i="5" s="1"/>
  <c r="F23" i="5"/>
  <c r="E23" i="5"/>
  <c r="C48" i="5" s="1"/>
  <c r="D23" i="5"/>
  <c r="C23" i="5"/>
  <c r="I22" i="5"/>
  <c r="H22" i="5"/>
  <c r="G22" i="5"/>
  <c r="F22" i="5"/>
  <c r="C22" i="5"/>
  <c r="B17" i="5"/>
  <c r="E5" i="5"/>
  <c r="C222" i="4"/>
  <c r="G213" i="4"/>
  <c r="G212" i="4"/>
  <c r="G211" i="4"/>
  <c r="E50" i="4" s="1"/>
  <c r="G210" i="4"/>
  <c r="G209" i="4"/>
  <c r="G208" i="4"/>
  <c r="G207" i="4"/>
  <c r="C148" i="4"/>
  <c r="D148" i="4" s="1"/>
  <c r="D139" i="4"/>
  <c r="C134" i="4"/>
  <c r="E134" i="4" s="1"/>
  <c r="C129" i="4"/>
  <c r="E129" i="4" s="1"/>
  <c r="J121" i="4"/>
  <c r="G14" i="4" s="1"/>
  <c r="J116" i="4"/>
  <c r="L114" i="4"/>
  <c r="K114" i="4"/>
  <c r="L112" i="4"/>
  <c r="I11" i="4" s="1"/>
  <c r="K112" i="4"/>
  <c r="D110" i="4"/>
  <c r="B110" i="4"/>
  <c r="E109" i="4"/>
  <c r="D108" i="4"/>
  <c r="E107" i="4"/>
  <c r="D107" i="4"/>
  <c r="B107" i="4"/>
  <c r="D106" i="4"/>
  <c r="B106" i="4"/>
  <c r="L105" i="4"/>
  <c r="K105" i="4"/>
  <c r="L103" i="4"/>
  <c r="K103" i="4"/>
  <c r="H9" i="4" s="1"/>
  <c r="F102" i="4"/>
  <c r="L101" i="4"/>
  <c r="K101" i="4"/>
  <c r="F101" i="4"/>
  <c r="E100" i="4"/>
  <c r="I100" i="4" s="1"/>
  <c r="I101" i="4" s="1"/>
  <c r="B100" i="4"/>
  <c r="E96" i="4"/>
  <c r="E87" i="4"/>
  <c r="B85" i="4"/>
  <c r="B84" i="4"/>
  <c r="F83" i="4"/>
  <c r="E80" i="4"/>
  <c r="B80" i="4"/>
  <c r="J102" i="21" s="1"/>
  <c r="V102" i="21" s="1"/>
  <c r="E76" i="4"/>
  <c r="B72" i="4"/>
  <c r="F70" i="4"/>
  <c r="B68" i="4"/>
  <c r="B67" i="4"/>
  <c r="B69" i="4" s="1"/>
  <c r="E66" i="4"/>
  <c r="B54" i="4"/>
  <c r="D54" i="4" s="1"/>
  <c r="D113" i="4" s="1"/>
  <c r="F48" i="4"/>
  <c r="F109" i="4" s="1"/>
  <c r="E48" i="4"/>
  <c r="D48" i="4"/>
  <c r="D109" i="4" s="1"/>
  <c r="B48" i="4"/>
  <c r="F45" i="4"/>
  <c r="F106" i="4" s="1"/>
  <c r="E43" i="4"/>
  <c r="B10" i="4" s="1"/>
  <c r="B43" i="4"/>
  <c r="D43" i="4" s="1"/>
  <c r="D104" i="4" s="1"/>
  <c r="E42" i="4"/>
  <c r="F42" i="4" s="1"/>
  <c r="C9" i="4" s="1"/>
  <c r="D42" i="4"/>
  <c r="D102" i="4" s="1"/>
  <c r="B42" i="4"/>
  <c r="F40" i="4"/>
  <c r="C8" i="4" s="1"/>
  <c r="F39" i="4"/>
  <c r="F100" i="4" s="1"/>
  <c r="E39" i="4"/>
  <c r="E40" i="4" s="1"/>
  <c r="C127" i="4" s="1"/>
  <c r="E127" i="4" s="1"/>
  <c r="D39" i="4"/>
  <c r="D100" i="4" s="1"/>
  <c r="B39" i="4"/>
  <c r="C33" i="4"/>
  <c r="B33" i="4"/>
  <c r="B73" i="4" s="1"/>
  <c r="D32" i="4"/>
  <c r="B32" i="4"/>
  <c r="C32" i="4" s="1"/>
  <c r="D31" i="4"/>
  <c r="C31" i="4"/>
  <c r="B31" i="4"/>
  <c r="B29" i="4"/>
  <c r="B28" i="4"/>
  <c r="B27" i="4"/>
  <c r="B66" i="4" s="1"/>
  <c r="J56" i="21" s="1"/>
  <c r="V56" i="21" s="1"/>
  <c r="B22" i="4"/>
  <c r="D24" i="1" s="1"/>
  <c r="B19" i="4"/>
  <c r="C16" i="4"/>
  <c r="G13" i="4"/>
  <c r="I12" i="4"/>
  <c r="H12" i="4"/>
  <c r="H11" i="4"/>
  <c r="I10" i="4"/>
  <c r="H10" i="4"/>
  <c r="I9" i="4"/>
  <c r="I8" i="4"/>
  <c r="B8" i="4"/>
  <c r="E3" i="4"/>
  <c r="E110" i="4" s="1"/>
  <c r="C226" i="3"/>
  <c r="G217" i="3"/>
  <c r="G216" i="3"/>
  <c r="E54" i="3" s="1"/>
  <c r="E55" i="3" s="1"/>
  <c r="G215" i="3"/>
  <c r="G214" i="3"/>
  <c r="G213" i="3"/>
  <c r="G212" i="3"/>
  <c r="E46" i="3" s="1"/>
  <c r="G211" i="3"/>
  <c r="C155" i="3"/>
  <c r="D155" i="3" s="1"/>
  <c r="C152" i="3"/>
  <c r="D152" i="3" s="1"/>
  <c r="D144" i="3"/>
  <c r="C139" i="3"/>
  <c r="E139" i="3" s="1"/>
  <c r="J125" i="3"/>
  <c r="J120" i="3"/>
  <c r="L118" i="3"/>
  <c r="K118" i="3"/>
  <c r="H14" i="3" s="1"/>
  <c r="E117" i="3"/>
  <c r="L116" i="3"/>
  <c r="K116" i="3"/>
  <c r="D114" i="3"/>
  <c r="D113" i="3"/>
  <c r="B113" i="3"/>
  <c r="D112" i="3"/>
  <c r="E111" i="3"/>
  <c r="D111" i="3"/>
  <c r="B111" i="3"/>
  <c r="D110" i="3"/>
  <c r="L109" i="3"/>
  <c r="K109" i="3"/>
  <c r="H12" i="3" s="1"/>
  <c r="L107" i="3"/>
  <c r="K107" i="3"/>
  <c r="H11" i="3" s="1"/>
  <c r="E106" i="3"/>
  <c r="D106" i="3"/>
  <c r="L105" i="3"/>
  <c r="K105" i="3"/>
  <c r="H10" i="3" s="1"/>
  <c r="G104" i="3"/>
  <c r="G105" i="3" s="1"/>
  <c r="E104" i="3"/>
  <c r="B104" i="3"/>
  <c r="F99" i="3"/>
  <c r="D20" i="3" s="1"/>
  <c r="E92" i="3"/>
  <c r="E91" i="3"/>
  <c r="B89" i="3"/>
  <c r="L101" i="21" s="1"/>
  <c r="B88" i="3"/>
  <c r="F87" i="3"/>
  <c r="E84" i="3"/>
  <c r="K101" i="21" s="1"/>
  <c r="B84" i="3"/>
  <c r="E80" i="3"/>
  <c r="F74" i="3"/>
  <c r="E70" i="3"/>
  <c r="K57" i="21" s="1"/>
  <c r="B70" i="3"/>
  <c r="D58" i="3"/>
  <c r="D117" i="3" s="1"/>
  <c r="B58" i="3"/>
  <c r="E52" i="3"/>
  <c r="D52" i="3"/>
  <c r="B52" i="3"/>
  <c r="F51" i="3"/>
  <c r="F112" i="3" s="1"/>
  <c r="F50" i="3"/>
  <c r="F111" i="3" s="1"/>
  <c r="F49" i="3"/>
  <c r="F110" i="3" s="1"/>
  <c r="E47" i="3"/>
  <c r="B47" i="3"/>
  <c r="D47" i="3" s="1"/>
  <c r="D108" i="3" s="1"/>
  <c r="F46" i="3"/>
  <c r="D46" i="3"/>
  <c r="B46" i="3"/>
  <c r="B106" i="3" s="1"/>
  <c r="D43" i="3"/>
  <c r="D104" i="3" s="1"/>
  <c r="I104" i="3" s="1"/>
  <c r="I105" i="3" s="1"/>
  <c r="B43" i="3"/>
  <c r="D37" i="3"/>
  <c r="B37" i="3"/>
  <c r="C37" i="3" s="1"/>
  <c r="D36" i="3"/>
  <c r="C36" i="3"/>
  <c r="B36" i="3"/>
  <c r="B76" i="3" s="1"/>
  <c r="B35" i="3"/>
  <c r="B72" i="3" s="1"/>
  <c r="B33" i="3"/>
  <c r="D32" i="3"/>
  <c r="B32" i="3"/>
  <c r="B31" i="3"/>
  <c r="B24" i="3"/>
  <c r="B21" i="3"/>
  <c r="C18" i="3"/>
  <c r="G16" i="3"/>
  <c r="G15" i="3"/>
  <c r="I14" i="3"/>
  <c r="I13" i="3"/>
  <c r="H13" i="3"/>
  <c r="I11" i="3"/>
  <c r="I10" i="3"/>
  <c r="F10" i="3"/>
  <c r="E5" i="3"/>
  <c r="C238" i="2"/>
  <c r="D230" i="2"/>
  <c r="G228" i="2"/>
  <c r="G227" i="2"/>
  <c r="G226" i="2"/>
  <c r="G225" i="2"/>
  <c r="G224" i="2"/>
  <c r="G223" i="2"/>
  <c r="G222" i="2"/>
  <c r="G221" i="2"/>
  <c r="G220" i="2"/>
  <c r="E50" i="2" s="1"/>
  <c r="G219" i="2"/>
  <c r="E49" i="2" s="1"/>
  <c r="G218" i="2"/>
  <c r="G217" i="2"/>
  <c r="G216" i="2"/>
  <c r="E42" i="2" s="1"/>
  <c r="G215" i="2"/>
  <c r="D165" i="2"/>
  <c r="C165" i="2"/>
  <c r="C163" i="2"/>
  <c r="D163" i="2" s="1"/>
  <c r="D153" i="2"/>
  <c r="C147" i="2"/>
  <c r="E147" i="2" s="1"/>
  <c r="J132" i="2"/>
  <c r="J127" i="2"/>
  <c r="G126" i="2"/>
  <c r="G127" i="2" s="1"/>
  <c r="D15" i="2" s="1"/>
  <c r="L125" i="2"/>
  <c r="K125" i="2"/>
  <c r="H14" i="2" s="1"/>
  <c r="E124" i="2"/>
  <c r="L123" i="2"/>
  <c r="K123" i="2"/>
  <c r="G122" i="2"/>
  <c r="D121" i="2"/>
  <c r="C119" i="2"/>
  <c r="G118" i="2"/>
  <c r="D118" i="2"/>
  <c r="E117" i="2"/>
  <c r="L116" i="2"/>
  <c r="K116" i="2"/>
  <c r="H12" i="2" s="1"/>
  <c r="L114" i="2"/>
  <c r="K114" i="2"/>
  <c r="L112" i="2"/>
  <c r="K112" i="2"/>
  <c r="E110" i="2"/>
  <c r="D103" i="2"/>
  <c r="B103" i="2"/>
  <c r="E103" i="2" s="1"/>
  <c r="D54" i="17" s="1"/>
  <c r="E95" i="2"/>
  <c r="E94" i="2"/>
  <c r="B92" i="2"/>
  <c r="L92" i="21" s="1"/>
  <c r="B90" i="2"/>
  <c r="F89" i="2"/>
  <c r="E86" i="2"/>
  <c r="B86" i="2"/>
  <c r="J92" i="21" s="1"/>
  <c r="B78" i="2"/>
  <c r="F76" i="2"/>
  <c r="E74" i="2"/>
  <c r="D74" i="2"/>
  <c r="E72" i="2"/>
  <c r="C149" i="2" s="1"/>
  <c r="E149" i="2" s="1"/>
  <c r="E68" i="2"/>
  <c r="B58" i="2"/>
  <c r="E53" i="2"/>
  <c r="D53" i="2"/>
  <c r="B65" i="18" s="1"/>
  <c r="B53" i="2"/>
  <c r="B63" i="18" s="1"/>
  <c r="E52" i="2"/>
  <c r="D52" i="2"/>
  <c r="D120" i="2" s="1"/>
  <c r="B52" i="2"/>
  <c r="E51" i="2"/>
  <c r="D51" i="2"/>
  <c r="D119" i="2" s="1"/>
  <c r="B51" i="2"/>
  <c r="F50" i="2"/>
  <c r="F118" i="2" s="1"/>
  <c r="H118" i="2" s="1"/>
  <c r="D50" i="2"/>
  <c r="B50" i="2"/>
  <c r="D49" i="2"/>
  <c r="D117" i="2" s="1"/>
  <c r="B49" i="2"/>
  <c r="E47" i="2"/>
  <c r="D47" i="2" s="1"/>
  <c r="D115" i="2" s="1"/>
  <c r="B47" i="2"/>
  <c r="E46" i="2"/>
  <c r="D46" i="2"/>
  <c r="D113" i="2" s="1"/>
  <c r="B46" i="2"/>
  <c r="E43" i="2"/>
  <c r="D24" i="19" s="1"/>
  <c r="D42" i="2"/>
  <c r="D111" i="2" s="1"/>
  <c r="B42" i="2"/>
  <c r="E41" i="2"/>
  <c r="D41" i="2"/>
  <c r="D110" i="2" s="1"/>
  <c r="B41" i="2"/>
  <c r="B35" i="2"/>
  <c r="B79" i="2" s="1"/>
  <c r="B34" i="2"/>
  <c r="B33" i="2"/>
  <c r="B74" i="2" s="1"/>
  <c r="D32" i="2"/>
  <c r="D30" i="2"/>
  <c r="G110" i="2" s="1"/>
  <c r="B30" i="2"/>
  <c r="F41" i="2" s="1"/>
  <c r="F110" i="2" s="1"/>
  <c r="B29" i="2"/>
  <c r="B72" i="2" s="1"/>
  <c r="J55" i="21" s="1"/>
  <c r="B21" i="2"/>
  <c r="G16" i="2"/>
  <c r="G15" i="2"/>
  <c r="I14" i="2"/>
  <c r="I13" i="2"/>
  <c r="H13" i="2"/>
  <c r="I12" i="2"/>
  <c r="B12" i="2"/>
  <c r="I11" i="2"/>
  <c r="H11" i="2"/>
  <c r="I10" i="2"/>
  <c r="E5" i="2"/>
  <c r="D35" i="2" s="1"/>
  <c r="D49" i="1"/>
  <c r="D48" i="1"/>
  <c r="C48" i="1"/>
  <c r="H48" i="1" s="1"/>
  <c r="D47" i="1"/>
  <c r="H47" i="1" s="1"/>
  <c r="C47" i="1"/>
  <c r="D46" i="1"/>
  <c r="C46" i="1"/>
  <c r="H46" i="1" s="1"/>
  <c r="D44" i="1"/>
  <c r="H44" i="1" s="1"/>
  <c r="C44" i="1"/>
  <c r="D43" i="1"/>
  <c r="H43" i="1" s="1"/>
  <c r="C43" i="1"/>
  <c r="F42" i="1"/>
  <c r="D42" i="1"/>
  <c r="H42" i="1" s="1"/>
  <c r="C42" i="1"/>
  <c r="D41" i="1"/>
  <c r="C41" i="1"/>
  <c r="H41" i="1" s="1"/>
  <c r="D40" i="1"/>
  <c r="C40" i="1"/>
  <c r="B40" i="1"/>
  <c r="B34" i="1"/>
  <c r="C24" i="1"/>
  <c r="I18" i="1"/>
  <c r="I17" i="1"/>
  <c r="I16" i="1"/>
  <c r="F11" i="1"/>
  <c r="E11" i="1"/>
  <c r="D11" i="1"/>
  <c r="C11" i="1"/>
  <c r="B11" i="1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38" i="8"/>
  <c r="M137" i="8"/>
  <c r="M136" i="8"/>
  <c r="H84" i="5" s="1"/>
  <c r="M135" i="8"/>
  <c r="M134" i="8"/>
  <c r="M133" i="8"/>
  <c r="M132" i="8"/>
  <c r="M131" i="8"/>
  <c r="M130" i="8"/>
  <c r="M129" i="8"/>
  <c r="M128" i="8"/>
  <c r="M127" i="8"/>
  <c r="M126" i="8"/>
  <c r="M125" i="8"/>
  <c r="M124" i="8"/>
  <c r="M122" i="8"/>
  <c r="B57" i="8"/>
  <c r="C57" i="8" s="1"/>
  <c r="L50" i="8"/>
  <c r="K50" i="8"/>
  <c r="J50" i="8"/>
  <c r="I50" i="8"/>
  <c r="M50" i="8" s="1"/>
  <c r="H50" i="8"/>
  <c r="G50" i="8"/>
  <c r="F50" i="8"/>
  <c r="E50" i="8"/>
  <c r="D50" i="8"/>
  <c r="C50" i="8"/>
  <c r="B50" i="8"/>
  <c r="L48" i="8"/>
  <c r="M48" i="8" s="1"/>
  <c r="K48" i="8"/>
  <c r="J48" i="8"/>
  <c r="I48" i="8"/>
  <c r="H48" i="8"/>
  <c r="G48" i="8"/>
  <c r="F48" i="8"/>
  <c r="E48" i="8"/>
  <c r="D48" i="8"/>
  <c r="C48" i="8"/>
  <c r="B48" i="8"/>
  <c r="K44" i="8"/>
  <c r="J44" i="8"/>
  <c r="I44" i="8"/>
  <c r="I43" i="8"/>
  <c r="H43" i="8"/>
  <c r="F43" i="8"/>
  <c r="E43" i="8"/>
  <c r="D43" i="8"/>
  <c r="C43" i="8"/>
  <c r="L42" i="8"/>
  <c r="K42" i="8"/>
  <c r="J42" i="8"/>
  <c r="I42" i="8"/>
  <c r="H42" i="8"/>
  <c r="G42" i="8"/>
  <c r="F42" i="8"/>
  <c r="E42" i="8"/>
  <c r="D42" i="8"/>
  <c r="C42" i="8"/>
  <c r="B42" i="8"/>
  <c r="L39" i="8"/>
  <c r="K39" i="8"/>
  <c r="J39" i="8"/>
  <c r="J41" i="8" s="1"/>
  <c r="I39" i="8"/>
  <c r="H39" i="8"/>
  <c r="G39" i="8"/>
  <c r="F39" i="8"/>
  <c r="E39" i="8"/>
  <c r="D39" i="8"/>
  <c r="C39" i="8"/>
  <c r="B39" i="8"/>
  <c r="K36" i="8"/>
  <c r="J36" i="8"/>
  <c r="L34" i="8"/>
  <c r="L110" i="21" s="1"/>
  <c r="K34" i="8"/>
  <c r="L109" i="21" s="1"/>
  <c r="J34" i="8"/>
  <c r="L114" i="21" s="1"/>
  <c r="Q114" i="21" s="1"/>
  <c r="I34" i="8"/>
  <c r="L95" i="21" s="1"/>
  <c r="H34" i="8"/>
  <c r="L94" i="21" s="1"/>
  <c r="G34" i="8"/>
  <c r="L93" i="21" s="1"/>
  <c r="F34" i="8"/>
  <c r="L96" i="21" s="1"/>
  <c r="E34" i="8"/>
  <c r="L100" i="21" s="1"/>
  <c r="U100" i="21" s="1"/>
  <c r="D34" i="8"/>
  <c r="L99" i="21" s="1"/>
  <c r="C34" i="8"/>
  <c r="L97" i="21" s="1"/>
  <c r="B34" i="8"/>
  <c r="L32" i="8"/>
  <c r="M32" i="8" s="1"/>
  <c r="K32" i="8"/>
  <c r="K43" i="8" s="1"/>
  <c r="J32" i="8"/>
  <c r="J43" i="8" s="1"/>
  <c r="I32" i="8"/>
  <c r="H32" i="8"/>
  <c r="G32" i="8"/>
  <c r="G43" i="8" s="1"/>
  <c r="F32" i="8"/>
  <c r="E32" i="8"/>
  <c r="D32" i="8"/>
  <c r="C32" i="8"/>
  <c r="B32" i="8"/>
  <c r="B43" i="8" s="1"/>
  <c r="L29" i="8"/>
  <c r="L44" i="8" s="1"/>
  <c r="K29" i="8"/>
  <c r="J29" i="8"/>
  <c r="D29" i="8"/>
  <c r="D44" i="8" s="1"/>
  <c r="B29" i="8"/>
  <c r="L28" i="8"/>
  <c r="K110" i="21" s="1"/>
  <c r="K28" i="8"/>
  <c r="K109" i="21" s="1"/>
  <c r="J28" i="8"/>
  <c r="K114" i="21" s="1"/>
  <c r="I28" i="8"/>
  <c r="K95" i="21" s="1"/>
  <c r="H28" i="8"/>
  <c r="K94" i="21" s="1"/>
  <c r="G28" i="8"/>
  <c r="F28" i="8"/>
  <c r="K96" i="21" s="1"/>
  <c r="E28" i="8"/>
  <c r="K100" i="21" s="1"/>
  <c r="D28" i="8"/>
  <c r="K99" i="21" s="1"/>
  <c r="C28" i="8"/>
  <c r="K97" i="21" s="1"/>
  <c r="B28" i="8"/>
  <c r="K98" i="21" s="1"/>
  <c r="L27" i="8"/>
  <c r="L36" i="8" s="1"/>
  <c r="K27" i="8"/>
  <c r="J109" i="21" s="1"/>
  <c r="V109" i="21" s="1"/>
  <c r="J27" i="8"/>
  <c r="J114" i="21" s="1"/>
  <c r="V114" i="21" s="1"/>
  <c r="I27" i="8"/>
  <c r="H27" i="8"/>
  <c r="J94" i="21" s="1"/>
  <c r="V94" i="21" s="1"/>
  <c r="G27" i="8"/>
  <c r="J93" i="21" s="1"/>
  <c r="V93" i="21" s="1"/>
  <c r="F27" i="8"/>
  <c r="E27" i="8"/>
  <c r="D27" i="8"/>
  <c r="C27" i="8"/>
  <c r="B27" i="8"/>
  <c r="L19" i="8"/>
  <c r="K19" i="8"/>
  <c r="J19" i="8"/>
  <c r="I19" i="8"/>
  <c r="H19" i="8"/>
  <c r="G19" i="8"/>
  <c r="F19" i="8"/>
  <c r="E19" i="8"/>
  <c r="D19" i="8"/>
  <c r="C19" i="8"/>
  <c r="B19" i="8"/>
  <c r="L15" i="8"/>
  <c r="K15" i="8"/>
  <c r="J15" i="8"/>
  <c r="I15" i="8"/>
  <c r="H15" i="8"/>
  <c r="G15" i="8"/>
  <c r="F15" i="8"/>
  <c r="E15" i="8"/>
  <c r="D15" i="8"/>
  <c r="C15" i="8"/>
  <c r="B15" i="8"/>
  <c r="D14" i="8"/>
  <c r="B14" i="8"/>
  <c r="L12" i="8"/>
  <c r="K12" i="8"/>
  <c r="J12" i="8"/>
  <c r="I12" i="8"/>
  <c r="H12" i="8"/>
  <c r="G12" i="8"/>
  <c r="F12" i="8"/>
  <c r="E12" i="8"/>
  <c r="D12" i="8"/>
  <c r="C12" i="8"/>
  <c r="B12" i="8"/>
  <c r="M12" i="8" s="1"/>
  <c r="L11" i="8"/>
  <c r="K11" i="8"/>
  <c r="J11" i="8"/>
  <c r="I11" i="8"/>
  <c r="H11" i="8"/>
  <c r="G11" i="8"/>
  <c r="F11" i="8"/>
  <c r="E11" i="8"/>
  <c r="D11" i="8"/>
  <c r="C11" i="8"/>
  <c r="B11" i="8"/>
  <c r="L10" i="8"/>
  <c r="L14" i="8" s="1"/>
  <c r="K10" i="8"/>
  <c r="K14" i="8" s="1"/>
  <c r="J10" i="8"/>
  <c r="M10" i="8" s="1"/>
  <c r="E24" i="5" s="1"/>
  <c r="I10" i="8"/>
  <c r="I14" i="8" s="1"/>
  <c r="H10" i="8"/>
  <c r="H14" i="8" s="1"/>
  <c r="G10" i="8"/>
  <c r="G14" i="8" s="1"/>
  <c r="F10" i="8"/>
  <c r="F14" i="8" s="1"/>
  <c r="E10" i="8"/>
  <c r="E14" i="8" s="1"/>
  <c r="D10" i="8"/>
  <c r="C10" i="8"/>
  <c r="B10" i="8"/>
  <c r="L9" i="8"/>
  <c r="K9" i="8"/>
  <c r="J9" i="8"/>
  <c r="I9" i="8"/>
  <c r="H9" i="8"/>
  <c r="G9" i="8"/>
  <c r="F9" i="8"/>
  <c r="E9" i="8"/>
  <c r="D9" i="8"/>
  <c r="C9" i="8"/>
  <c r="B9" i="8"/>
  <c r="L8" i="8"/>
  <c r="K8" i="8"/>
  <c r="J8" i="8"/>
  <c r="I8" i="8"/>
  <c r="I29" i="8" s="1"/>
  <c r="G8" i="8"/>
  <c r="G29" i="8" s="1"/>
  <c r="G44" i="8" s="1"/>
  <c r="F8" i="8"/>
  <c r="F29" i="8" s="1"/>
  <c r="F44" i="8" s="1"/>
  <c r="D8" i="8"/>
  <c r="C8" i="8"/>
  <c r="C29" i="8" s="1"/>
  <c r="C44" i="8" s="1"/>
  <c r="B8" i="8"/>
  <c r="L7" i="8"/>
  <c r="K7" i="8"/>
  <c r="J7" i="8"/>
  <c r="I7" i="8"/>
  <c r="H7" i="8"/>
  <c r="G7" i="8"/>
  <c r="F7" i="8"/>
  <c r="E7" i="8"/>
  <c r="E8" i="8" s="1"/>
  <c r="E29" i="8" s="1"/>
  <c r="D7" i="8"/>
  <c r="C7" i="8"/>
  <c r="B7" i="8"/>
  <c r="H110" i="2" l="1"/>
  <c r="C49" i="5"/>
  <c r="M19" i="8"/>
  <c r="C11" i="3"/>
  <c r="F106" i="3"/>
  <c r="D10" i="3"/>
  <c r="I109" i="4"/>
  <c r="B48" i="12"/>
  <c r="B57" i="12" s="1"/>
  <c r="C13" i="12"/>
  <c r="L43" i="8"/>
  <c r="L102" i="21"/>
  <c r="D39" i="15"/>
  <c r="F172" i="16"/>
  <c r="G172" i="16" s="1"/>
  <c r="F93" i="16"/>
  <c r="C73" i="5" s="1"/>
  <c r="D73" i="5" s="1"/>
  <c r="D39" i="14"/>
  <c r="D39" i="13"/>
  <c r="D39" i="10"/>
  <c r="D39" i="9"/>
  <c r="D39" i="12"/>
  <c r="D39" i="11"/>
  <c r="D39" i="7"/>
  <c r="D39" i="6"/>
  <c r="G117" i="3"/>
  <c r="G118" i="3" s="1"/>
  <c r="G115" i="3"/>
  <c r="G113" i="3"/>
  <c r="G108" i="3"/>
  <c r="G109" i="3" s="1"/>
  <c r="D12" i="3" s="1"/>
  <c r="G121" i="3"/>
  <c r="C110" i="3"/>
  <c r="G106" i="3"/>
  <c r="G107" i="3" s="1"/>
  <c r="D11" i="3" s="1"/>
  <c r="E34" i="3"/>
  <c r="C114" i="3"/>
  <c r="C117" i="3"/>
  <c r="G114" i="3"/>
  <c r="G112" i="3"/>
  <c r="H112" i="3" s="1"/>
  <c r="C108" i="3"/>
  <c r="G110" i="3"/>
  <c r="G122" i="3"/>
  <c r="K122" i="3" s="1"/>
  <c r="G119" i="3"/>
  <c r="G120" i="3" s="1"/>
  <c r="D15" i="3" s="1"/>
  <c r="C106" i="3"/>
  <c r="J106" i="3" s="1"/>
  <c r="J107" i="3" s="1"/>
  <c r="G11" i="3" s="1"/>
  <c r="E37" i="3"/>
  <c r="G124" i="3"/>
  <c r="K124" i="3" s="1"/>
  <c r="C111" i="3"/>
  <c r="J111" i="3" s="1"/>
  <c r="C113" i="3"/>
  <c r="J113" i="3" s="1"/>
  <c r="E36" i="3"/>
  <c r="G123" i="3"/>
  <c r="K123" i="3" s="1"/>
  <c r="C112" i="3"/>
  <c r="E35" i="3"/>
  <c r="C104" i="3"/>
  <c r="J104" i="3" s="1"/>
  <c r="J105" i="3" s="1"/>
  <c r="D18" i="3"/>
  <c r="G111" i="3"/>
  <c r="C135" i="3"/>
  <c r="E135" i="3" s="1"/>
  <c r="B13" i="3"/>
  <c r="F55" i="3"/>
  <c r="C13" i="3" s="1"/>
  <c r="B8" i="7"/>
  <c r="F32" i="7"/>
  <c r="E44" i="2"/>
  <c r="D23" i="19"/>
  <c r="D52" i="17"/>
  <c r="B24" i="2"/>
  <c r="B24" i="1" s="1"/>
  <c r="C146" i="2"/>
  <c r="E146" i="2" s="1"/>
  <c r="H111" i="3"/>
  <c r="M111" i="3" s="1"/>
  <c r="I107" i="4"/>
  <c r="M43" i="8"/>
  <c r="F8" i="4"/>
  <c r="I111" i="2"/>
  <c r="D47" i="5"/>
  <c r="B56" i="14"/>
  <c r="M39" i="8"/>
  <c r="H40" i="1"/>
  <c r="E40" i="1"/>
  <c r="G40" i="1" s="1"/>
  <c r="I40" i="1" s="1"/>
  <c r="J110" i="21"/>
  <c r="V110" i="21" s="1"/>
  <c r="H8" i="8"/>
  <c r="H29" i="8" s="1"/>
  <c r="L55" i="21"/>
  <c r="I108" i="3"/>
  <c r="I109" i="3" s="1"/>
  <c r="F12" i="3" s="1"/>
  <c r="I195" i="22"/>
  <c r="V55" i="21"/>
  <c r="F103" i="4"/>
  <c r="B70" i="14"/>
  <c r="C70" i="14" s="1"/>
  <c r="B40" i="14"/>
  <c r="G27" i="5"/>
  <c r="D52" i="5" s="1"/>
  <c r="R92" i="21"/>
  <c r="S92" i="21" s="1"/>
  <c r="R55" i="21"/>
  <c r="B6" i="17"/>
  <c r="C95" i="16"/>
  <c r="G95" i="16" s="1"/>
  <c r="B121" i="2"/>
  <c r="J121" i="2" s="1"/>
  <c r="B119" i="2"/>
  <c r="B110" i="2"/>
  <c r="F43" i="2"/>
  <c r="B117" i="2"/>
  <c r="B73" i="2"/>
  <c r="B75" i="2" s="1"/>
  <c r="C34" i="2"/>
  <c r="B115" i="2"/>
  <c r="F53" i="2"/>
  <c r="F121" i="2" s="1"/>
  <c r="H121" i="2" s="1"/>
  <c r="F49" i="2"/>
  <c r="F117" i="2" s="1"/>
  <c r="F42" i="2"/>
  <c r="F111" i="2" s="1"/>
  <c r="H111" i="2" s="1"/>
  <c r="C33" i="2"/>
  <c r="K126" i="2"/>
  <c r="K127" i="2" s="1"/>
  <c r="H15" i="2" s="1"/>
  <c r="B111" i="2"/>
  <c r="F52" i="2"/>
  <c r="F120" i="2" s="1"/>
  <c r="B67" i="2"/>
  <c r="B68" i="2" s="1"/>
  <c r="F47" i="2"/>
  <c r="F44" i="2"/>
  <c r="C10" i="2" s="1"/>
  <c r="B120" i="2"/>
  <c r="J120" i="2" s="1"/>
  <c r="F51" i="2"/>
  <c r="F119" i="2" s="1"/>
  <c r="B118" i="2"/>
  <c r="C35" i="2"/>
  <c r="F46" i="2"/>
  <c r="B124" i="2"/>
  <c r="J124" i="2" s="1"/>
  <c r="J125" i="2" s="1"/>
  <c r="G14" i="2" s="1"/>
  <c r="C18" i="2"/>
  <c r="C31" i="18"/>
  <c r="D31" i="18" s="1"/>
  <c r="F31" i="18" s="1"/>
  <c r="H10" i="2"/>
  <c r="E54" i="2"/>
  <c r="F54" i="2" s="1"/>
  <c r="F122" i="2" s="1"/>
  <c r="H122" i="2" s="1"/>
  <c r="G229" i="2"/>
  <c r="F34" i="14"/>
  <c r="C9" i="14" s="1"/>
  <c r="B44" i="8"/>
  <c r="G131" i="2"/>
  <c r="K131" i="2" s="1"/>
  <c r="G113" i="2"/>
  <c r="G114" i="2" s="1"/>
  <c r="D11" i="2" s="1"/>
  <c r="C110" i="2"/>
  <c r="E34" i="2"/>
  <c r="C113" i="2"/>
  <c r="E33" i="2"/>
  <c r="G130" i="2"/>
  <c r="K130" i="2" s="1"/>
  <c r="C117" i="2"/>
  <c r="C115" i="2"/>
  <c r="G111" i="2"/>
  <c r="G112" i="2" s="1"/>
  <c r="G120" i="2"/>
  <c r="G124" i="2"/>
  <c r="G125" i="2" s="1"/>
  <c r="C111" i="2"/>
  <c r="C120" i="2"/>
  <c r="G115" i="2"/>
  <c r="G116" i="2" s="1"/>
  <c r="D12" i="2" s="1"/>
  <c r="C124" i="2"/>
  <c r="G128" i="2"/>
  <c r="G121" i="2"/>
  <c r="C118" i="2"/>
  <c r="E35" i="2"/>
  <c r="C121" i="2"/>
  <c r="G129" i="2"/>
  <c r="K129" i="2" s="1"/>
  <c r="G117" i="2"/>
  <c r="G123" i="2" s="1"/>
  <c r="D13" i="2" s="1"/>
  <c r="D18" i="2"/>
  <c r="E32" i="2"/>
  <c r="B9" i="14"/>
  <c r="E44" i="8"/>
  <c r="J95" i="21"/>
  <c r="V95" i="21" s="1"/>
  <c r="I36" i="8"/>
  <c r="B31" i="2"/>
  <c r="B113" i="2"/>
  <c r="G119" i="2"/>
  <c r="F34" i="13"/>
  <c r="C9" i="13" s="1"/>
  <c r="F33" i="13"/>
  <c r="B13" i="13"/>
  <c r="C89" i="5"/>
  <c r="C26" i="5"/>
  <c r="B49" i="7"/>
  <c r="J112" i="21"/>
  <c r="H24" i="5"/>
  <c r="H43" i="5" s="1"/>
  <c r="B58" i="8"/>
  <c r="C58" i="8" s="1"/>
  <c r="M11" i="8"/>
  <c r="F24" i="5" s="1"/>
  <c r="J14" i="8"/>
  <c r="J98" i="21"/>
  <c r="V98" i="21" s="1"/>
  <c r="M27" i="8"/>
  <c r="B36" i="8"/>
  <c r="U97" i="21"/>
  <c r="Q97" i="21"/>
  <c r="D33" i="2"/>
  <c r="E120" i="2"/>
  <c r="I120" i="2" s="1"/>
  <c r="G214" i="4"/>
  <c r="B26" i="9"/>
  <c r="D25" i="5"/>
  <c r="B31" i="9"/>
  <c r="B31" i="10"/>
  <c r="B26" i="10"/>
  <c r="Q100" i="21"/>
  <c r="E98" i="16"/>
  <c r="G98" i="16"/>
  <c r="C98" i="16"/>
  <c r="F98" i="16"/>
  <c r="D98" i="16"/>
  <c r="B34" i="3"/>
  <c r="J57" i="21"/>
  <c r="V57" i="21" s="1"/>
  <c r="I106" i="3"/>
  <c r="I107" i="3" s="1"/>
  <c r="F11" i="3" s="1"/>
  <c r="I114" i="3"/>
  <c r="I102" i="4"/>
  <c r="I103" i="4" s="1"/>
  <c r="F9" i="4" s="1"/>
  <c r="B48" i="9"/>
  <c r="C13" i="9"/>
  <c r="K9" i="18"/>
  <c r="M9" i="18" s="1"/>
  <c r="L9" i="18"/>
  <c r="C51" i="16"/>
  <c r="C61" i="16"/>
  <c r="M42" i="8"/>
  <c r="D25" i="19"/>
  <c r="B11" i="2"/>
  <c r="C140" i="2"/>
  <c r="E140" i="2" s="1"/>
  <c r="E55" i="2"/>
  <c r="F116" i="3"/>
  <c r="H93" i="5"/>
  <c r="D66" i="7"/>
  <c r="B70" i="12"/>
  <c r="C70" i="12" s="1"/>
  <c r="G26" i="5"/>
  <c r="D51" i="5" s="1"/>
  <c r="B9" i="12"/>
  <c r="B40" i="12"/>
  <c r="M9" i="8"/>
  <c r="D24" i="5" s="1"/>
  <c r="J100" i="21"/>
  <c r="V100" i="21" s="1"/>
  <c r="E36" i="8"/>
  <c r="U96" i="21"/>
  <c r="Q96" i="21"/>
  <c r="V92" i="21"/>
  <c r="E121" i="2"/>
  <c r="L56" i="21"/>
  <c r="E51" i="4"/>
  <c r="C14" i="5"/>
  <c r="C11" i="5"/>
  <c r="C13" i="11"/>
  <c r="B48" i="11"/>
  <c r="F34" i="12"/>
  <c r="C9" i="12" s="1"/>
  <c r="G47" i="7"/>
  <c r="E83" i="5"/>
  <c r="K112" i="21"/>
  <c r="B32" i="9"/>
  <c r="E32" i="9" s="1"/>
  <c r="B8" i="9" s="1"/>
  <c r="E25" i="5"/>
  <c r="C50" i="5" s="1"/>
  <c r="F49" i="10"/>
  <c r="F53" i="10" s="1"/>
  <c r="F54" i="10" s="1"/>
  <c r="G47" i="10"/>
  <c r="J99" i="21"/>
  <c r="V99" i="21" s="1"/>
  <c r="D36" i="8"/>
  <c r="M15" i="8"/>
  <c r="J96" i="21"/>
  <c r="V96" i="21" s="1"/>
  <c r="F36" i="8"/>
  <c r="U93" i="21"/>
  <c r="Q93" i="21"/>
  <c r="G36" i="8"/>
  <c r="K92" i="21"/>
  <c r="F13" i="21" s="1"/>
  <c r="C151" i="2"/>
  <c r="E151" i="2" s="1"/>
  <c r="C140" i="3"/>
  <c r="E140" i="3" s="1"/>
  <c r="K113" i="21"/>
  <c r="G47" i="15"/>
  <c r="E91" i="5"/>
  <c r="Q99" i="21"/>
  <c r="U99" i="21"/>
  <c r="C14" i="8"/>
  <c r="M14" i="8" s="1"/>
  <c r="D26" i="19"/>
  <c r="C141" i="2"/>
  <c r="E141" i="2" s="1"/>
  <c r="B70" i="6"/>
  <c r="C70" i="6" s="1"/>
  <c r="B9" i="6"/>
  <c r="B40" i="6"/>
  <c r="F34" i="6"/>
  <c r="C9" i="6" s="1"/>
  <c r="L112" i="21"/>
  <c r="H9" i="21"/>
  <c r="C31" i="21" s="1"/>
  <c r="D31" i="21" s="1"/>
  <c r="G22" i="21"/>
  <c r="H22" i="21" s="1"/>
  <c r="C134" i="3"/>
  <c r="E134" i="3" s="1"/>
  <c r="B12" i="3"/>
  <c r="K111" i="21"/>
  <c r="V111" i="21" s="1"/>
  <c r="G47" i="6"/>
  <c r="E82" i="5"/>
  <c r="L98" i="21"/>
  <c r="M34" i="8"/>
  <c r="I12" i="3"/>
  <c r="J97" i="21"/>
  <c r="V97" i="21" s="1"/>
  <c r="C36" i="8"/>
  <c r="C133" i="3"/>
  <c r="E133" i="3" s="1"/>
  <c r="B11" i="3"/>
  <c r="M7" i="8"/>
  <c r="M28" i="8"/>
  <c r="Q95" i="21"/>
  <c r="U95" i="21"/>
  <c r="E119" i="2"/>
  <c r="I119" i="2" s="1"/>
  <c r="C166" i="2"/>
  <c r="D166" i="2" s="1"/>
  <c r="E115" i="2"/>
  <c r="D34" i="2"/>
  <c r="E111" i="2"/>
  <c r="E113" i="2"/>
  <c r="E106" i="2"/>
  <c r="H14" i="17" s="1"/>
  <c r="F105" i="2"/>
  <c r="D20" i="2" s="1"/>
  <c r="E118" i="2"/>
  <c r="I118" i="2" s="1"/>
  <c r="E67" i="2"/>
  <c r="F54" i="13"/>
  <c r="H110" i="3"/>
  <c r="Q101" i="21"/>
  <c r="U101" i="21"/>
  <c r="F34" i="7"/>
  <c r="C9" i="7" s="1"/>
  <c r="C83" i="5"/>
  <c r="F33" i="7"/>
  <c r="B56" i="9"/>
  <c r="C55" i="9"/>
  <c r="C14" i="9" s="1"/>
  <c r="U94" i="21"/>
  <c r="Q94" i="21"/>
  <c r="C49" i="1"/>
  <c r="H49" i="1" s="1"/>
  <c r="B77" i="3"/>
  <c r="F33" i="10"/>
  <c r="F54" i="12"/>
  <c r="B70" i="10"/>
  <c r="C70" i="10" s="1"/>
  <c r="B9" i="10"/>
  <c r="U109" i="21"/>
  <c r="Q109" i="21"/>
  <c r="K55" i="21"/>
  <c r="C10" i="21"/>
  <c r="U92" i="21"/>
  <c r="Q92" i="21"/>
  <c r="F53" i="6"/>
  <c r="F32" i="11"/>
  <c r="C8" i="11" s="1"/>
  <c r="U110" i="21"/>
  <c r="Q110" i="21"/>
  <c r="I111" i="3"/>
  <c r="B13" i="10"/>
  <c r="C86" i="5"/>
  <c r="F32" i="10"/>
  <c r="C25" i="5"/>
  <c r="K13" i="18"/>
  <c r="M13" i="18" s="1"/>
  <c r="C128" i="4"/>
  <c r="E52" i="4"/>
  <c r="E53" i="6"/>
  <c r="F25" i="5"/>
  <c r="B32" i="6"/>
  <c r="E32" i="6" s="1"/>
  <c r="E22" i="5"/>
  <c r="C13" i="10"/>
  <c r="B48" i="10"/>
  <c r="B31" i="14"/>
  <c r="B26" i="14"/>
  <c r="D27" i="5"/>
  <c r="D84" i="19"/>
  <c r="B9" i="4"/>
  <c r="F34" i="10"/>
  <c r="C9" i="10" s="1"/>
  <c r="D35" i="3"/>
  <c r="E110" i="3"/>
  <c r="E113" i="3"/>
  <c r="I113" i="3" s="1"/>
  <c r="E108" i="3"/>
  <c r="E114" i="3"/>
  <c r="E112" i="3"/>
  <c r="D34" i="3"/>
  <c r="R101" i="21"/>
  <c r="S101" i="21" s="1"/>
  <c r="D95" i="16"/>
  <c r="C6" i="17"/>
  <c r="K121" i="3"/>
  <c r="B112" i="3"/>
  <c r="J112" i="3" s="1"/>
  <c r="F53" i="3"/>
  <c r="F114" i="3" s="1"/>
  <c r="F52" i="3"/>
  <c r="F113" i="3" s="1"/>
  <c r="C35" i="3"/>
  <c r="R57" i="21"/>
  <c r="S57" i="21" s="1"/>
  <c r="B71" i="3"/>
  <c r="B73" i="3" s="1"/>
  <c r="B110" i="3"/>
  <c r="F47" i="3"/>
  <c r="K119" i="3"/>
  <c r="K120" i="3" s="1"/>
  <c r="H15" i="3" s="1"/>
  <c r="B117" i="3"/>
  <c r="I117" i="3" s="1"/>
  <c r="I118" i="3" s="1"/>
  <c r="F14" i="3" s="1"/>
  <c r="B108" i="3"/>
  <c r="F54" i="3"/>
  <c r="F115" i="3" s="1"/>
  <c r="E100" i="3"/>
  <c r="B114" i="3"/>
  <c r="G25" i="5"/>
  <c r="D50" i="5" s="1"/>
  <c r="F54" i="6"/>
  <c r="F54" i="7"/>
  <c r="M38" i="20"/>
  <c r="E9" i="21"/>
  <c r="C30" i="21" s="1"/>
  <c r="D30" i="21" s="1"/>
  <c r="D22" i="21"/>
  <c r="E22" i="21" s="1"/>
  <c r="F49" i="4"/>
  <c r="F110" i="4" s="1"/>
  <c r="H92" i="5"/>
  <c r="C82" i="5"/>
  <c r="B33" i="12"/>
  <c r="E33" i="12" s="1"/>
  <c r="F33" i="12" s="1"/>
  <c r="C8" i="12" s="1"/>
  <c r="F26" i="5"/>
  <c r="L103" i="21"/>
  <c r="R102" i="21"/>
  <c r="S102" i="21" s="1"/>
  <c r="R56" i="21"/>
  <c r="S56" i="21" s="1"/>
  <c r="E95" i="16"/>
  <c r="D6" i="17"/>
  <c r="B113" i="4"/>
  <c r="F47" i="4"/>
  <c r="F108" i="4" s="1"/>
  <c r="C30" i="4"/>
  <c r="B109" i="4"/>
  <c r="B104" i="4"/>
  <c r="F46" i="4"/>
  <c r="F107" i="4" s="1"/>
  <c r="B102" i="4"/>
  <c r="F43" i="4"/>
  <c r="F50" i="4"/>
  <c r="F111" i="4" s="1"/>
  <c r="H8" i="4"/>
  <c r="B108" i="4"/>
  <c r="I110" i="4"/>
  <c r="E113" i="4"/>
  <c r="I113" i="4" s="1"/>
  <c r="I114" i="4" s="1"/>
  <c r="F12" i="4" s="1"/>
  <c r="C151" i="4"/>
  <c r="D151" i="4" s="1"/>
  <c r="C13" i="6"/>
  <c r="B48" i="6"/>
  <c r="B56" i="11"/>
  <c r="F33" i="14"/>
  <c r="B8" i="14"/>
  <c r="C8" i="15"/>
  <c r="C63" i="17"/>
  <c r="D63" i="17" s="1"/>
  <c r="G218" i="3"/>
  <c r="E43" i="3"/>
  <c r="B30" i="4"/>
  <c r="E106" i="4"/>
  <c r="I106" i="4" s="1"/>
  <c r="B26" i="7"/>
  <c r="B49" i="12"/>
  <c r="J103" i="21"/>
  <c r="V103" i="21" s="1"/>
  <c r="E102" i="4"/>
  <c r="D33" i="4"/>
  <c r="D28" i="4"/>
  <c r="D30" i="4"/>
  <c r="E104" i="4"/>
  <c r="I104" i="4" s="1"/>
  <c r="I105" i="4" s="1"/>
  <c r="F10" i="4" s="1"/>
  <c r="G47" i="12"/>
  <c r="K103" i="21"/>
  <c r="E88" i="5"/>
  <c r="B32" i="13"/>
  <c r="E32" i="13" s="1"/>
  <c r="B8" i="13" s="1"/>
  <c r="E26" i="5"/>
  <c r="K18" i="18"/>
  <c r="K56" i="21"/>
  <c r="C135" i="4"/>
  <c r="E135" i="4" s="1"/>
  <c r="K102" i="21"/>
  <c r="C137" i="4"/>
  <c r="E137" i="4" s="1"/>
  <c r="E88" i="4"/>
  <c r="F95" i="4"/>
  <c r="D18" i="4" s="1"/>
  <c r="E108" i="4"/>
  <c r="I108" i="4" s="1"/>
  <c r="B64" i="6"/>
  <c r="F40" i="9"/>
  <c r="F35" i="9"/>
  <c r="F32" i="9"/>
  <c r="C8" i="9" s="1"/>
  <c r="F38" i="9"/>
  <c r="F31" i="9"/>
  <c r="C7" i="9" s="1"/>
  <c r="B13" i="9"/>
  <c r="F42" i="9"/>
  <c r="F41" i="9"/>
  <c r="C11" i="9" s="1"/>
  <c r="Q108" i="21"/>
  <c r="U108" i="21"/>
  <c r="B70" i="15"/>
  <c r="C70" i="15" s="1"/>
  <c r="B40" i="15"/>
  <c r="B9" i="15"/>
  <c r="G41" i="5"/>
  <c r="D66" i="5" s="1"/>
  <c r="L15" i="18"/>
  <c r="K20" i="18"/>
  <c r="M20" i="18" s="1"/>
  <c r="L20" i="18"/>
  <c r="D7" i="19"/>
  <c r="B40" i="9"/>
  <c r="E49" i="13"/>
  <c r="E53" i="13" s="1"/>
  <c r="B48" i="15"/>
  <c r="C13" i="15"/>
  <c r="D11" i="19"/>
  <c r="C113" i="19" s="1"/>
  <c r="G93" i="16"/>
  <c r="D171" i="16"/>
  <c r="G171" i="16" s="1"/>
  <c r="L11" i="18"/>
  <c r="K11" i="18"/>
  <c r="M11" i="18" s="1"/>
  <c r="M12" i="18"/>
  <c r="M8" i="20"/>
  <c r="M30" i="20"/>
  <c r="N51" i="20"/>
  <c r="N9" i="20"/>
  <c r="N62" i="20" s="1"/>
  <c r="B46" i="1" s="1"/>
  <c r="E46" i="1" s="1"/>
  <c r="H62" i="20"/>
  <c r="M46" i="20"/>
  <c r="N52" i="20"/>
  <c r="M52" i="20"/>
  <c r="E33" i="6"/>
  <c r="F33" i="6" s="1"/>
  <c r="B26" i="11"/>
  <c r="H118" i="16"/>
  <c r="H128" i="16"/>
  <c r="E84" i="16"/>
  <c r="K8" i="18"/>
  <c r="M8" i="18" s="1"/>
  <c r="L8" i="18"/>
  <c r="E19" i="21"/>
  <c r="C142" i="3"/>
  <c r="E142" i="3" s="1"/>
  <c r="F53" i="13"/>
  <c r="F32" i="14"/>
  <c r="B13" i="14"/>
  <c r="D52" i="19"/>
  <c r="D85" i="19" s="1"/>
  <c r="H119" i="16"/>
  <c r="E85" i="16"/>
  <c r="H129" i="16"/>
  <c r="L17" i="18"/>
  <c r="K17" i="18"/>
  <c r="M17" i="18" s="1"/>
  <c r="U107" i="21"/>
  <c r="Q107" i="21"/>
  <c r="C13" i="14"/>
  <c r="B48" i="14"/>
  <c r="F53" i="15"/>
  <c r="F54" i="15" s="1"/>
  <c r="L14" i="18"/>
  <c r="K14" i="18"/>
  <c r="M14" i="18" s="1"/>
  <c r="M18" i="18"/>
  <c r="C93" i="19"/>
  <c r="C95" i="19" s="1"/>
  <c r="C94" i="19"/>
  <c r="C87" i="19"/>
  <c r="C89" i="19" s="1"/>
  <c r="C91" i="19"/>
  <c r="C100" i="19" s="1"/>
  <c r="C127" i="19" s="1"/>
  <c r="C90" i="19"/>
  <c r="C92" i="19" s="1"/>
  <c r="E7" i="21"/>
  <c r="B26" i="12"/>
  <c r="B9" i="13"/>
  <c r="B40" i="13"/>
  <c r="B70" i="13"/>
  <c r="C70" i="13" s="1"/>
  <c r="B57" i="13"/>
  <c r="E53" i="14"/>
  <c r="F42" i="16"/>
  <c r="C56" i="16"/>
  <c r="B26" i="15"/>
  <c r="L6" i="18"/>
  <c r="K6" i="18"/>
  <c r="M34" i="20"/>
  <c r="H18" i="21"/>
  <c r="M6" i="18"/>
  <c r="B64" i="13"/>
  <c r="D86" i="16"/>
  <c r="D59" i="19" s="1"/>
  <c r="C86" i="16"/>
  <c r="L18" i="18"/>
  <c r="N10" i="20"/>
  <c r="M10" i="20"/>
  <c r="B66" i="18"/>
  <c r="B67" i="18" s="1"/>
  <c r="C147" i="19" s="1"/>
  <c r="D106" i="19"/>
  <c r="M25" i="20"/>
  <c r="E49" i="10"/>
  <c r="E53" i="10" s="1"/>
  <c r="B8" i="15"/>
  <c r="K15" i="18"/>
  <c r="M19" i="18"/>
  <c r="K10" i="18"/>
  <c r="M10" i="18" s="1"/>
  <c r="N31" i="20"/>
  <c r="M31" i="20"/>
  <c r="Q105" i="21"/>
  <c r="U105" i="21"/>
  <c r="L7" i="18"/>
  <c r="K7" i="18"/>
  <c r="M7" i="18" s="1"/>
  <c r="B26" i="13"/>
  <c r="F49" i="14"/>
  <c r="F53" i="14" s="1"/>
  <c r="F54" i="14" s="1"/>
  <c r="N27" i="20"/>
  <c r="M27" i="20"/>
  <c r="C48" i="16"/>
  <c r="C63" i="16"/>
  <c r="K16" i="18"/>
  <c r="M16" i="18" s="1"/>
  <c r="C49" i="16"/>
  <c r="K12" i="18"/>
  <c r="K61" i="20"/>
  <c r="F34" i="15"/>
  <c r="C9" i="15" s="1"/>
  <c r="F33" i="15"/>
  <c r="M118" i="2" l="1"/>
  <c r="J122" i="2"/>
  <c r="M122" i="2" s="1"/>
  <c r="C133" i="19"/>
  <c r="B166" i="19"/>
  <c r="D38" i="14"/>
  <c r="D37" i="13"/>
  <c r="D38" i="10"/>
  <c r="D38" i="11"/>
  <c r="D38" i="12"/>
  <c r="D38" i="6"/>
  <c r="D38" i="15"/>
  <c r="D37" i="14"/>
  <c r="D37" i="12"/>
  <c r="D38" i="9"/>
  <c r="D37" i="15"/>
  <c r="D37" i="9"/>
  <c r="D38" i="7"/>
  <c r="D37" i="6"/>
  <c r="D37" i="7"/>
  <c r="D37" i="10"/>
  <c r="F91" i="16"/>
  <c r="G91" i="16" s="1"/>
  <c r="D37" i="11"/>
  <c r="D38" i="13"/>
  <c r="D10" i="2"/>
  <c r="E44" i="3"/>
  <c r="F43" i="3"/>
  <c r="F104" i="3" s="1"/>
  <c r="E128" i="4"/>
  <c r="U56" i="21"/>
  <c r="Q56" i="21"/>
  <c r="H36" i="8"/>
  <c r="H44" i="8"/>
  <c r="D94" i="16"/>
  <c r="B23" i="17" s="1"/>
  <c r="C76" i="20" s="1"/>
  <c r="D76" i="20" s="1"/>
  <c r="C7" i="17"/>
  <c r="C151" i="3"/>
  <c r="D151" i="3" s="1"/>
  <c r="U103" i="21"/>
  <c r="Q103" i="21"/>
  <c r="H114" i="3"/>
  <c r="M114" i="3" s="1"/>
  <c r="E84" i="5"/>
  <c r="E93" i="5"/>
  <c r="F10" i="21" s="1"/>
  <c r="I121" i="2"/>
  <c r="B57" i="9"/>
  <c r="B49" i="9"/>
  <c r="H119" i="2"/>
  <c r="G10" i="3"/>
  <c r="V112" i="21"/>
  <c r="V136" i="21" s="1"/>
  <c r="F123" i="2"/>
  <c r="H117" i="2"/>
  <c r="B53" i="7"/>
  <c r="G119" i="4"/>
  <c r="K119" i="4" s="1"/>
  <c r="C109" i="4"/>
  <c r="J109" i="4" s="1"/>
  <c r="G107" i="4"/>
  <c r="H107" i="4" s="1"/>
  <c r="M107" i="4" s="1"/>
  <c r="C104" i="4"/>
  <c r="J104" i="4" s="1"/>
  <c r="J105" i="4" s="1"/>
  <c r="G10" i="4" s="1"/>
  <c r="G100" i="4"/>
  <c r="D16" i="4"/>
  <c r="G110" i="4"/>
  <c r="G117" i="4"/>
  <c r="E30" i="4"/>
  <c r="G106" i="4"/>
  <c r="C102" i="4"/>
  <c r="G113" i="4"/>
  <c r="G114" i="4" s="1"/>
  <c r="C108" i="4"/>
  <c r="C110" i="4"/>
  <c r="J110" i="4" s="1"/>
  <c r="C106" i="4"/>
  <c r="J106" i="4" s="1"/>
  <c r="G115" i="4"/>
  <c r="G120" i="4"/>
  <c r="K120" i="4" s="1"/>
  <c r="G108" i="4"/>
  <c r="H108" i="4" s="1"/>
  <c r="M108" i="4" s="1"/>
  <c r="C100" i="4"/>
  <c r="J100" i="4" s="1"/>
  <c r="J101" i="4" s="1"/>
  <c r="E31" i="4"/>
  <c r="G111" i="4"/>
  <c r="G102" i="4"/>
  <c r="E33" i="4"/>
  <c r="G104" i="4"/>
  <c r="G105" i="4" s="1"/>
  <c r="D10" i="4" s="1"/>
  <c r="E32" i="4"/>
  <c r="G109" i="4"/>
  <c r="H109" i="4" s="1"/>
  <c r="C113" i="4"/>
  <c r="G118" i="4"/>
  <c r="K118" i="4" s="1"/>
  <c r="C107" i="4"/>
  <c r="J107" i="4" s="1"/>
  <c r="K125" i="3"/>
  <c r="H16" i="3" s="1"/>
  <c r="D27" i="19"/>
  <c r="C142" i="2"/>
  <c r="E142" i="2" s="1"/>
  <c r="B13" i="2"/>
  <c r="F101" i="16"/>
  <c r="F128" i="16" s="1"/>
  <c r="C101" i="16"/>
  <c r="C128" i="16" s="1"/>
  <c r="G101" i="16"/>
  <c r="E101" i="16"/>
  <c r="E128" i="16" s="1"/>
  <c r="I118" i="4" s="1"/>
  <c r="D101" i="16"/>
  <c r="D128" i="16" s="1"/>
  <c r="I122" i="3" s="1"/>
  <c r="M15" i="18"/>
  <c r="C34" i="21"/>
  <c r="D34" i="21" s="1"/>
  <c r="C11" i="21"/>
  <c r="B32" i="2"/>
  <c r="K136" i="21"/>
  <c r="C13" i="21"/>
  <c r="D43" i="5"/>
  <c r="B91" i="2" s="1"/>
  <c r="J117" i="2"/>
  <c r="C99" i="19"/>
  <c r="D14" i="3"/>
  <c r="H115" i="3"/>
  <c r="I112" i="3"/>
  <c r="M112" i="3" s="1"/>
  <c r="E43" i="5"/>
  <c r="C47" i="5"/>
  <c r="C68" i="5" s="1"/>
  <c r="I115" i="2"/>
  <c r="I116" i="2" s="1"/>
  <c r="F12" i="2" s="1"/>
  <c r="G24" i="5"/>
  <c r="B56" i="8"/>
  <c r="C56" i="8" s="1"/>
  <c r="F113" i="2"/>
  <c r="C11" i="2"/>
  <c r="H120" i="2"/>
  <c r="M120" i="2" s="1"/>
  <c r="U102" i="21"/>
  <c r="Q102" i="21"/>
  <c r="H120" i="16"/>
  <c r="E86" i="16"/>
  <c r="D58" i="19"/>
  <c r="D86" i="19" s="1"/>
  <c r="H130" i="16"/>
  <c r="F23" i="21"/>
  <c r="M121" i="2"/>
  <c r="C8" i="10"/>
  <c r="H106" i="3"/>
  <c r="F107" i="3"/>
  <c r="J108" i="4"/>
  <c r="J110" i="3"/>
  <c r="D17" i="19"/>
  <c r="D7" i="1"/>
  <c r="G132" i="2"/>
  <c r="D16" i="2" s="1"/>
  <c r="F55" i="2"/>
  <c r="C13" i="2" s="1"/>
  <c r="C139" i="2"/>
  <c r="E56" i="2"/>
  <c r="B10" i="2"/>
  <c r="C8" i="14"/>
  <c r="C8" i="7"/>
  <c r="B49" i="15"/>
  <c r="B57" i="15"/>
  <c r="H111" i="4"/>
  <c r="F43" i="5"/>
  <c r="M44" i="8"/>
  <c r="K128" i="2"/>
  <c r="K132" i="2" s="1"/>
  <c r="S55" i="21"/>
  <c r="C41" i="21"/>
  <c r="D41" i="21" s="1"/>
  <c r="C134" i="19"/>
  <c r="B57" i="6"/>
  <c r="B49" i="6"/>
  <c r="C10" i="4"/>
  <c r="F104" i="4"/>
  <c r="I92" i="5"/>
  <c r="C110" i="5"/>
  <c r="D110" i="5" s="1"/>
  <c r="B8" i="6"/>
  <c r="F32" i="6"/>
  <c r="C8" i="6" s="1"/>
  <c r="H112" i="2"/>
  <c r="M110" i="2"/>
  <c r="F14" i="21"/>
  <c r="F16" i="21" s="1"/>
  <c r="G173" i="16"/>
  <c r="E99" i="16"/>
  <c r="D99" i="16"/>
  <c r="C99" i="16"/>
  <c r="G99" i="16"/>
  <c r="F99" i="16"/>
  <c r="F108" i="3"/>
  <c r="C12" i="3"/>
  <c r="H113" i="3"/>
  <c r="M113" i="3" s="1"/>
  <c r="H116" i="3"/>
  <c r="E13" i="3" s="1"/>
  <c r="B38" i="3"/>
  <c r="C148" i="3" s="1"/>
  <c r="D148" i="3" s="1"/>
  <c r="C34" i="3"/>
  <c r="B75" i="3"/>
  <c r="E94" i="16"/>
  <c r="B24" i="17" s="1"/>
  <c r="C77" i="20" s="1"/>
  <c r="D77" i="20" s="1"/>
  <c r="D7" i="17"/>
  <c r="C147" i="4"/>
  <c r="D147" i="4" s="1"/>
  <c r="F32" i="13"/>
  <c r="C8" i="13" s="1"/>
  <c r="D14" i="2"/>
  <c r="D19" i="2"/>
  <c r="J111" i="2"/>
  <c r="G116" i="3"/>
  <c r="F112" i="2"/>
  <c r="M111" i="2"/>
  <c r="C52" i="16"/>
  <c r="D16" i="19"/>
  <c r="C7" i="1"/>
  <c r="C24" i="5"/>
  <c r="C84" i="5"/>
  <c r="C93" i="5" s="1"/>
  <c r="J115" i="2"/>
  <c r="J116" i="2" s="1"/>
  <c r="G12" i="2" s="1"/>
  <c r="G125" i="3"/>
  <c r="D16" i="3" s="1"/>
  <c r="J113" i="4"/>
  <c r="J114" i="4" s="1"/>
  <c r="G12" i="4" s="1"/>
  <c r="J113" i="2"/>
  <c r="J114" i="2" s="1"/>
  <c r="G11" i="2" s="1"/>
  <c r="B53" i="12"/>
  <c r="B57" i="10"/>
  <c r="B49" i="10"/>
  <c r="M29" i="8"/>
  <c r="C157" i="19"/>
  <c r="D157" i="19" s="1"/>
  <c r="C112" i="19"/>
  <c r="C115" i="19" s="1"/>
  <c r="C51" i="5"/>
  <c r="I112" i="4"/>
  <c r="F11" i="4" s="1"/>
  <c r="J102" i="4"/>
  <c r="J103" i="4" s="1"/>
  <c r="G9" i="4" s="1"/>
  <c r="H110" i="4"/>
  <c r="M110" i="4" s="1"/>
  <c r="J108" i="3"/>
  <c r="J109" i="3" s="1"/>
  <c r="G12" i="3" s="1"/>
  <c r="Q98" i="21"/>
  <c r="U98" i="21"/>
  <c r="B11" i="4"/>
  <c r="F51" i="4"/>
  <c r="C11" i="4" s="1"/>
  <c r="C130" i="4"/>
  <c r="E130" i="4" s="1"/>
  <c r="C94" i="16"/>
  <c r="C162" i="2"/>
  <c r="D162" i="2" s="1"/>
  <c r="J110" i="2"/>
  <c r="J112" i="2" s="1"/>
  <c r="I110" i="2"/>
  <c r="I112" i="2" s="1"/>
  <c r="L61" i="20"/>
  <c r="C82" i="20"/>
  <c r="D82" i="20" s="1"/>
  <c r="B57" i="14"/>
  <c r="B49" i="14"/>
  <c r="C14" i="21"/>
  <c r="M8" i="8"/>
  <c r="K62" i="20"/>
  <c r="C81" i="20" s="1"/>
  <c r="D81" i="20" s="1"/>
  <c r="L57" i="21"/>
  <c r="M36" i="8"/>
  <c r="D15" i="19"/>
  <c r="C121" i="19" s="1"/>
  <c r="B7" i="1"/>
  <c r="F115" i="2"/>
  <c r="C12" i="2"/>
  <c r="J114" i="3"/>
  <c r="I113" i="2"/>
  <c r="I114" i="2" s="1"/>
  <c r="F11" i="2" s="1"/>
  <c r="B57" i="11"/>
  <c r="B49" i="11"/>
  <c r="B8" i="12"/>
  <c r="B34" i="4"/>
  <c r="C144" i="4" s="1"/>
  <c r="D144" i="4" s="1"/>
  <c r="B71" i="4"/>
  <c r="J117" i="3"/>
  <c r="J118" i="3" s="1"/>
  <c r="G14" i="3" s="1"/>
  <c r="I110" i="3"/>
  <c r="I116" i="3" s="1"/>
  <c r="D218" i="4"/>
  <c r="F52" i="4"/>
  <c r="F112" i="4"/>
  <c r="J118" i="2"/>
  <c r="J119" i="2"/>
  <c r="I117" i="2"/>
  <c r="I123" i="2" s="1"/>
  <c r="F13" i="2" s="1"/>
  <c r="B53" i="14" l="1"/>
  <c r="F13" i="3"/>
  <c r="M112" i="2"/>
  <c r="D49" i="5"/>
  <c r="D68" i="5" s="1"/>
  <c r="G43" i="5"/>
  <c r="B25" i="17"/>
  <c r="M61" i="20"/>
  <c r="M62" i="20" s="1"/>
  <c r="L62" i="20"/>
  <c r="C86" i="20" s="1"/>
  <c r="D86" i="20" s="1"/>
  <c r="E10" i="2"/>
  <c r="J111" i="4"/>
  <c r="M111" i="4" s="1"/>
  <c r="M110" i="3"/>
  <c r="C124" i="19"/>
  <c r="G116" i="4"/>
  <c r="D13" i="4" s="1"/>
  <c r="K115" i="4"/>
  <c r="K116" i="4" s="1"/>
  <c r="E166" i="19"/>
  <c r="D166" i="19"/>
  <c r="D53" i="17"/>
  <c r="D55" i="17" s="1"/>
  <c r="C53" i="17"/>
  <c r="C55" i="17" s="1"/>
  <c r="C41" i="17"/>
  <c r="F105" i="3"/>
  <c r="H104" i="3"/>
  <c r="J123" i="2"/>
  <c r="G13" i="2" s="1"/>
  <c r="G103" i="4"/>
  <c r="D9" i="4" s="1"/>
  <c r="H102" i="4"/>
  <c r="H16" i="2"/>
  <c r="K133" i="2"/>
  <c r="G128" i="16"/>
  <c r="I128" i="16" s="1"/>
  <c r="I129" i="2"/>
  <c r="J122" i="4"/>
  <c r="G8" i="4"/>
  <c r="C23" i="21"/>
  <c r="C16" i="21"/>
  <c r="B74" i="4"/>
  <c r="B75" i="4" s="1"/>
  <c r="C146" i="4" s="1"/>
  <c r="D146" i="4" s="1"/>
  <c r="B81" i="4"/>
  <c r="B82" i="4" s="1"/>
  <c r="F10" i="2"/>
  <c r="J116" i="3"/>
  <c r="G13" i="3" s="1"/>
  <c r="B53" i="15"/>
  <c r="B36" i="2"/>
  <c r="C159" i="2" s="1"/>
  <c r="D159" i="2" s="1"/>
  <c r="B77" i="2"/>
  <c r="C32" i="2"/>
  <c r="J112" i="4"/>
  <c r="G11" i="4" s="1"/>
  <c r="D13" i="3"/>
  <c r="G126" i="3"/>
  <c r="D12" i="4"/>
  <c r="Q57" i="21"/>
  <c r="U57" i="21"/>
  <c r="C43" i="5"/>
  <c r="D118" i="16"/>
  <c r="D129" i="16"/>
  <c r="I123" i="3" s="1"/>
  <c r="D51" i="16"/>
  <c r="D50" i="16"/>
  <c r="D49" i="16"/>
  <c r="D48" i="16"/>
  <c r="B85" i="3"/>
  <c r="B86" i="3" s="1"/>
  <c r="B78" i="3"/>
  <c r="B79" i="3" s="1"/>
  <c r="C150" i="3" s="1"/>
  <c r="D150" i="3" s="1"/>
  <c r="E174" i="16"/>
  <c r="C174" i="16"/>
  <c r="F176" i="16"/>
  <c r="F174" i="16"/>
  <c r="D174" i="16"/>
  <c r="F114" i="2"/>
  <c r="H113" i="2"/>
  <c r="G101" i="4"/>
  <c r="H100" i="4"/>
  <c r="C120" i="19"/>
  <c r="B53" i="6"/>
  <c r="B7" i="17"/>
  <c r="D234" i="2"/>
  <c r="C26" i="18"/>
  <c r="D26" i="18" s="1"/>
  <c r="F26" i="18" s="1"/>
  <c r="F56" i="2"/>
  <c r="M109" i="4"/>
  <c r="G112" i="4"/>
  <c r="D11" i="4" s="1"/>
  <c r="H106" i="4"/>
  <c r="C123" i="19"/>
  <c r="C122" i="19"/>
  <c r="C24" i="21"/>
  <c r="D20" i="19"/>
  <c r="B53" i="11"/>
  <c r="F105" i="4"/>
  <c r="H104" i="4"/>
  <c r="B22" i="17"/>
  <c r="D19" i="3"/>
  <c r="C118" i="19"/>
  <c r="C118" i="16"/>
  <c r="C129" i="16"/>
  <c r="E139" i="2"/>
  <c r="K126" i="3"/>
  <c r="G133" i="2"/>
  <c r="C72" i="5"/>
  <c r="D72" i="5" s="1"/>
  <c r="E218" i="4"/>
  <c r="B97" i="2"/>
  <c r="C35" i="21"/>
  <c r="D35" i="21" s="1"/>
  <c r="F11" i="21"/>
  <c r="F24" i="21" s="1"/>
  <c r="E56" i="3"/>
  <c r="C132" i="3"/>
  <c r="B10" i="3"/>
  <c r="F44" i="3"/>
  <c r="C10" i="3" s="1"/>
  <c r="G10" i="2"/>
  <c r="J133" i="2"/>
  <c r="H107" i="3"/>
  <c r="E11" i="3" s="1"/>
  <c r="M106" i="3"/>
  <c r="M107" i="3" s="1"/>
  <c r="J115" i="3"/>
  <c r="M115" i="3" s="1"/>
  <c r="H123" i="2"/>
  <c r="E13" i="2" s="1"/>
  <c r="M117" i="2"/>
  <c r="M123" i="2" s="1"/>
  <c r="H108" i="3"/>
  <c r="F109" i="3"/>
  <c r="F129" i="16"/>
  <c r="F118" i="16"/>
  <c r="D21" i="19"/>
  <c r="C143" i="19"/>
  <c r="B169" i="19"/>
  <c r="C101" i="19"/>
  <c r="C107" i="19"/>
  <c r="C154" i="19" s="1"/>
  <c r="D154" i="19" s="1"/>
  <c r="G121" i="4"/>
  <c r="D14" i="4" s="1"/>
  <c r="K117" i="4"/>
  <c r="K121" i="4" s="1"/>
  <c r="H14" i="4" s="1"/>
  <c r="M119" i="2"/>
  <c r="F116" i="2"/>
  <c r="H115" i="2"/>
  <c r="B53" i="10"/>
  <c r="E118" i="16"/>
  <c r="E129" i="16"/>
  <c r="I119" i="4" s="1"/>
  <c r="C50" i="9"/>
  <c r="B53" i="9"/>
  <c r="D53" i="9" s="1"/>
  <c r="G53" i="9" s="1"/>
  <c r="G97" i="16"/>
  <c r="C106" i="16"/>
  <c r="C107" i="16" s="1"/>
  <c r="C97" i="16"/>
  <c r="F97" i="16"/>
  <c r="E97" i="16"/>
  <c r="D97" i="16"/>
  <c r="G129" i="16" l="1"/>
  <c r="I129" i="16" s="1"/>
  <c r="I130" i="2"/>
  <c r="E51" i="16"/>
  <c r="F51" i="16"/>
  <c r="B80" i="2"/>
  <c r="B81" i="2" s="1"/>
  <c r="C161" i="2" s="1"/>
  <c r="D161" i="2" s="1"/>
  <c r="B87" i="2"/>
  <c r="D69" i="19"/>
  <c r="D104" i="19" s="1"/>
  <c r="C132" i="19" s="1"/>
  <c r="B32" i="1"/>
  <c r="D51" i="19"/>
  <c r="E39" i="15"/>
  <c r="E39" i="7"/>
  <c r="E39" i="11"/>
  <c r="E39" i="9"/>
  <c r="E39" i="13"/>
  <c r="E39" i="14"/>
  <c r="E39" i="6"/>
  <c r="E39" i="10"/>
  <c r="E39" i="12"/>
  <c r="D50" i="19"/>
  <c r="E57" i="4"/>
  <c r="E132" i="3"/>
  <c r="D48" i="19"/>
  <c r="G118" i="16"/>
  <c r="I118" i="16" s="1"/>
  <c r="E61" i="2"/>
  <c r="M100" i="4"/>
  <c r="H101" i="4"/>
  <c r="G15" i="4"/>
  <c r="F18" i="1"/>
  <c r="B162" i="19"/>
  <c r="C138" i="19"/>
  <c r="D8" i="4"/>
  <c r="G122" i="4"/>
  <c r="E7" i="17"/>
  <c r="M108" i="3"/>
  <c r="M109" i="3" s="1"/>
  <c r="H109" i="3"/>
  <c r="E12" i="3" s="1"/>
  <c r="B28" i="17"/>
  <c r="C75" i="20"/>
  <c r="D75" i="20" s="1"/>
  <c r="D119" i="16"/>
  <c r="D175" i="16"/>
  <c r="G174" i="16"/>
  <c r="C184" i="16" s="1"/>
  <c r="D184" i="16" s="1"/>
  <c r="C175" i="16"/>
  <c r="C119" i="16"/>
  <c r="E234" i="2"/>
  <c r="D19" i="19"/>
  <c r="B86" i="4"/>
  <c r="M116" i="3"/>
  <c r="D107" i="16"/>
  <c r="C26" i="1" s="1"/>
  <c r="D17" i="2"/>
  <c r="C16" i="1"/>
  <c r="D17" i="3"/>
  <c r="G127" i="3"/>
  <c r="C154" i="3" s="1"/>
  <c r="D154" i="3" s="1"/>
  <c r="C17" i="1"/>
  <c r="D49" i="19"/>
  <c r="E61" i="3"/>
  <c r="D40" i="15"/>
  <c r="D40" i="7"/>
  <c r="D40" i="14"/>
  <c r="D40" i="13"/>
  <c r="D40" i="11"/>
  <c r="D40" i="6"/>
  <c r="F94" i="16"/>
  <c r="G94" i="16" s="1"/>
  <c r="D40" i="12"/>
  <c r="D40" i="9"/>
  <c r="D40" i="10"/>
  <c r="E169" i="19"/>
  <c r="D169" i="19"/>
  <c r="G17" i="2"/>
  <c r="F16" i="1"/>
  <c r="J126" i="3"/>
  <c r="B90" i="3"/>
  <c r="C62" i="17"/>
  <c r="D62" i="17" s="1"/>
  <c r="C78" i="20"/>
  <c r="D78" i="20" s="1"/>
  <c r="M113" i="2"/>
  <c r="M114" i="2" s="1"/>
  <c r="H114" i="2"/>
  <c r="H116" i="2"/>
  <c r="E12" i="2" s="1"/>
  <c r="M115" i="2"/>
  <c r="M116" i="2" s="1"/>
  <c r="F175" i="16"/>
  <c r="F177" i="16" s="1"/>
  <c r="F119" i="16"/>
  <c r="D57" i="19" s="1"/>
  <c r="H13" i="4"/>
  <c r="K122" i="4"/>
  <c r="G17" i="1"/>
  <c r="H17" i="3"/>
  <c r="F48" i="16"/>
  <c r="E48" i="16"/>
  <c r="D52" i="16"/>
  <c r="M104" i="3"/>
  <c r="H105" i="3"/>
  <c r="F50" i="16"/>
  <c r="E50" i="16"/>
  <c r="D222" i="3"/>
  <c r="F56" i="3"/>
  <c r="H112" i="4"/>
  <c r="E11" i="4" s="1"/>
  <c r="M106" i="4"/>
  <c r="M112" i="4" s="1"/>
  <c r="E6" i="17"/>
  <c r="B15" i="5"/>
  <c r="H17" i="2"/>
  <c r="G16" i="1"/>
  <c r="H105" i="4"/>
  <c r="E10" i="4" s="1"/>
  <c r="M104" i="4"/>
  <c r="M105" i="4" s="1"/>
  <c r="E175" i="16"/>
  <c r="E119" i="16"/>
  <c r="D17" i="4"/>
  <c r="H103" i="4"/>
  <c r="E9" i="4" s="1"/>
  <c r="M102" i="4"/>
  <c r="M103" i="4" s="1"/>
  <c r="D52" i="9"/>
  <c r="D51" i="9"/>
  <c r="B164" i="19"/>
  <c r="E49" i="16"/>
  <c r="F49" i="16"/>
  <c r="M107" i="21" l="1"/>
  <c r="N107" i="21" s="1"/>
  <c r="O107" i="21" s="1"/>
  <c r="G52" i="9"/>
  <c r="F85" i="5"/>
  <c r="F17" i="1"/>
  <c r="G17" i="3"/>
  <c r="G175" i="16"/>
  <c r="C185" i="16" s="1"/>
  <c r="D185" i="16" s="1"/>
  <c r="D186" i="16" s="1"/>
  <c r="F39" i="11"/>
  <c r="C22" i="17"/>
  <c r="B30" i="17"/>
  <c r="C26" i="17"/>
  <c r="C25" i="17"/>
  <c r="C27" i="17"/>
  <c r="C24" i="17"/>
  <c r="C23" i="17"/>
  <c r="B41" i="1"/>
  <c r="E41" i="1" s="1"/>
  <c r="H15" i="4"/>
  <c r="G18" i="1"/>
  <c r="E8" i="4"/>
  <c r="F39" i="7"/>
  <c r="M101" i="4"/>
  <c r="F61" i="2"/>
  <c r="F129" i="2" s="1"/>
  <c r="H129" i="2" s="1"/>
  <c r="L129" i="2"/>
  <c r="F57" i="4"/>
  <c r="F118" i="4" s="1"/>
  <c r="H118" i="4" s="1"/>
  <c r="M118" i="4" s="1"/>
  <c r="L118" i="4"/>
  <c r="M105" i="3"/>
  <c r="C66" i="16"/>
  <c r="C65" i="16"/>
  <c r="C57" i="16"/>
  <c r="E52" i="16"/>
  <c r="F39" i="10"/>
  <c r="C62" i="16"/>
  <c r="F39" i="15"/>
  <c r="C100" i="16"/>
  <c r="E100" i="16"/>
  <c r="D100" i="16"/>
  <c r="G100" i="16"/>
  <c r="F100" i="16"/>
  <c r="E58" i="4"/>
  <c r="D56" i="19"/>
  <c r="E10" i="3"/>
  <c r="E11" i="2"/>
  <c r="B96" i="2"/>
  <c r="B88" i="2"/>
  <c r="F39" i="12"/>
  <c r="C58" i="16"/>
  <c r="F52" i="16"/>
  <c r="F39" i="6"/>
  <c r="E62" i="3"/>
  <c r="D55" i="19"/>
  <c r="G123" i="4"/>
  <c r="C150" i="4" s="1"/>
  <c r="D150" i="4" s="1"/>
  <c r="D15" i="4"/>
  <c r="C18" i="1"/>
  <c r="D164" i="19"/>
  <c r="E164" i="19"/>
  <c r="D18" i="19"/>
  <c r="C119" i="19" s="1"/>
  <c r="E7" i="1"/>
  <c r="F6" i="17"/>
  <c r="F39" i="14"/>
  <c r="D22" i="19"/>
  <c r="L122" i="3"/>
  <c r="F61" i="3"/>
  <c r="F122" i="3" s="1"/>
  <c r="H122" i="3" s="1"/>
  <c r="M122" i="3" s="1"/>
  <c r="E162" i="19"/>
  <c r="D162" i="19"/>
  <c r="G162" i="19"/>
  <c r="F39" i="13"/>
  <c r="E222" i="3"/>
  <c r="F7" i="17"/>
  <c r="G51" i="9"/>
  <c r="D54" i="9"/>
  <c r="D54" i="19"/>
  <c r="G119" i="16"/>
  <c r="I119" i="16" s="1"/>
  <c r="E62" i="2"/>
  <c r="M129" i="2" l="1"/>
  <c r="F62" i="3"/>
  <c r="F123" i="3" s="1"/>
  <c r="H123" i="3" s="1"/>
  <c r="L123" i="3"/>
  <c r="D83" i="16"/>
  <c r="D41" i="19" s="1"/>
  <c r="C83" i="16"/>
  <c r="E120" i="16"/>
  <c r="E130" i="16"/>
  <c r="I120" i="4" s="1"/>
  <c r="C162" i="19"/>
  <c r="C130" i="16"/>
  <c r="C120" i="16"/>
  <c r="B14" i="9"/>
  <c r="B16" i="9" s="1"/>
  <c r="G85" i="5"/>
  <c r="I85" i="5" s="1"/>
  <c r="G54" i="9"/>
  <c r="F58" i="4"/>
  <c r="F119" i="4" s="1"/>
  <c r="H119" i="4" s="1"/>
  <c r="L119" i="4"/>
  <c r="B93" i="2"/>
  <c r="F120" i="16"/>
  <c r="F130" i="16"/>
  <c r="G41" i="1"/>
  <c r="I41" i="1" s="1"/>
  <c r="D24" i="17"/>
  <c r="D27" i="17"/>
  <c r="D26" i="17"/>
  <c r="D25" i="17"/>
  <c r="C38" i="17"/>
  <c r="D23" i="17"/>
  <c r="D32" i="17" s="1"/>
  <c r="D22" i="17"/>
  <c r="F41" i="1"/>
  <c r="F46" i="1"/>
  <c r="G46" i="1" s="1"/>
  <c r="I46" i="1" s="1"/>
  <c r="C87" i="20"/>
  <c r="D87" i="20" s="1"/>
  <c r="C29" i="18"/>
  <c r="D29" i="18" s="1"/>
  <c r="F29" i="18" s="1"/>
  <c r="F62" i="2"/>
  <c r="F130" i="2" s="1"/>
  <c r="H130" i="2" s="1"/>
  <c r="L130" i="2"/>
  <c r="F7" i="1"/>
  <c r="D82" i="16"/>
  <c r="D35" i="19" s="1"/>
  <c r="C82" i="16"/>
  <c r="D81" i="16"/>
  <c r="C81" i="16"/>
  <c r="C60" i="17"/>
  <c r="D60" i="17" s="1"/>
  <c r="D130" i="16"/>
  <c r="I124" i="3" s="1"/>
  <c r="D120" i="16"/>
  <c r="D63" i="19" l="1"/>
  <c r="E20" i="8"/>
  <c r="J20" i="8"/>
  <c r="B20" i="8"/>
  <c r="I20" i="8"/>
  <c r="D20" i="8"/>
  <c r="L20" i="8"/>
  <c r="C20" i="8"/>
  <c r="K20" i="8"/>
  <c r="F20" i="8"/>
  <c r="H20" i="8"/>
  <c r="G20" i="8"/>
  <c r="E40" i="7"/>
  <c r="E40" i="15"/>
  <c r="E40" i="9"/>
  <c r="C63" i="9" s="1"/>
  <c r="D63" i="9" s="1"/>
  <c r="E40" i="10"/>
  <c r="E40" i="12"/>
  <c r="E40" i="6"/>
  <c r="E40" i="11"/>
  <c r="E40" i="14"/>
  <c r="E40" i="13"/>
  <c r="M130" i="2"/>
  <c r="C88" i="20"/>
  <c r="D88" i="20" s="1"/>
  <c r="D89" i="20" s="1"/>
  <c r="C78" i="17" s="1"/>
  <c r="D78" i="17" s="1"/>
  <c r="H117" i="16"/>
  <c r="F117" i="16"/>
  <c r="C117" i="16"/>
  <c r="D40" i="19"/>
  <c r="D83" i="19" s="1"/>
  <c r="H127" i="16"/>
  <c r="E117" i="16"/>
  <c r="D127" i="16"/>
  <c r="I121" i="3" s="1"/>
  <c r="I125" i="3" s="1"/>
  <c r="F16" i="3" s="1"/>
  <c r="E127" i="16"/>
  <c r="I117" i="4" s="1"/>
  <c r="I121" i="4" s="1"/>
  <c r="F14" i="4" s="1"/>
  <c r="E83" i="16"/>
  <c r="C127" i="16"/>
  <c r="D117" i="16"/>
  <c r="F127" i="16"/>
  <c r="D61" i="19"/>
  <c r="E63" i="3"/>
  <c r="M119" i="4"/>
  <c r="D28" i="17"/>
  <c r="D31" i="17"/>
  <c r="D62" i="19"/>
  <c r="E59" i="4"/>
  <c r="M123" i="3"/>
  <c r="D66" i="19"/>
  <c r="D102" i="19" s="1"/>
  <c r="C130" i="19" s="1"/>
  <c r="B30" i="1"/>
  <c r="C87" i="16"/>
  <c r="C135" i="16" s="1"/>
  <c r="D135" i="16" s="1"/>
  <c r="D28" i="19"/>
  <c r="D81" i="19" s="1"/>
  <c r="C108" i="16"/>
  <c r="C109" i="16" s="1"/>
  <c r="E81" i="16"/>
  <c r="E87" i="16" s="1"/>
  <c r="C36" i="18" s="1"/>
  <c r="D36" i="18" s="1"/>
  <c r="F36" i="18" s="1"/>
  <c r="C37" i="18"/>
  <c r="D37" i="18" s="1"/>
  <c r="F37" i="18" s="1"/>
  <c r="G120" i="16"/>
  <c r="I120" i="16" s="1"/>
  <c r="D60" i="19"/>
  <c r="E63" i="2"/>
  <c r="C126" i="16"/>
  <c r="D116" i="16"/>
  <c r="E126" i="16"/>
  <c r="F116" i="16"/>
  <c r="D39" i="19" s="1"/>
  <c r="E82" i="16"/>
  <c r="F126" i="16"/>
  <c r="D126" i="16"/>
  <c r="C116" i="16"/>
  <c r="D34" i="19"/>
  <c r="D82" i="19" s="1"/>
  <c r="H116" i="16"/>
  <c r="H126" i="16"/>
  <c r="E116" i="16"/>
  <c r="D33" i="17"/>
  <c r="D87" i="16"/>
  <c r="C35" i="18" s="1"/>
  <c r="D35" i="18" s="1"/>
  <c r="F35" i="18" s="1"/>
  <c r="D29" i="19"/>
  <c r="G130" i="16"/>
  <c r="I130" i="16" s="1"/>
  <c r="I131" i="2"/>
  <c r="F40" i="15" l="1"/>
  <c r="C63" i="15"/>
  <c r="D63" i="15" s="1"/>
  <c r="D44" i="19"/>
  <c r="E56" i="4"/>
  <c r="L120" i="4"/>
  <c r="F59" i="4"/>
  <c r="F120" i="4" s="1"/>
  <c r="H120" i="4" s="1"/>
  <c r="M120" i="4" s="1"/>
  <c r="F40" i="7"/>
  <c r="C63" i="7"/>
  <c r="D63" i="7" s="1"/>
  <c r="D36" i="19"/>
  <c r="G116" i="16"/>
  <c r="I116" i="16" s="1"/>
  <c r="E58" i="2"/>
  <c r="G126" i="16"/>
  <c r="I126" i="16" s="1"/>
  <c r="F40" i="13"/>
  <c r="C63" i="13"/>
  <c r="D63" i="13" s="1"/>
  <c r="L131" i="2"/>
  <c r="C30" i="18"/>
  <c r="D30" i="18" s="1"/>
  <c r="F30" i="18" s="1"/>
  <c r="F63" i="2"/>
  <c r="F131" i="2" s="1"/>
  <c r="H131" i="2" s="1"/>
  <c r="M131" i="2" s="1"/>
  <c r="D43" i="19"/>
  <c r="E60" i="3"/>
  <c r="F40" i="14"/>
  <c r="C63" i="14"/>
  <c r="D63" i="14" s="1"/>
  <c r="M20" i="8"/>
  <c r="F63" i="3"/>
  <c r="F124" i="3" s="1"/>
  <c r="H124" i="3" s="1"/>
  <c r="L124" i="3"/>
  <c r="D37" i="19"/>
  <c r="E58" i="3"/>
  <c r="G127" i="16"/>
  <c r="I127" i="16" s="1"/>
  <c r="I128" i="2"/>
  <c r="I132" i="2" s="1"/>
  <c r="F16" i="2" s="1"/>
  <c r="F40" i="11"/>
  <c r="C63" i="11"/>
  <c r="D63" i="11" s="1"/>
  <c r="F40" i="6"/>
  <c r="C63" i="6"/>
  <c r="D63" i="6" s="1"/>
  <c r="F40" i="12"/>
  <c r="C63" i="12"/>
  <c r="D63" i="12" s="1"/>
  <c r="G117" i="16"/>
  <c r="I117" i="16" s="1"/>
  <c r="D42" i="19"/>
  <c r="E60" i="2"/>
  <c r="D45" i="19"/>
  <c r="F47" i="5"/>
  <c r="K18" i="8"/>
  <c r="K21" i="8" s="1"/>
  <c r="F52" i="5"/>
  <c r="D18" i="8"/>
  <c r="D21" i="8" s="1"/>
  <c r="F54" i="5"/>
  <c r="F64" i="5"/>
  <c r="F18" i="8"/>
  <c r="F21" i="8" s="1"/>
  <c r="F62" i="5"/>
  <c r="I18" i="8"/>
  <c r="I21" i="8" s="1"/>
  <c r="F66" i="5"/>
  <c r="C18" i="8"/>
  <c r="C21" i="8" s="1"/>
  <c r="F53" i="5"/>
  <c r="F60" i="5"/>
  <c r="J18" i="8"/>
  <c r="J21" i="8" s="1"/>
  <c r="F51" i="5"/>
  <c r="F63" i="5"/>
  <c r="F67" i="5"/>
  <c r="F50" i="5"/>
  <c r="H18" i="8"/>
  <c r="H21" i="8" s="1"/>
  <c r="F61" i="5"/>
  <c r="E18" i="8"/>
  <c r="E21" i="8" s="1"/>
  <c r="G18" i="8"/>
  <c r="G21" i="8" s="1"/>
  <c r="F49" i="5"/>
  <c r="F65" i="5"/>
  <c r="F48" i="5"/>
  <c r="L18" i="8"/>
  <c r="L21" i="8" s="1"/>
  <c r="F56" i="5"/>
  <c r="B18" i="8"/>
  <c r="F59" i="5"/>
  <c r="F57" i="5"/>
  <c r="F58" i="5"/>
  <c r="F55" i="5"/>
  <c r="E38" i="14"/>
  <c r="E38" i="11"/>
  <c r="E38" i="9"/>
  <c r="E41" i="9" s="1"/>
  <c r="B11" i="9" s="1"/>
  <c r="E38" i="6"/>
  <c r="E38" i="12"/>
  <c r="E38" i="15"/>
  <c r="E38" i="7"/>
  <c r="E38" i="13"/>
  <c r="E38" i="10"/>
  <c r="C111" i="16"/>
  <c r="B26" i="1"/>
  <c r="D38" i="19"/>
  <c r="E54" i="4"/>
  <c r="F40" i="10"/>
  <c r="C63" i="10"/>
  <c r="D63" i="10" s="1"/>
  <c r="B21" i="8" l="1"/>
  <c r="M21" i="8" s="1"/>
  <c r="M18" i="8"/>
  <c r="E41" i="13"/>
  <c r="F38" i="13"/>
  <c r="F38" i="11"/>
  <c r="E41" i="11"/>
  <c r="F68" i="5"/>
  <c r="E11" i="17" s="1"/>
  <c r="M124" i="3"/>
  <c r="D219" i="4"/>
  <c r="D9" i="17"/>
  <c r="B12" i="4"/>
  <c r="C131" i="4"/>
  <c r="F54" i="4"/>
  <c r="E60" i="4"/>
  <c r="F56" i="4"/>
  <c r="F117" i="4" s="1"/>
  <c r="L117" i="4"/>
  <c r="L121" i="4" s="1"/>
  <c r="I14" i="4" s="1"/>
  <c r="E41" i="7"/>
  <c r="F38" i="7"/>
  <c r="F38" i="15"/>
  <c r="E41" i="15"/>
  <c r="E41" i="12"/>
  <c r="F38" i="12"/>
  <c r="F38" i="6"/>
  <c r="E41" i="6"/>
  <c r="B9" i="17"/>
  <c r="C143" i="2"/>
  <c r="D235" i="2"/>
  <c r="B14" i="2"/>
  <c r="D58" i="2"/>
  <c r="D124" i="2" s="1"/>
  <c r="I124" i="2" s="1"/>
  <c r="I125" i="2" s="1"/>
  <c r="F58" i="2"/>
  <c r="C9" i="17"/>
  <c r="C136" i="3"/>
  <c r="D223" i="3"/>
  <c r="B14" i="3"/>
  <c r="F58" i="3"/>
  <c r="E64" i="2"/>
  <c r="L128" i="2"/>
  <c r="L132" i="2" s="1"/>
  <c r="I16" i="2" s="1"/>
  <c r="C28" i="18"/>
  <c r="D28" i="18" s="1"/>
  <c r="F28" i="18" s="1"/>
  <c r="F60" i="2"/>
  <c r="F128" i="2" s="1"/>
  <c r="C43" i="17"/>
  <c r="D115" i="16"/>
  <c r="E115" i="16"/>
  <c r="H115" i="16"/>
  <c r="H121" i="16" s="1"/>
  <c r="C115" i="16"/>
  <c r="F125" i="16"/>
  <c r="F131" i="16" s="1"/>
  <c r="F115" i="16"/>
  <c r="C125" i="16"/>
  <c r="H125" i="16"/>
  <c r="H131" i="16" s="1"/>
  <c r="E125" i="16"/>
  <c r="D125" i="16"/>
  <c r="E64" i="3"/>
  <c r="F60" i="3"/>
  <c r="F121" i="3" s="1"/>
  <c r="L121" i="3"/>
  <c r="L125" i="3" s="1"/>
  <c r="I16" i="3" s="1"/>
  <c r="E41" i="14"/>
  <c r="F38" i="14"/>
  <c r="E41" i="10"/>
  <c r="F38" i="10"/>
  <c r="D32" i="19" l="1"/>
  <c r="E55" i="4"/>
  <c r="E121" i="16"/>
  <c r="D31" i="19"/>
  <c r="D121" i="16"/>
  <c r="E59" i="3"/>
  <c r="D71" i="19"/>
  <c r="B33" i="1"/>
  <c r="F132" i="2"/>
  <c r="H128" i="2"/>
  <c r="B11" i="14"/>
  <c r="F41" i="14"/>
  <c r="C11" i="14" s="1"/>
  <c r="B11" i="17"/>
  <c r="F11" i="17" s="1"/>
  <c r="D237" i="2"/>
  <c r="E237" i="2" s="1"/>
  <c r="C145" i="2"/>
  <c r="E145" i="2" s="1"/>
  <c r="B16" i="2"/>
  <c r="F64" i="2"/>
  <c r="C16" i="2" s="1"/>
  <c r="B11" i="12"/>
  <c r="F41" i="12"/>
  <c r="C11" i="12" s="1"/>
  <c r="F124" i="2"/>
  <c r="C14" i="2"/>
  <c r="F121" i="4"/>
  <c r="H117" i="4"/>
  <c r="C121" i="16"/>
  <c r="D30" i="19"/>
  <c r="G115" i="16"/>
  <c r="E59" i="2"/>
  <c r="F14" i="2"/>
  <c r="D11" i="17"/>
  <c r="C133" i="4"/>
  <c r="E133" i="4" s="1"/>
  <c r="D221" i="4"/>
  <c r="E221" i="4" s="1"/>
  <c r="B14" i="4"/>
  <c r="F60" i="4"/>
  <c r="C14" i="4" s="1"/>
  <c r="E219" i="4"/>
  <c r="B11" i="6"/>
  <c r="F41" i="6"/>
  <c r="C11" i="6" s="1"/>
  <c r="B11" i="15"/>
  <c r="F41" i="15"/>
  <c r="C11" i="15" s="1"/>
  <c r="F125" i="3"/>
  <c r="H121" i="3"/>
  <c r="C11" i="17"/>
  <c r="B16" i="3"/>
  <c r="F64" i="3"/>
  <c r="C16" i="3" s="1"/>
  <c r="C138" i="3"/>
  <c r="E138" i="3" s="1"/>
  <c r="D225" i="3"/>
  <c r="E225" i="3" s="1"/>
  <c r="E223" i="3"/>
  <c r="B11" i="13"/>
  <c r="F41" i="13"/>
  <c r="C11" i="13" s="1"/>
  <c r="B11" i="10"/>
  <c r="F41" i="10"/>
  <c r="C11" i="10" s="1"/>
  <c r="F117" i="3"/>
  <c r="C14" i="3"/>
  <c r="G125" i="16"/>
  <c r="C131" i="16"/>
  <c r="I126" i="2"/>
  <c r="I127" i="2" s="1"/>
  <c r="F15" i="2" s="1"/>
  <c r="E136" i="3"/>
  <c r="B11" i="7"/>
  <c r="F41" i="7"/>
  <c r="C11" i="7" s="1"/>
  <c r="C12" i="4"/>
  <c r="F113" i="4"/>
  <c r="E131" i="4"/>
  <c r="E235" i="2"/>
  <c r="E143" i="2"/>
  <c r="F9" i="17"/>
  <c r="F41" i="11"/>
  <c r="C11" i="11" s="1"/>
  <c r="B11" i="11"/>
  <c r="D131" i="16"/>
  <c r="I119" i="3"/>
  <c r="I120" i="3" s="1"/>
  <c r="E131" i="16"/>
  <c r="I115" i="4"/>
  <c r="I116" i="4" s="1"/>
  <c r="D33" i="19"/>
  <c r="F121" i="16"/>
  <c r="E66" i="5"/>
  <c r="E55" i="5"/>
  <c r="E64" i="5"/>
  <c r="E65" i="5"/>
  <c r="E57" i="5"/>
  <c r="E48" i="5"/>
  <c r="E50" i="5"/>
  <c r="C17" i="8"/>
  <c r="C51" i="8" s="1"/>
  <c r="H17" i="8"/>
  <c r="H51" i="8" s="1"/>
  <c r="E62" i="5"/>
  <c r="E58" i="5"/>
  <c r="E53" i="5"/>
  <c r="E51" i="5"/>
  <c r="E17" i="8"/>
  <c r="E51" i="8" s="1"/>
  <c r="E49" i="5"/>
  <c r="E59" i="5"/>
  <c r="E60" i="5"/>
  <c r="E61" i="5"/>
  <c r="B17" i="8"/>
  <c r="E47" i="5"/>
  <c r="E56" i="5"/>
  <c r="E54" i="5"/>
  <c r="E63" i="5"/>
  <c r="E67" i="5"/>
  <c r="D17" i="8"/>
  <c r="D51" i="8" s="1"/>
  <c r="L17" i="8"/>
  <c r="L51" i="8" s="1"/>
  <c r="I17" i="8"/>
  <c r="I51" i="8" s="1"/>
  <c r="E52" i="5"/>
  <c r="G17" i="8"/>
  <c r="G51" i="8" s="1"/>
  <c r="K17" i="8"/>
  <c r="K51" i="8" s="1"/>
  <c r="F17" i="8"/>
  <c r="F51" i="8" s="1"/>
  <c r="J17" i="8"/>
  <c r="J51" i="8" s="1"/>
  <c r="E37" i="10"/>
  <c r="E37" i="6"/>
  <c r="E37" i="13"/>
  <c r="E37" i="9"/>
  <c r="E37" i="12"/>
  <c r="E37" i="11"/>
  <c r="E37" i="15"/>
  <c r="E37" i="7"/>
  <c r="E37" i="14"/>
  <c r="H125" i="3" l="1"/>
  <c r="E16" i="3" s="1"/>
  <c r="M121" i="3"/>
  <c r="M125" i="3" s="1"/>
  <c r="C62" i="7"/>
  <c r="D62" i="7" s="1"/>
  <c r="E42" i="7"/>
  <c r="F42" i="7" s="1"/>
  <c r="B10" i="7"/>
  <c r="F37" i="7"/>
  <c r="C10" i="7" s="1"/>
  <c r="G131" i="16"/>
  <c r="I125" i="16"/>
  <c r="I131" i="16" s="1"/>
  <c r="C138" i="16" s="1"/>
  <c r="D138" i="16" s="1"/>
  <c r="F37" i="15"/>
  <c r="C10" i="15" s="1"/>
  <c r="C62" i="15"/>
  <c r="D62" i="15" s="1"/>
  <c r="E42" i="15"/>
  <c r="F42" i="15" s="1"/>
  <c r="B10" i="15"/>
  <c r="G121" i="16"/>
  <c r="I115" i="16"/>
  <c r="I121" i="16" s="1"/>
  <c r="C137" i="16" s="1"/>
  <c r="D137" i="16" s="1"/>
  <c r="D139" i="16" s="1"/>
  <c r="B10" i="11"/>
  <c r="E42" i="11"/>
  <c r="F42" i="11" s="1"/>
  <c r="C62" i="11"/>
  <c r="D62" i="11" s="1"/>
  <c r="F37" i="11"/>
  <c r="C10" i="11" s="1"/>
  <c r="H117" i="3"/>
  <c r="F118" i="3"/>
  <c r="C62" i="9"/>
  <c r="D62" i="9" s="1"/>
  <c r="B10" i="9"/>
  <c r="E42" i="9"/>
  <c r="F15" i="3"/>
  <c r="I126" i="3"/>
  <c r="I133" i="2"/>
  <c r="B10" i="14"/>
  <c r="E42" i="14"/>
  <c r="F42" i="14" s="1"/>
  <c r="C62" i="14"/>
  <c r="D62" i="14" s="1"/>
  <c r="F37" i="14"/>
  <c r="C10" i="14" s="1"/>
  <c r="B10" i="17"/>
  <c r="C144" i="2"/>
  <c r="B15" i="2"/>
  <c r="D236" i="2"/>
  <c r="F59" i="2"/>
  <c r="L126" i="2"/>
  <c r="L127" i="2" s="1"/>
  <c r="E65" i="2"/>
  <c r="M128" i="2"/>
  <c r="M132" i="2" s="1"/>
  <c r="H132" i="2"/>
  <c r="E16" i="2" s="1"/>
  <c r="E42" i="10"/>
  <c r="F42" i="10" s="1"/>
  <c r="B10" i="10"/>
  <c r="C62" i="10"/>
  <c r="D62" i="10" s="1"/>
  <c r="F37" i="10"/>
  <c r="C10" i="10" s="1"/>
  <c r="D97" i="19"/>
  <c r="D96" i="19"/>
  <c r="D98" i="19" s="1"/>
  <c r="D10" i="17"/>
  <c r="D12" i="17" s="1"/>
  <c r="B13" i="4"/>
  <c r="D220" i="4"/>
  <c r="C132" i="4"/>
  <c r="F55" i="4"/>
  <c r="L115" i="4"/>
  <c r="L116" i="4" s="1"/>
  <c r="E61" i="4"/>
  <c r="D87" i="19"/>
  <c r="D88" i="19"/>
  <c r="C62" i="12"/>
  <c r="D62" i="12" s="1"/>
  <c r="B10" i="12"/>
  <c r="F37" i="12"/>
  <c r="C10" i="12" s="1"/>
  <c r="E42" i="12"/>
  <c r="F42" i="12" s="1"/>
  <c r="E68" i="5"/>
  <c r="H121" i="4"/>
  <c r="E14" i="4" s="1"/>
  <c r="M117" i="4"/>
  <c r="M121" i="4" s="1"/>
  <c r="E42" i="13"/>
  <c r="F42" i="13" s="1"/>
  <c r="C62" i="13"/>
  <c r="D62" i="13" s="1"/>
  <c r="B10" i="13"/>
  <c r="F37" i="13"/>
  <c r="C10" i="13" s="1"/>
  <c r="B51" i="8"/>
  <c r="M51" i="8" s="1"/>
  <c r="M17" i="8"/>
  <c r="C10" i="17"/>
  <c r="C12" i="17" s="1"/>
  <c r="B15" i="3"/>
  <c r="C137" i="3"/>
  <c r="F59" i="3"/>
  <c r="D224" i="3"/>
  <c r="L119" i="3"/>
  <c r="L120" i="3" s="1"/>
  <c r="E65" i="3"/>
  <c r="B10" i="6"/>
  <c r="C62" i="6"/>
  <c r="D62" i="6" s="1"/>
  <c r="E42" i="6"/>
  <c r="F42" i="6" s="1"/>
  <c r="F37" i="6"/>
  <c r="C10" i="6" s="1"/>
  <c r="F125" i="2"/>
  <c r="H124" i="2"/>
  <c r="D90" i="19"/>
  <c r="D92" i="19" s="1"/>
  <c r="D91" i="19"/>
  <c r="H113" i="4"/>
  <c r="F114" i="4"/>
  <c r="F13" i="4"/>
  <c r="I122" i="4"/>
  <c r="D94" i="19"/>
  <c r="D93" i="19"/>
  <c r="D95" i="19" s="1"/>
  <c r="C64" i="17" l="1"/>
  <c r="D64" i="17" s="1"/>
  <c r="D154" i="4"/>
  <c r="D158" i="3"/>
  <c r="D169" i="2"/>
  <c r="I15" i="3"/>
  <c r="L126" i="3"/>
  <c r="E224" i="3"/>
  <c r="D226" i="3"/>
  <c r="E226" i="3" s="1"/>
  <c r="C8" i="1"/>
  <c r="C13" i="17"/>
  <c r="C9" i="1" s="1"/>
  <c r="H125" i="2"/>
  <c r="M124" i="2"/>
  <c r="E220" i="4"/>
  <c r="D222" i="4"/>
  <c r="E222" i="4" s="1"/>
  <c r="E236" i="2"/>
  <c r="D238" i="2"/>
  <c r="E238" i="2" s="1"/>
  <c r="C74" i="5"/>
  <c r="D74" i="5" s="1"/>
  <c r="B13" i="5"/>
  <c r="E10" i="17"/>
  <c r="B11" i="5"/>
  <c r="F65" i="3"/>
  <c r="C19" i="3" s="1"/>
  <c r="E66" i="3"/>
  <c r="F17" i="2"/>
  <c r="E16" i="1"/>
  <c r="F15" i="4"/>
  <c r="E18" i="1"/>
  <c r="F119" i="3"/>
  <c r="C15" i="3"/>
  <c r="E137" i="3"/>
  <c r="C126" i="19"/>
  <c r="M117" i="3"/>
  <c r="H118" i="3"/>
  <c r="F17" i="3"/>
  <c r="E17" i="1"/>
  <c r="M113" i="4"/>
  <c r="H114" i="4"/>
  <c r="F61" i="4"/>
  <c r="C17" i="4" s="1"/>
  <c r="E62" i="4"/>
  <c r="I13" i="4"/>
  <c r="L122" i="4"/>
  <c r="C13" i="4"/>
  <c r="F115" i="4"/>
  <c r="E132" i="4"/>
  <c r="D8" i="1"/>
  <c r="D13" i="17"/>
  <c r="D9" i="1" s="1"/>
  <c r="E144" i="2"/>
  <c r="D100" i="19"/>
  <c r="C125" i="19"/>
  <c r="D89" i="19"/>
  <c r="D99" i="19" s="1"/>
  <c r="F65" i="2"/>
  <c r="C19" i="2" s="1"/>
  <c r="C27" i="18"/>
  <c r="D27" i="18" s="1"/>
  <c r="F27" i="18" s="1"/>
  <c r="E66" i="2"/>
  <c r="I15" i="2"/>
  <c r="L133" i="2"/>
  <c r="C15" i="2"/>
  <c r="F126" i="2"/>
  <c r="F10" i="17"/>
  <c r="B12" i="17"/>
  <c r="B8" i="1" l="1"/>
  <c r="B13" i="17"/>
  <c r="B9" i="1" s="1"/>
  <c r="H119" i="3"/>
  <c r="F120" i="3"/>
  <c r="F126" i="3" s="1"/>
  <c r="B17" i="1" s="1"/>
  <c r="M125" i="2"/>
  <c r="E73" i="2"/>
  <c r="E75" i="2" s="1"/>
  <c r="B17" i="2"/>
  <c r="F66" i="2"/>
  <c r="C17" i="2" s="1"/>
  <c r="C25" i="18"/>
  <c r="D25" i="18" s="1"/>
  <c r="F25" i="18" s="1"/>
  <c r="E12" i="4"/>
  <c r="D11" i="5"/>
  <c r="E14" i="3"/>
  <c r="I17" i="2"/>
  <c r="H16" i="1"/>
  <c r="E14" i="2"/>
  <c r="B17" i="3"/>
  <c r="E71" i="3"/>
  <c r="E73" i="3" s="1"/>
  <c r="C32" i="18"/>
  <c r="D32" i="18" s="1"/>
  <c r="F32" i="18" s="1"/>
  <c r="F66" i="3"/>
  <c r="C17" i="3" s="1"/>
  <c r="B165" i="19"/>
  <c r="C140" i="19"/>
  <c r="H17" i="1"/>
  <c r="I17" i="3"/>
  <c r="M118" i="3"/>
  <c r="F116" i="4"/>
  <c r="F122" i="4" s="1"/>
  <c r="B18" i="1" s="1"/>
  <c r="H115" i="4"/>
  <c r="I15" i="4"/>
  <c r="H18" i="1"/>
  <c r="B15" i="4"/>
  <c r="E67" i="4"/>
  <c r="E69" i="4" s="1"/>
  <c r="F62" i="4"/>
  <c r="C15" i="4" s="1"/>
  <c r="C33" i="18"/>
  <c r="D33" i="18" s="1"/>
  <c r="F33" i="18" s="1"/>
  <c r="M114" i="4"/>
  <c r="C128" i="19"/>
  <c r="C156" i="19"/>
  <c r="D156" i="19" s="1"/>
  <c r="B42" i="1"/>
  <c r="E42" i="1" s="1"/>
  <c r="G42" i="1" s="1"/>
  <c r="I42" i="1" s="1"/>
  <c r="C59" i="17"/>
  <c r="D59" i="17" s="1"/>
  <c r="F127" i="2"/>
  <c r="F133" i="2" s="1"/>
  <c r="B16" i="1" s="1"/>
  <c r="H126" i="2"/>
  <c r="D74" i="3" l="1"/>
  <c r="D70" i="4"/>
  <c r="D165" i="19"/>
  <c r="E165" i="19"/>
  <c r="H116" i="4"/>
  <c r="M115" i="4"/>
  <c r="B167" i="19"/>
  <c r="C141" i="19"/>
  <c r="H120" i="3"/>
  <c r="M119" i="3"/>
  <c r="M126" i="2"/>
  <c r="M127" i="2" s="1"/>
  <c r="M133" i="2" s="1"/>
  <c r="C164" i="2" s="1"/>
  <c r="D164" i="2" s="1"/>
  <c r="H127" i="2"/>
  <c r="D76" i="2"/>
  <c r="M116" i="4" l="1"/>
  <c r="M122" i="4" s="1"/>
  <c r="C149" i="4"/>
  <c r="D149" i="4" s="1"/>
  <c r="E13" i="4"/>
  <c r="H122" i="4"/>
  <c r="E167" i="19"/>
  <c r="D167" i="19"/>
  <c r="E73" i="4"/>
  <c r="E72" i="4"/>
  <c r="E71" i="4"/>
  <c r="E79" i="2"/>
  <c r="E78" i="2"/>
  <c r="E77" i="2"/>
  <c r="E76" i="3"/>
  <c r="E77" i="3"/>
  <c r="E75" i="3"/>
  <c r="M120" i="3"/>
  <c r="M126" i="3" s="1"/>
  <c r="E15" i="3"/>
  <c r="H126" i="3"/>
  <c r="E15" i="2"/>
  <c r="H133" i="2"/>
  <c r="M57" i="21" l="1"/>
  <c r="N57" i="21" s="1"/>
  <c r="O57" i="21" s="1"/>
  <c r="C141" i="3"/>
  <c r="E80" i="2"/>
  <c r="E81" i="2" s="1"/>
  <c r="C160" i="2" s="1"/>
  <c r="D160" i="2" s="1"/>
  <c r="E87" i="2"/>
  <c r="E88" i="2" s="1"/>
  <c r="D89" i="2" s="1"/>
  <c r="M55" i="21"/>
  <c r="C150" i="2"/>
  <c r="E150" i="2" s="1"/>
  <c r="B47" i="1"/>
  <c r="E74" i="4"/>
  <c r="E75" i="4" s="1"/>
  <c r="C145" i="4" s="1"/>
  <c r="D145" i="4" s="1"/>
  <c r="E81" i="4"/>
  <c r="E82" i="4" s="1"/>
  <c r="D83" i="4" s="1"/>
  <c r="E17" i="2"/>
  <c r="D16" i="1"/>
  <c r="E15" i="4"/>
  <c r="D18" i="1"/>
  <c r="E17" i="3"/>
  <c r="D17" i="1"/>
  <c r="E96" i="3"/>
  <c r="B23" i="3"/>
  <c r="C23" i="1" s="1"/>
  <c r="C23" i="3"/>
  <c r="E92" i="4"/>
  <c r="B21" i="4"/>
  <c r="D23" i="1" s="1"/>
  <c r="C21" i="4"/>
  <c r="E78" i="3"/>
  <c r="E79" i="3" s="1"/>
  <c r="C149" i="3" s="1"/>
  <c r="D149" i="3" s="1"/>
  <c r="E85" i="3"/>
  <c r="E86" i="3" s="1"/>
  <c r="D87" i="3" s="1"/>
  <c r="B23" i="2"/>
  <c r="B23" i="1" s="1"/>
  <c r="E101" i="2"/>
  <c r="C23" i="2"/>
  <c r="C136" i="4"/>
  <c r="M56" i="21"/>
  <c r="N56" i="21" s="1"/>
  <c r="O56" i="21" s="1"/>
  <c r="C153" i="3"/>
  <c r="D153" i="3" s="1"/>
  <c r="D10" i="21" l="1"/>
  <c r="E47" i="1"/>
  <c r="E141" i="3"/>
  <c r="E136" i="4"/>
  <c r="D13" i="21"/>
  <c r="N55" i="21"/>
  <c r="Q55" i="21"/>
  <c r="U55" i="21" s="1"/>
  <c r="D31" i="15"/>
  <c r="E31" i="15" s="1"/>
  <c r="D31" i="10"/>
  <c r="E31" i="10" s="1"/>
  <c r="D31" i="14"/>
  <c r="E31" i="14" s="1"/>
  <c r="D31" i="13"/>
  <c r="E31" i="13" s="1"/>
  <c r="B62" i="5"/>
  <c r="G62" i="5" s="1"/>
  <c r="B64" i="5"/>
  <c r="G64" i="5" s="1"/>
  <c r="D31" i="6"/>
  <c r="E31" i="6" s="1"/>
  <c r="D31" i="12"/>
  <c r="E31" i="12" s="1"/>
  <c r="B51" i="5"/>
  <c r="G51" i="5" s="1"/>
  <c r="D31" i="9"/>
  <c r="E31" i="9" s="1"/>
  <c r="D31" i="7"/>
  <c r="E31" i="7" s="1"/>
  <c r="B61" i="5"/>
  <c r="G61" i="5" s="1"/>
  <c r="B56" i="5"/>
  <c r="G56" i="5" s="1"/>
  <c r="B48" i="5"/>
  <c r="G48" i="5" s="1"/>
  <c r="D31" i="11"/>
  <c r="E31" i="11" s="1"/>
  <c r="B63" i="5"/>
  <c r="G63" i="5" s="1"/>
  <c r="B58" i="5"/>
  <c r="G58" i="5" s="1"/>
  <c r="B53" i="5"/>
  <c r="G53" i="5" s="1"/>
  <c r="B67" i="5"/>
  <c r="G67" i="5" s="1"/>
  <c r="E92" i="2"/>
  <c r="B55" i="5"/>
  <c r="G55" i="5" s="1"/>
  <c r="B60" i="5"/>
  <c r="G60" i="5" s="1"/>
  <c r="B57" i="5"/>
  <c r="G57" i="5" s="1"/>
  <c r="B59" i="5"/>
  <c r="G59" i="5" s="1"/>
  <c r="L13" i="8"/>
  <c r="L16" i="8" s="1"/>
  <c r="B65" i="5"/>
  <c r="G65" i="5" s="1"/>
  <c r="B54" i="5"/>
  <c r="G54" i="5" s="1"/>
  <c r="K13" i="8"/>
  <c r="K16" i="8" s="1"/>
  <c r="J13" i="8"/>
  <c r="J16" i="8" s="1"/>
  <c r="I13" i="8"/>
  <c r="I16" i="8" s="1"/>
  <c r="H13" i="8"/>
  <c r="H16" i="8" s="1"/>
  <c r="G13" i="8"/>
  <c r="G16" i="8" s="1"/>
  <c r="B47" i="5"/>
  <c r="B66" i="5"/>
  <c r="G66" i="5" s="1"/>
  <c r="F13" i="8"/>
  <c r="F16" i="8" s="1"/>
  <c r="E13" i="8"/>
  <c r="E16" i="8" s="1"/>
  <c r="B13" i="8"/>
  <c r="E90" i="2"/>
  <c r="E100" i="2" s="1"/>
  <c r="D13" i="8"/>
  <c r="D16" i="8" s="1"/>
  <c r="C13" i="8"/>
  <c r="C16" i="8" s="1"/>
  <c r="B50" i="5"/>
  <c r="G50" i="5" s="1"/>
  <c r="B49" i="5"/>
  <c r="G49" i="5" s="1"/>
  <c r="B52" i="5"/>
  <c r="G52" i="5" s="1"/>
  <c r="E91" i="2"/>
  <c r="C148" i="2" s="1"/>
  <c r="E93" i="2"/>
  <c r="E102" i="2" s="1"/>
  <c r="E85" i="4"/>
  <c r="E84" i="4"/>
  <c r="E91" i="4" s="1"/>
  <c r="E86" i="4"/>
  <c r="E93" i="4" s="1"/>
  <c r="E88" i="3"/>
  <c r="E95" i="3" s="1"/>
  <c r="E89" i="3"/>
  <c r="E90" i="3"/>
  <c r="E97" i="3" s="1"/>
  <c r="D23" i="21" l="1"/>
  <c r="E13" i="21"/>
  <c r="C100" i="5"/>
  <c r="H50" i="5"/>
  <c r="F31" i="12"/>
  <c r="C7" i="12" s="1"/>
  <c r="B7" i="12"/>
  <c r="E35" i="12"/>
  <c r="B7" i="14"/>
  <c r="F31" i="14"/>
  <c r="C7" i="14" s="1"/>
  <c r="E35" i="14"/>
  <c r="B7" i="10"/>
  <c r="E35" i="10"/>
  <c r="F31" i="10"/>
  <c r="C7" i="10" s="1"/>
  <c r="G47" i="5"/>
  <c r="B68" i="5"/>
  <c r="D14" i="21"/>
  <c r="E14" i="21" s="1"/>
  <c r="O55" i="21"/>
  <c r="B7" i="9"/>
  <c r="E35" i="9"/>
  <c r="C101" i="5"/>
  <c r="H51" i="5"/>
  <c r="C22" i="8"/>
  <c r="C49" i="8"/>
  <c r="C52" i="8" s="1"/>
  <c r="D22" i="8"/>
  <c r="D49" i="8"/>
  <c r="D52" i="8" s="1"/>
  <c r="E35" i="6"/>
  <c r="B7" i="6"/>
  <c r="F31" i="6"/>
  <c r="C7" i="6" s="1"/>
  <c r="E104" i="2"/>
  <c r="D105" i="2"/>
  <c r="C20" i="2" s="1"/>
  <c r="E10" i="21"/>
  <c r="D11" i="21"/>
  <c r="C32" i="21"/>
  <c r="D32" i="21" s="1"/>
  <c r="M101" i="21"/>
  <c r="N101" i="21" s="1"/>
  <c r="O101" i="21" s="1"/>
  <c r="C143" i="3"/>
  <c r="B25" i="3"/>
  <c r="E98" i="3"/>
  <c r="D99" i="3"/>
  <c r="C20" i="3" s="1"/>
  <c r="F31" i="11"/>
  <c r="C7" i="11" s="1"/>
  <c r="B7" i="11"/>
  <c r="E35" i="11"/>
  <c r="M102" i="21"/>
  <c r="N102" i="21" s="1"/>
  <c r="O102" i="21" s="1"/>
  <c r="C138" i="4"/>
  <c r="D25" i="1"/>
  <c r="C98" i="5"/>
  <c r="H48" i="5"/>
  <c r="J49" i="8"/>
  <c r="J52" i="8" s="1"/>
  <c r="J22" i="8"/>
  <c r="K49" i="8"/>
  <c r="K52" i="8" s="1"/>
  <c r="K22" i="8"/>
  <c r="C102" i="5"/>
  <c r="H52" i="5"/>
  <c r="C99" i="5"/>
  <c r="H49" i="5"/>
  <c r="L49" i="8"/>
  <c r="L52" i="8" s="1"/>
  <c r="L22" i="8"/>
  <c r="M13" i="8"/>
  <c r="B16" i="8"/>
  <c r="F22" i="8"/>
  <c r="F49" i="8"/>
  <c r="F52" i="8" s="1"/>
  <c r="H66" i="5"/>
  <c r="C103" i="5"/>
  <c r="B7" i="15"/>
  <c r="F31" i="15"/>
  <c r="C7" i="15" s="1"/>
  <c r="E35" i="15"/>
  <c r="G22" i="8"/>
  <c r="G49" i="8"/>
  <c r="G52" i="8" s="1"/>
  <c r="E94" i="4"/>
  <c r="D95" i="4"/>
  <c r="C18" i="4" s="1"/>
  <c r="H22" i="8"/>
  <c r="H49" i="8"/>
  <c r="H52" i="8" s="1"/>
  <c r="I22" i="8"/>
  <c r="I49" i="8"/>
  <c r="I52" i="8" s="1"/>
  <c r="E148" i="2"/>
  <c r="E35" i="7"/>
  <c r="B7" i="7"/>
  <c r="F31" i="7"/>
  <c r="C7" i="7" s="1"/>
  <c r="E22" i="8"/>
  <c r="E49" i="8"/>
  <c r="E52" i="8" s="1"/>
  <c r="M92" i="21"/>
  <c r="C152" i="2"/>
  <c r="E152" i="2" s="1"/>
  <c r="B25" i="1"/>
  <c r="E35" i="13"/>
  <c r="B7" i="13"/>
  <c r="F31" i="13"/>
  <c r="C7" i="13" s="1"/>
  <c r="G68" i="5" l="1"/>
  <c r="C97" i="5"/>
  <c r="H47" i="5"/>
  <c r="M16" i="8"/>
  <c r="B22" i="8"/>
  <c r="B49" i="8"/>
  <c r="E23" i="8"/>
  <c r="E30" i="8"/>
  <c r="E31" i="8" s="1"/>
  <c r="J30" i="8"/>
  <c r="J31" i="8" s="1"/>
  <c r="J23" i="8"/>
  <c r="D24" i="21"/>
  <c r="E11" i="21"/>
  <c r="I30" i="8"/>
  <c r="I31" i="8" s="1"/>
  <c r="I23" i="8"/>
  <c r="C61" i="11"/>
  <c r="E43" i="11"/>
  <c r="F35" i="11"/>
  <c r="E43" i="6"/>
  <c r="C61" i="6"/>
  <c r="F35" i="6"/>
  <c r="C61" i="10"/>
  <c r="E43" i="10"/>
  <c r="F35" i="10"/>
  <c r="E153" i="2"/>
  <c r="E143" i="3"/>
  <c r="E144" i="3" s="1"/>
  <c r="C144" i="3"/>
  <c r="C156" i="3" s="1"/>
  <c r="D156" i="3" s="1"/>
  <c r="E43" i="9"/>
  <c r="C61" i="9"/>
  <c r="L30" i="8"/>
  <c r="L31" i="8" s="1"/>
  <c r="L23" i="8"/>
  <c r="C61" i="7"/>
  <c r="E43" i="7"/>
  <c r="F35" i="7"/>
  <c r="E23" i="21"/>
  <c r="F47" i="1"/>
  <c r="G47" i="1" s="1"/>
  <c r="E138" i="4"/>
  <c r="E139" i="4" s="1"/>
  <c r="C153" i="4" s="1"/>
  <c r="D153" i="4" s="1"/>
  <c r="C139" i="4"/>
  <c r="C152" i="4" s="1"/>
  <c r="D152" i="4" s="1"/>
  <c r="E43" i="13"/>
  <c r="C61" i="13"/>
  <c r="F35" i="13"/>
  <c r="H30" i="8"/>
  <c r="H31" i="8" s="1"/>
  <c r="H23" i="8"/>
  <c r="D30" i="8"/>
  <c r="D31" i="8" s="1"/>
  <c r="D23" i="8"/>
  <c r="C61" i="14"/>
  <c r="E43" i="14"/>
  <c r="F35" i="14"/>
  <c r="D14" i="17"/>
  <c r="B18" i="4"/>
  <c r="B20" i="4" s="1"/>
  <c r="C20" i="4" s="1"/>
  <c r="C14" i="17"/>
  <c r="B20" i="3"/>
  <c r="B22" i="3" s="1"/>
  <c r="C22" i="3" s="1"/>
  <c r="C30" i="8"/>
  <c r="C31" i="8" s="1"/>
  <c r="C23" i="8"/>
  <c r="C25" i="1"/>
  <c r="C25" i="3"/>
  <c r="G30" i="8"/>
  <c r="G31" i="8" s="1"/>
  <c r="G23" i="8"/>
  <c r="C61" i="12"/>
  <c r="E43" i="12"/>
  <c r="F35" i="12"/>
  <c r="N92" i="21"/>
  <c r="C61" i="15"/>
  <c r="F35" i="15"/>
  <c r="E43" i="15"/>
  <c r="K30" i="8"/>
  <c r="K31" i="8" s="1"/>
  <c r="K23" i="8"/>
  <c r="C153" i="2"/>
  <c r="C167" i="2" s="1"/>
  <c r="D167" i="2" s="1"/>
  <c r="F30" i="8"/>
  <c r="F31" i="8" s="1"/>
  <c r="F23" i="8"/>
  <c r="B14" i="17"/>
  <c r="B20" i="2"/>
  <c r="B22" i="2" s="1"/>
  <c r="C22" i="2" s="1"/>
  <c r="E8" i="17"/>
  <c r="B12" i="5"/>
  <c r="D16" i="21"/>
  <c r="E16" i="21" s="1"/>
  <c r="B72" i="13" l="1"/>
  <c r="C72" i="13" s="1"/>
  <c r="B12" i="13"/>
  <c r="D48" i="13"/>
  <c r="D89" i="5"/>
  <c r="F43" i="13"/>
  <c r="C12" i="13" s="1"/>
  <c r="B12" i="15"/>
  <c r="D48" i="15"/>
  <c r="B72" i="15"/>
  <c r="C72" i="15" s="1"/>
  <c r="F43" i="15"/>
  <c r="C12" i="15" s="1"/>
  <c r="D91" i="5"/>
  <c r="B103" i="5" s="1"/>
  <c r="D103" i="5" s="1"/>
  <c r="C16" i="17"/>
  <c r="C12" i="1" s="1"/>
  <c r="C10" i="1"/>
  <c r="B72" i="12"/>
  <c r="C72" i="12" s="1"/>
  <c r="D48" i="12"/>
  <c r="F43" i="12"/>
  <c r="C12" i="12" s="1"/>
  <c r="D88" i="5"/>
  <c r="B12" i="12"/>
  <c r="L37" i="8"/>
  <c r="L33" i="8"/>
  <c r="L38" i="8" s="1"/>
  <c r="L40" i="8" s="1"/>
  <c r="L41" i="8" s="1"/>
  <c r="L35" i="8"/>
  <c r="M110" i="21" s="1"/>
  <c r="N110" i="21" s="1"/>
  <c r="O110" i="21" s="1"/>
  <c r="J35" i="8"/>
  <c r="M114" i="21" s="1"/>
  <c r="N114" i="21" s="1"/>
  <c r="O114" i="21" s="1"/>
  <c r="J33" i="8"/>
  <c r="J37" i="8"/>
  <c r="D86" i="5"/>
  <c r="B12" i="10"/>
  <c r="D48" i="10"/>
  <c r="B72" i="10"/>
  <c r="C72" i="10" s="1"/>
  <c r="F43" i="10"/>
  <c r="C12" i="10" s="1"/>
  <c r="E35" i="8"/>
  <c r="M100" i="21" s="1"/>
  <c r="N100" i="21" s="1"/>
  <c r="O100" i="21" s="1"/>
  <c r="E33" i="8"/>
  <c r="E37" i="8"/>
  <c r="D61" i="15"/>
  <c r="C64" i="15"/>
  <c r="D64" i="15" s="1"/>
  <c r="D16" i="17"/>
  <c r="D12" i="1" s="1"/>
  <c r="D10" i="1"/>
  <c r="C64" i="10"/>
  <c r="D64" i="10" s="1"/>
  <c r="D61" i="10"/>
  <c r="D48" i="7"/>
  <c r="B72" i="7"/>
  <c r="C72" i="7" s="1"/>
  <c r="B12" i="7"/>
  <c r="D83" i="5"/>
  <c r="B98" i="5" s="1"/>
  <c r="D98" i="5" s="1"/>
  <c r="F43" i="7"/>
  <c r="C12" i="7" s="1"/>
  <c r="F8" i="17"/>
  <c r="F12" i="17" s="1"/>
  <c r="E12" i="17"/>
  <c r="D35" i="8"/>
  <c r="M99" i="21" s="1"/>
  <c r="N99" i="21" s="1"/>
  <c r="O99" i="21" s="1"/>
  <c r="D33" i="8"/>
  <c r="D37" i="8"/>
  <c r="D87" i="5"/>
  <c r="B12" i="11"/>
  <c r="D48" i="11"/>
  <c r="B72" i="11"/>
  <c r="C72" i="11" s="1"/>
  <c r="F43" i="11"/>
  <c r="C12" i="11" s="1"/>
  <c r="B30" i="8"/>
  <c r="B23" i="8"/>
  <c r="M22" i="8"/>
  <c r="C64" i="12"/>
  <c r="D64" i="12" s="1"/>
  <c r="D61" i="12"/>
  <c r="C157" i="3"/>
  <c r="D157" i="3" s="1"/>
  <c r="C6" i="3" s="1"/>
  <c r="C66" i="17" s="1"/>
  <c r="D66" i="17" s="1"/>
  <c r="E24" i="21"/>
  <c r="C36" i="21"/>
  <c r="D36" i="21" s="1"/>
  <c r="C35" i="8"/>
  <c r="M97" i="21" s="1"/>
  <c r="N97" i="21" s="1"/>
  <c r="O97" i="21" s="1"/>
  <c r="C33" i="8"/>
  <c r="C37" i="8"/>
  <c r="C4" i="4"/>
  <c r="C67" i="17" s="1"/>
  <c r="D67" i="17" s="1"/>
  <c r="O92" i="21"/>
  <c r="B12" i="14"/>
  <c r="B72" i="14"/>
  <c r="C72" i="14" s="1"/>
  <c r="D90" i="5"/>
  <c r="B102" i="5" s="1"/>
  <c r="D102" i="5" s="1"/>
  <c r="D48" i="14"/>
  <c r="F43" i="14"/>
  <c r="C12" i="14" s="1"/>
  <c r="C64" i="7"/>
  <c r="D64" i="7" s="1"/>
  <c r="D61" i="7"/>
  <c r="C64" i="6"/>
  <c r="D64" i="6" s="1"/>
  <c r="D61" i="6"/>
  <c r="C64" i="14"/>
  <c r="D64" i="14" s="1"/>
  <c r="D61" i="14"/>
  <c r="C64" i="11"/>
  <c r="D64" i="11" s="1"/>
  <c r="D61" i="11"/>
  <c r="B16" i="17"/>
  <c r="B12" i="1" s="1"/>
  <c r="B10" i="1"/>
  <c r="H35" i="8"/>
  <c r="M94" i="21" s="1"/>
  <c r="N94" i="21" s="1"/>
  <c r="O94" i="21" s="1"/>
  <c r="H33" i="8"/>
  <c r="H37" i="8"/>
  <c r="G35" i="8"/>
  <c r="M93" i="21" s="1"/>
  <c r="G33" i="8"/>
  <c r="G37" i="8"/>
  <c r="D61" i="9"/>
  <c r="C64" i="9"/>
  <c r="D64" i="9" s="1"/>
  <c r="I33" i="8"/>
  <c r="I38" i="8" s="1"/>
  <c r="I40" i="8" s="1"/>
  <c r="I41" i="8" s="1"/>
  <c r="I35" i="8"/>
  <c r="M95" i="21" s="1"/>
  <c r="N95" i="21" s="1"/>
  <c r="O95" i="21" s="1"/>
  <c r="I37" i="8"/>
  <c r="C168" i="2"/>
  <c r="D168" i="2" s="1"/>
  <c r="C6" i="2" s="1"/>
  <c r="C65" i="17" s="1"/>
  <c r="D65" i="17" s="1"/>
  <c r="K35" i="8"/>
  <c r="M109" i="21" s="1"/>
  <c r="N109" i="21" s="1"/>
  <c r="O109" i="21" s="1"/>
  <c r="K33" i="8"/>
  <c r="K37" i="8"/>
  <c r="D48" i="6"/>
  <c r="B12" i="6"/>
  <c r="D82" i="5"/>
  <c r="B72" i="6"/>
  <c r="C72" i="6" s="1"/>
  <c r="F43" i="6"/>
  <c r="C12" i="6" s="1"/>
  <c r="M49" i="8"/>
  <c r="B52" i="8"/>
  <c r="M52" i="8" s="1"/>
  <c r="F33" i="8"/>
  <c r="F38" i="8" s="1"/>
  <c r="F40" i="8" s="1"/>
  <c r="F41" i="8" s="1"/>
  <c r="F35" i="8"/>
  <c r="M96" i="21" s="1"/>
  <c r="N96" i="21" s="1"/>
  <c r="O96" i="21" s="1"/>
  <c r="F37" i="8"/>
  <c r="D61" i="13"/>
  <c r="C64" i="13"/>
  <c r="D64" i="13" s="1"/>
  <c r="B72" i="9"/>
  <c r="C72" i="9" s="1"/>
  <c r="D85" i="5"/>
  <c r="B12" i="9"/>
  <c r="D48" i="9"/>
  <c r="B14" i="5"/>
  <c r="D14" i="5" s="1"/>
  <c r="C34" i="18"/>
  <c r="D34" i="18" s="1"/>
  <c r="F34" i="18" s="1"/>
  <c r="H68" i="5"/>
  <c r="B16" i="5" s="1"/>
  <c r="D49" i="10" l="1"/>
  <c r="G48" i="10"/>
  <c r="D84" i="5"/>
  <c r="B99" i="5" s="1"/>
  <c r="D99" i="5" s="1"/>
  <c r="M23" i="8"/>
  <c r="N93" i="21"/>
  <c r="G48" i="7"/>
  <c r="D49" i="7"/>
  <c r="B97" i="5"/>
  <c r="D97" i="5" s="1"/>
  <c r="D93" i="5"/>
  <c r="C108" i="5" s="1"/>
  <c r="D108" i="5" s="1"/>
  <c r="G48" i="15"/>
  <c r="D49" i="15"/>
  <c r="D8" i="6"/>
  <c r="D7" i="6"/>
  <c r="D12" i="6"/>
  <c r="D9" i="6"/>
  <c r="B74" i="6"/>
  <c r="C74" i="6" s="1"/>
  <c r="D11" i="6"/>
  <c r="D10" i="6"/>
  <c r="B74" i="14"/>
  <c r="C74" i="14" s="1"/>
  <c r="D9" i="14"/>
  <c r="D11" i="14"/>
  <c r="D12" i="14"/>
  <c r="D10" i="14"/>
  <c r="D8" i="14"/>
  <c r="D7" i="14"/>
  <c r="K38" i="8"/>
  <c r="K40" i="8" s="1"/>
  <c r="K41" i="8" s="1"/>
  <c r="B100" i="5"/>
  <c r="D100" i="5" s="1"/>
  <c r="D7" i="12"/>
  <c r="D12" i="12"/>
  <c r="D9" i="12"/>
  <c r="D11" i="12"/>
  <c r="B74" i="12"/>
  <c r="C74" i="12" s="1"/>
  <c r="D10" i="12"/>
  <c r="D8" i="12"/>
  <c r="D38" i="8"/>
  <c r="D40" i="8" s="1"/>
  <c r="D41" i="8" s="1"/>
  <c r="E38" i="8"/>
  <c r="E40" i="8" s="1"/>
  <c r="E41" i="8" s="1"/>
  <c r="G48" i="13"/>
  <c r="D49" i="13"/>
  <c r="C38" i="8"/>
  <c r="C40" i="8" s="1"/>
  <c r="C41" i="8" s="1"/>
  <c r="B101" i="5"/>
  <c r="D101" i="5" s="1"/>
  <c r="D8" i="13"/>
  <c r="D12" i="13"/>
  <c r="D10" i="13"/>
  <c r="B74" i="13"/>
  <c r="C74" i="13" s="1"/>
  <c r="D9" i="13"/>
  <c r="D11" i="13"/>
  <c r="D7" i="13"/>
  <c r="G38" i="8"/>
  <c r="G40" i="8" s="1"/>
  <c r="G41" i="8" s="1"/>
  <c r="G48" i="6"/>
  <c r="D49" i="6"/>
  <c r="D49" i="11"/>
  <c r="G48" i="11"/>
  <c r="E8" i="1"/>
  <c r="E13" i="17"/>
  <c r="E9" i="1" s="1"/>
  <c r="G48" i="12"/>
  <c r="D49" i="12"/>
  <c r="B74" i="10"/>
  <c r="C74" i="10" s="1"/>
  <c r="D7" i="10"/>
  <c r="D11" i="10"/>
  <c r="D10" i="10"/>
  <c r="D12" i="10"/>
  <c r="D8" i="10"/>
  <c r="D9" i="10"/>
  <c r="D11" i="7"/>
  <c r="D12" i="7"/>
  <c r="D8" i="7"/>
  <c r="B74" i="7"/>
  <c r="C74" i="7" s="1"/>
  <c r="D9" i="7"/>
  <c r="D7" i="7"/>
  <c r="D10" i="7"/>
  <c r="D49" i="14"/>
  <c r="G48" i="14"/>
  <c r="J38" i="8"/>
  <c r="J40" i="8" s="1"/>
  <c r="M30" i="8"/>
  <c r="B31" i="8"/>
  <c r="H38" i="8"/>
  <c r="H40" i="8" s="1"/>
  <c r="H41" i="8" s="1"/>
  <c r="D8" i="15"/>
  <c r="D12" i="15"/>
  <c r="D11" i="15"/>
  <c r="D9" i="15"/>
  <c r="D7" i="15"/>
  <c r="D10" i="15"/>
  <c r="B74" i="15"/>
  <c r="C74" i="15" s="1"/>
  <c r="G48" i="9"/>
  <c r="D49" i="9"/>
  <c r="B74" i="11"/>
  <c r="C74" i="11" s="1"/>
  <c r="D8" i="11"/>
  <c r="D12" i="11"/>
  <c r="D7" i="11"/>
  <c r="D11" i="11"/>
  <c r="D9" i="11"/>
  <c r="D10" i="11"/>
  <c r="D12" i="9"/>
  <c r="D8" i="9"/>
  <c r="D11" i="9"/>
  <c r="D10" i="9"/>
  <c r="D9" i="9"/>
  <c r="B74" i="9"/>
  <c r="C74" i="9" s="1"/>
  <c r="D7" i="9"/>
  <c r="F8" i="1"/>
  <c r="F13" i="17"/>
  <c r="F9" i="1" s="1"/>
  <c r="B73" i="9" l="1"/>
  <c r="C73" i="9" s="1"/>
  <c r="G49" i="9"/>
  <c r="G49" i="12"/>
  <c r="C50" i="12"/>
  <c r="G49" i="11"/>
  <c r="C50" i="11"/>
  <c r="O93" i="21"/>
  <c r="B33" i="8"/>
  <c r="B35" i="8"/>
  <c r="B37" i="8"/>
  <c r="M37" i="8" s="1"/>
  <c r="B75" i="9"/>
  <c r="C75" i="9" s="1"/>
  <c r="G49" i="13"/>
  <c r="C50" i="13"/>
  <c r="C107" i="5"/>
  <c r="D107" i="5" s="1"/>
  <c r="G49" i="6"/>
  <c r="C50" i="6"/>
  <c r="G49" i="7"/>
  <c r="C50" i="7"/>
  <c r="G49" i="10"/>
  <c r="C50" i="10"/>
  <c r="G49" i="14"/>
  <c r="C50" i="14"/>
  <c r="G49" i="15"/>
  <c r="C50" i="15"/>
  <c r="D52" i="11" l="1"/>
  <c r="D51" i="11"/>
  <c r="D53" i="11"/>
  <c r="G53" i="11" s="1"/>
  <c r="D51" i="6"/>
  <c r="D52" i="6"/>
  <c r="D53" i="6"/>
  <c r="G53" i="6" s="1"/>
  <c r="D52" i="14"/>
  <c r="D51" i="14"/>
  <c r="D53" i="14"/>
  <c r="G53" i="14" s="1"/>
  <c r="D52" i="10"/>
  <c r="D51" i="10"/>
  <c r="D53" i="10"/>
  <c r="G53" i="10" s="1"/>
  <c r="D51" i="12"/>
  <c r="D52" i="12"/>
  <c r="D53" i="12"/>
  <c r="G53" i="12" s="1"/>
  <c r="C4" i="9"/>
  <c r="K85" i="5" s="1"/>
  <c r="D51" i="7"/>
  <c r="D52" i="7"/>
  <c r="D53" i="7"/>
  <c r="G53" i="7" s="1"/>
  <c r="M98" i="21"/>
  <c r="M35" i="8"/>
  <c r="F84" i="5" s="1"/>
  <c r="B38" i="8"/>
  <c r="M33" i="8"/>
  <c r="B59" i="8" s="1"/>
  <c r="C59" i="8" s="1"/>
  <c r="D52" i="15"/>
  <c r="D51" i="15"/>
  <c r="D53" i="15"/>
  <c r="G53" i="15" s="1"/>
  <c r="D51" i="13"/>
  <c r="D52" i="13"/>
  <c r="D53" i="13"/>
  <c r="G53" i="13" s="1"/>
  <c r="D54" i="10" l="1"/>
  <c r="G51" i="10"/>
  <c r="B73" i="10"/>
  <c r="C73" i="10" s="1"/>
  <c r="M106" i="21"/>
  <c r="N106" i="21" s="1"/>
  <c r="O106" i="21" s="1"/>
  <c r="F86" i="5"/>
  <c r="G52" i="10"/>
  <c r="D54" i="14"/>
  <c r="G51" i="14"/>
  <c r="B73" i="14"/>
  <c r="C73" i="14" s="1"/>
  <c r="M38" i="8"/>
  <c r="G84" i="5" s="1"/>
  <c r="I84" i="5" s="1"/>
  <c r="J84" i="5" s="1"/>
  <c r="B40" i="8"/>
  <c r="F82" i="5"/>
  <c r="G52" i="6"/>
  <c r="M111" i="21"/>
  <c r="G51" i="6"/>
  <c r="D54" i="6"/>
  <c r="B73" i="6"/>
  <c r="C73" i="6" s="1"/>
  <c r="G51" i="12"/>
  <c r="D54" i="12"/>
  <c r="B73" i="12"/>
  <c r="C73" i="12" s="1"/>
  <c r="M104" i="21"/>
  <c r="N104" i="21" s="1"/>
  <c r="O104" i="21" s="1"/>
  <c r="G52" i="13"/>
  <c r="F89" i="5"/>
  <c r="G51" i="13"/>
  <c r="D54" i="13"/>
  <c r="B73" i="13"/>
  <c r="C73" i="13" s="1"/>
  <c r="G51" i="15"/>
  <c r="D54" i="15"/>
  <c r="B73" i="15"/>
  <c r="C73" i="15" s="1"/>
  <c r="M105" i="21"/>
  <c r="N105" i="21" s="1"/>
  <c r="O105" i="21" s="1"/>
  <c r="G52" i="14"/>
  <c r="F90" i="5"/>
  <c r="N98" i="21"/>
  <c r="M112" i="21"/>
  <c r="G52" i="7"/>
  <c r="F83" i="5"/>
  <c r="M103" i="21"/>
  <c r="N103" i="21" s="1"/>
  <c r="O103" i="21" s="1"/>
  <c r="G52" i="12"/>
  <c r="F88" i="5"/>
  <c r="M113" i="21"/>
  <c r="N113" i="21" s="1"/>
  <c r="O113" i="21" s="1"/>
  <c r="G52" i="15"/>
  <c r="F91" i="5"/>
  <c r="D54" i="7"/>
  <c r="G51" i="7"/>
  <c r="B73" i="7"/>
  <c r="C73" i="7" s="1"/>
  <c r="D54" i="11"/>
  <c r="G51" i="11"/>
  <c r="B73" i="11"/>
  <c r="C73" i="11" s="1"/>
  <c r="M108" i="21"/>
  <c r="N108" i="21" s="1"/>
  <c r="O108" i="21" s="1"/>
  <c r="F87" i="5"/>
  <c r="G52" i="11"/>
  <c r="G54" i="15" l="1"/>
  <c r="B14" i="15"/>
  <c r="G91" i="5"/>
  <c r="I91" i="5" s="1"/>
  <c r="J91" i="5" s="1"/>
  <c r="C55" i="15"/>
  <c r="C14" i="15" s="1"/>
  <c r="B14" i="14"/>
  <c r="G54" i="14"/>
  <c r="G90" i="5"/>
  <c r="I90" i="5" s="1"/>
  <c r="J90" i="5" s="1"/>
  <c r="C55" i="14"/>
  <c r="C14" i="14" s="1"/>
  <c r="G54" i="6"/>
  <c r="B14" i="6"/>
  <c r="G82" i="5"/>
  <c r="C55" i="6"/>
  <c r="C14" i="6" s="1"/>
  <c r="B14" i="13"/>
  <c r="G54" i="13"/>
  <c r="C55" i="13"/>
  <c r="C14" i="13" s="1"/>
  <c r="G89" i="5"/>
  <c r="I89" i="5" s="1"/>
  <c r="J89" i="5" s="1"/>
  <c r="G13" i="21"/>
  <c r="M136" i="21"/>
  <c r="B14" i="12"/>
  <c r="C55" i="12"/>
  <c r="C14" i="12" s="1"/>
  <c r="G54" i="12"/>
  <c r="G88" i="5"/>
  <c r="I88" i="5" s="1"/>
  <c r="J88" i="5" s="1"/>
  <c r="N112" i="21"/>
  <c r="O112" i="21" s="1"/>
  <c r="Q112" i="21"/>
  <c r="U112" i="21" s="1"/>
  <c r="O98" i="21"/>
  <c r="O136" i="21" s="1"/>
  <c r="G54" i="7"/>
  <c r="G83" i="5"/>
  <c r="I83" i="5" s="1"/>
  <c r="J83" i="5" s="1"/>
  <c r="B14" i="7"/>
  <c r="C55" i="7"/>
  <c r="C14" i="7" s="1"/>
  <c r="N111" i="21"/>
  <c r="O111" i="21" s="1"/>
  <c r="Q111" i="21"/>
  <c r="U111" i="21" s="1"/>
  <c r="F93" i="5"/>
  <c r="B41" i="8"/>
  <c r="M40" i="8"/>
  <c r="M41" i="8" s="1"/>
  <c r="B60" i="8" s="1"/>
  <c r="C60" i="8" s="1"/>
  <c r="C4" i="8" s="1"/>
  <c r="K84" i="5" s="1"/>
  <c r="G54" i="11"/>
  <c r="G87" i="5"/>
  <c r="I87" i="5" s="1"/>
  <c r="J87" i="5" s="1"/>
  <c r="B14" i="11"/>
  <c r="C55" i="11"/>
  <c r="C14" i="11" s="1"/>
  <c r="B14" i="10"/>
  <c r="G86" i="5"/>
  <c r="I86" i="5" s="1"/>
  <c r="J86" i="5" s="1"/>
  <c r="G54" i="10"/>
  <c r="C55" i="10"/>
  <c r="C14" i="10" s="1"/>
  <c r="B16" i="13" l="1"/>
  <c r="C16" i="13" s="1"/>
  <c r="B75" i="13"/>
  <c r="C75" i="13" s="1"/>
  <c r="C4" i="13" s="1"/>
  <c r="K89" i="5" s="1"/>
  <c r="B16" i="12"/>
  <c r="C16" i="12" s="1"/>
  <c r="B75" i="12"/>
  <c r="C75" i="12" s="1"/>
  <c r="C4" i="12" s="1"/>
  <c r="K88" i="5" s="1"/>
  <c r="G16" i="21"/>
  <c r="H16" i="21" s="1"/>
  <c r="G23" i="21"/>
  <c r="H13" i="21"/>
  <c r="I82" i="5"/>
  <c r="G93" i="5"/>
  <c r="B48" i="1"/>
  <c r="C39" i="17"/>
  <c r="B16" i="7"/>
  <c r="C16" i="7" s="1"/>
  <c r="B75" i="7"/>
  <c r="C75" i="7" s="1"/>
  <c r="C4" i="7" s="1"/>
  <c r="K83" i="5" s="1"/>
  <c r="B16" i="15"/>
  <c r="C16" i="15" s="1"/>
  <c r="B75" i="15"/>
  <c r="C75" i="15" s="1"/>
  <c r="C4" i="15" s="1"/>
  <c r="K91" i="5" s="1"/>
  <c r="B16" i="11"/>
  <c r="C16" i="11" s="1"/>
  <c r="B75" i="11" s="1"/>
  <c r="C75" i="11" s="1"/>
  <c r="C4" i="11" s="1"/>
  <c r="K87" i="5" s="1"/>
  <c r="B16" i="6"/>
  <c r="C16" i="6" s="1"/>
  <c r="B75" i="6" s="1"/>
  <c r="C75" i="6" s="1"/>
  <c r="C4" i="6" s="1"/>
  <c r="K82" i="5" s="1"/>
  <c r="G14" i="21"/>
  <c r="H14" i="21" s="1"/>
  <c r="U136" i="21"/>
  <c r="B16" i="14"/>
  <c r="C16" i="14" s="1"/>
  <c r="B75" i="14"/>
  <c r="C75" i="14" s="1"/>
  <c r="C4" i="14" s="1"/>
  <c r="K90" i="5" s="1"/>
  <c r="B16" i="10"/>
  <c r="C16" i="10" s="1"/>
  <c r="B75" i="10"/>
  <c r="C75" i="10" s="1"/>
  <c r="C4" i="10" s="1"/>
  <c r="K86" i="5" s="1"/>
  <c r="N136" i="21"/>
  <c r="C109" i="5" l="1"/>
  <c r="D109" i="5" s="1"/>
  <c r="J82" i="5"/>
  <c r="I93" i="5"/>
  <c r="J93" i="5" s="1"/>
  <c r="H23" i="21"/>
  <c r="F48" i="1"/>
  <c r="D67" i="19"/>
  <c r="D103" i="19" s="1"/>
  <c r="C131" i="19" s="1"/>
  <c r="C47" i="17"/>
  <c r="B49" i="1"/>
  <c r="E49" i="1" s="1"/>
  <c r="F44" i="1"/>
  <c r="F43" i="1"/>
  <c r="E14" i="17"/>
  <c r="B19" i="5"/>
  <c r="B18" i="5" s="1"/>
  <c r="G10" i="21"/>
  <c r="E48" i="1"/>
  <c r="G48" i="1" s="1"/>
  <c r="C33" i="21" l="1"/>
  <c r="D33" i="21" s="1"/>
  <c r="H10" i="21"/>
  <c r="G11" i="21"/>
  <c r="E10" i="1"/>
  <c r="E16" i="17"/>
  <c r="E12" i="1" s="1"/>
  <c r="F14" i="17"/>
  <c r="H25" i="21"/>
  <c r="F49" i="1"/>
  <c r="B31" i="1"/>
  <c r="C18" i="5"/>
  <c r="C75" i="5"/>
  <c r="D75" i="5" s="1"/>
  <c r="C6" i="5" s="1"/>
  <c r="C68" i="17" s="1"/>
  <c r="D68" i="17" s="1"/>
  <c r="C142" i="19"/>
  <c r="B168" i="19"/>
  <c r="G49" i="1"/>
  <c r="I49" i="1" s="1"/>
  <c r="C37" i="17" l="1"/>
  <c r="I14" i="17"/>
  <c r="D64" i="19"/>
  <c r="D101" i="19" s="1"/>
  <c r="B43" i="1"/>
  <c r="E43" i="1" s="1"/>
  <c r="G43" i="1" s="1"/>
  <c r="I43" i="1" s="1"/>
  <c r="B44" i="1"/>
  <c r="E44" i="1" s="1"/>
  <c r="G44" i="1" s="1"/>
  <c r="I44" i="1" s="1"/>
  <c r="F10" i="1"/>
  <c r="F16" i="17"/>
  <c r="F12" i="1" s="1"/>
  <c r="G24" i="21"/>
  <c r="H11" i="21"/>
  <c r="E25" i="21" s="1"/>
  <c r="C38" i="21" s="1"/>
  <c r="D38" i="21" s="1"/>
  <c r="E168" i="19"/>
  <c r="D168" i="19"/>
  <c r="C37" i="21" l="1"/>
  <c r="D37" i="21" s="1"/>
  <c r="H24" i="21"/>
  <c r="C40" i="21"/>
  <c r="D40" i="21" s="1"/>
  <c r="C3" i="21" s="1"/>
  <c r="C129" i="19"/>
  <c r="D107" i="19"/>
  <c r="C155" i="19" s="1"/>
  <c r="D155" i="19" s="1"/>
  <c r="C44" i="17"/>
  <c r="C46" i="17" s="1"/>
  <c r="B29" i="1"/>
  <c r="C79" i="17" l="1"/>
  <c r="D79" i="17" s="1"/>
  <c r="I47" i="1"/>
  <c r="I50" i="1" s="1"/>
  <c r="C4" i="1" s="1"/>
  <c r="I48" i="1"/>
  <c r="B35" i="1"/>
  <c r="C77" i="17" s="1"/>
  <c r="D77" i="17" s="1"/>
  <c r="C61" i="17"/>
  <c r="D61" i="17" s="1"/>
  <c r="C139" i="19"/>
  <c r="C144" i="19" s="1"/>
  <c r="C153" i="19" s="1"/>
  <c r="D153" i="19" s="1"/>
  <c r="B163" i="19"/>
  <c r="C135" i="19"/>
  <c r="C152" i="19" l="1"/>
  <c r="D152" i="19" s="1"/>
  <c r="C3" i="19" s="1"/>
  <c r="C80" i="17" s="1"/>
  <c r="D80" i="17" s="1"/>
  <c r="D69" i="17" s="1"/>
  <c r="C3" i="1" s="1"/>
  <c r="B170" i="19"/>
  <c r="D163" i="19"/>
  <c r="E163" i="19"/>
  <c r="G163" i="19"/>
  <c r="G164" i="19" l="1"/>
  <c r="C164" i="19"/>
  <c r="C163" i="19"/>
  <c r="G170" i="19"/>
  <c r="F170" i="19"/>
  <c r="G165" i="19" l="1"/>
  <c r="G166" i="19" l="1"/>
  <c r="C165" i="19"/>
  <c r="G167" i="19" l="1"/>
  <c r="C167" i="19" s="1"/>
  <c r="C166" i="19"/>
  <c r="G168" i="19" l="1"/>
  <c r="G169" i="19" l="1"/>
  <c r="C169" i="19"/>
  <c r="C168" i="19"/>
</calcChain>
</file>

<file path=xl/sharedStrings.xml><?xml version="1.0" encoding="utf-8"?>
<sst xmlns="http://schemas.openxmlformats.org/spreadsheetml/2006/main" count="6074" uniqueCount="2315">
  <si>
    <t>RINGKASAN WP COSTING</t>
  </si>
  <si>
    <t>Status kontrol semua sheet + kontrol ke GL/LK (bagian 5)</t>
  </si>
  <si>
    <t xml:space="preserve">  di dalamnya: kontrol ke GL, Neraca, Laba Rugi (bagian 5)</t>
  </si>
  <si>
    <t>1. Biaya produksi dan HPP per produk (Rp juta; Rp/kg per kg produksi)</t>
  </si>
  <si>
    <t>Pos</t>
  </si>
  <si>
    <t>FCC</t>
  </si>
  <si>
    <t>Ubi Ungu</t>
  </si>
  <si>
    <t>Ubi Orange</t>
  </si>
  <si>
    <t>Lain-lain</t>
  </si>
  <si>
    <t>Total</t>
  </si>
  <si>
    <t>Produksi (kg)</t>
  </si>
  <si>
    <t>Total biaya produksi</t>
  </si>
  <si>
    <t>Biaya produksi per kg (Rp)</t>
  </si>
  <si>
    <t>HPP</t>
  </si>
  <si>
    <t>Pendapatan (total = GL)</t>
  </si>
  <si>
    <t>Margin kotor (%)</t>
  </si>
  <si>
    <t>2. FCC, UU, UO: Rp/kg aktual vs budget dan penyebab selisih (Rp/kg)</t>
  </si>
  <si>
    <t>Produk</t>
  </si>
  <si>
    <t>Rp/kg aktual</t>
  </si>
  <si>
    <t>Rp/kg budget</t>
  </si>
  <si>
    <t>Selisih</t>
  </si>
  <si>
    <t>Harga / belanja</t>
  </si>
  <si>
    <t>Pemakaian / yield</t>
  </si>
  <si>
    <t>Volume</t>
  </si>
  <si>
    <t>Metode alokasi</t>
  </si>
  <si>
    <t>Bulan budget</t>
  </si>
  <si>
    <t>UU</t>
  </si>
  <si>
    <t>UO</t>
  </si>
  <si>
    <t>3. Biaya yang tidak terlihat di margin (memo)</t>
  </si>
  <si>
    <t>Catatan</t>
  </si>
  <si>
    <t>Biaya waste (kerugian normal) yang terserap ke HPP (Rp jt)</t>
  </si>
  <si>
    <t>KW 2 dikreditkan pada NRV (Rp jt)</t>
  </si>
  <si>
    <t>Kenaikan WIP + FG (Rp jt)</t>
  </si>
  <si>
    <t>Biaya jam operator tidak terpakai untuk produk (Rp jt; % jam)</t>
  </si>
  <si>
    <t>4. Rekonsiliasi ke GL (Rp juta)</t>
  </si>
  <si>
    <t>Total HPP kartu baru</t>
  </si>
  <si>
    <t>Varian material (GL − kartu)</t>
  </si>
  <si>
    <t>Selisih kenaikan persediaan kartu baru vs GL</t>
  </si>
  <si>
    <t>Kenaikan persediaan KW 2 pada NRV</t>
  </si>
  <si>
    <t>Jam menganggur dibebankan ke periode</t>
  </si>
  <si>
    <t>HPP menurut GL</t>
  </si>
  <si>
    <t>Cek (harus nol)</t>
  </si>
  <si>
    <t>5. Kontrol ke GL Accurate dan LK: Laba Rugi dan Neraca (Rp juta; toleransi Rp 0,001 jt)</t>
  </si>
  <si>
    <t>Menurut WP</t>
  </si>
  <si>
    <t>GL Accurate</t>
  </si>
  <si>
    <t>LK (LR / Neraca)</t>
  </si>
  <si>
    <t>Selisih WP − GL</t>
  </si>
  <si>
    <t>Dijelaskan pos rekon</t>
  </si>
  <si>
    <t>Sisa WP − GL</t>
  </si>
  <si>
    <t>Selisih GL − LK</t>
  </si>
  <si>
    <t>Status</t>
  </si>
  <si>
    <t>Penjelasan / sumber</t>
  </si>
  <si>
    <t>Laba rugi bulan ini</t>
  </si>
  <si>
    <t>Pendapatan</t>
  </si>
  <si>
    <t>WP: REKON F15 (pendapatan per produk). GL: 4101-007 (REKON C72).</t>
  </si>
  <si>
    <t>Pemakaian bahan baku</t>
  </si>
  <si>
    <t>WP: material kartu semua produk (REKON B28). GL: 1106-001 Penyesuaian Persediaan neto (REKON MATERIAL). Sisa dijelaskan varian material GL − kartu (REKON B30; rincian per item di REKON MATERIAL).</t>
  </si>
  <si>
    <t>Biaya konversi (DL + FOH)</t>
  </si>
  <si>
    <t>WP: upah kupas + DL + FOH di semua kartu (REKON F9:F11) + jam menganggur dibebankan ke periode. GL: 16 akun (BIAYA BERSAMA C23). Dijelaskan: penyesuaian BIAYA BERSAMA bagian 8 ke pool dan THR (reklas opex pabrik, THR tertukar, tali asih per bulan jasa, ongkos kirim singkong keluar ke material, pisau Urschel).</t>
  </si>
  <si>
    <t>WP: HPP semua kartu (REKON F14). GL: 5101/5102/6500-006/007 (REKON C44). Pos rekon: REKON C38:C42 (varian material, beda kenaikan persediaan kartu vs GL, KW 2 pada NRV, jam menganggur). Ditambah REKON C42: penyesuaian bagian 8 yang masuk kartu (tanda dibalik).</t>
  </si>
  <si>
    <t>Laba kotor</t>
  </si>
  <si>
    <t>Pendapatan − HPP. Pos rekon sama dengan baris HPP, tanda dibalik.</t>
  </si>
  <si>
    <t>Neraca akhir bulan</t>
  </si>
  <si>
    <t>Persediaan bahan baku 1106-001</t>
  </si>
  <si>
    <t>WP: saldo awal + penerimaan GL − pemakaian kartu (REKON MATERIAL kolom N). GL: saldo awal + penerimaan − penyesuaian. Sisa dijelaskan varian material.</t>
  </si>
  <si>
    <t>Persediaan barang setengah jadi 1106-002</t>
  </si>
  <si>
    <t>WP: WIP akhir kartu baru FCC + UU + UO. GL: saldo awal LK + mutasi GL (REKON C74). Selisih dijelaskan per item di REKON PERSEDIAAN: beda penilaian kartu baru vs kartu lama (K1), olein ditahan di WIP-022 (K2), bahan/kemasan di WIP (K3), beda konstan subledger vs GL.</t>
  </si>
  <si>
    <t>Persediaan barang jadi 1106-003</t>
  </si>
  <si>
    <t>WP: FG akhir kartu baru FCC + UU + UO + sheet SKU Lain-lain. GL: saldo awal LK + mutasi GL (REKON C75). Selisih dijelaskan per item di REKON PERSEDIAAN: beda penilaian (K1), FG tanpa mutasi (K4), FG tanpa sheet WP (K5), beda konstan subledger vs GL.</t>
  </si>
  <si>
    <t>Kenaikan persediaan WIP + FG</t>
  </si>
  <si>
    <t>WP: kenaikan menurut kartu baru (REKON C39). GL: mutasi 1106-002 + 1106-003 (REKON C74:C75). Sisa dijelaskan REKON C46 (pos rekon HPP). Rincian per kategori: REKON PERSEDIAAN kolom Δ.</t>
  </si>
  <si>
    <t>Status bagian 5 (semua baris harus LULUS; persediaan WIP/FG dirinci per item di REKON PERSEDIAAN)</t>
  </si>
  <si>
    <t>6. Input LK (Rp) – sel biru</t>
  </si>
  <si>
    <t>Nilai (Rp)</t>
  </si>
  <si>
    <t>Sumber</t>
  </si>
  <si>
    <t>Pendapatan 4101-007</t>
  </si>
  <si>
    <t>LK Sep-26 sheet Income Statement, 4101-007, kolom Sep</t>
  </si>
  <si>
    <t>Pemakaian Bahan Baku</t>
  </si>
  <si>
    <t>LK Sep-26 sheet Income Statement, baris Pemakaian Bahan Baku, kolom Sep</t>
  </si>
  <si>
    <t>Biaya konversi pabrik (16 akun 5101-002 s/d 5101-016, 6500-006/007)</t>
  </si>
  <si>
    <t>LK Sep-26 sheet Income Statement, jumlah 16 akun, kolom Sep</t>
  </si>
  <si>
    <t>Total Cost of Goods Sold</t>
  </si>
  <si>
    <t>LK Sep-26 sheet Income Statement, baris Total Cost of Goods Sold, kolom Sep</t>
  </si>
  <si>
    <t>Persediaan bahan baku 1106-001, akhir bulan</t>
  </si>
  <si>
    <t>LK Sep-26 sheet Balance Sheet, 1106-001, kolom September</t>
  </si>
  <si>
    <t>Persediaan barang setengah jadi 1106-002, awal bulan</t>
  </si>
  <si>
    <t>LK Sep-26 sheet Balance Sheet, 1106-002, kolom Agustus</t>
  </si>
  <si>
    <t>Persediaan barang setengah jadi 1106-002, akhir bulan</t>
  </si>
  <si>
    <t>LK Sep-26 sheet Balance Sheet, 1106-002, kolom September</t>
  </si>
  <si>
    <t>Persediaan barang jadi 1106-003, awal bulan</t>
  </si>
  <si>
    <t>LK Sep-26 sheet Balance Sheet, 1106-003, kolom Agustus</t>
  </si>
  <si>
    <t>Persediaan barang jadi 1106-003, akhir bulan</t>
  </si>
  <si>
    <t>LK Sep-26 sheet Balance Sheet, 1106-003, kolom September</t>
  </si>
  <si>
    <t>KARTU BIAYA PRODUKSI - FCC (Flat Cassava Chips)</t>
  </si>
  <si>
    <t>Bulan budget pembanding</t>
  </si>
  <si>
    <t>Sep-26</t>
  </si>
  <si>
    <t>posisi:</t>
  </si>
  <si>
    <t>Status kontrol (bagian 6)</t>
  </si>
  <si>
    <t>1. Ringkasan (Rp juta; Rp/kg per kg produksi bulan ini)</t>
  </si>
  <si>
    <t>Komponen</t>
  </si>
  <si>
    <t>Aktual (Rp jt)</t>
  </si>
  <si>
    <t>Aktual Rp/kg</t>
  </si>
  <si>
    <t>Budget Rp/kg</t>
  </si>
  <si>
    <t>Selisih Rp/kg</t>
  </si>
  <si>
    <t>Raw materials</t>
  </si>
  <si>
    <t>Oil</t>
  </si>
  <si>
    <t>CNG</t>
  </si>
  <si>
    <t>Material - others</t>
  </si>
  <si>
    <t>Upah kupas</t>
  </si>
  <si>
    <t>Direct labour (Grup A)</t>
  </si>
  <si>
    <t>Factory overhead (Grup B–E)</t>
  </si>
  <si>
    <t>Produksi bulan ini (kg; aktual, budget)</t>
  </si>
  <si>
    <t>Biaya konversi per kg (aktual, budget)</t>
  </si>
  <si>
    <t>HPP (Rp jt) dan HPP per kg terjual (aktual, budget)</t>
  </si>
  <si>
    <t>Pendapatan (Rp jt; aktual)</t>
  </si>
  <si>
    <t>Margin kotor (Rp jt; %)</t>
  </si>
  <si>
    <t>biaya waste (kerugian normal) yang masuk HPP (Rp jt; % biaya produksi)</t>
  </si>
  <si>
    <t>2. Laporan biaya produksi</t>
  </si>
  <si>
    <t>2a. Kuantitas (kg)</t>
  </si>
  <si>
    <t>Aktual kg</t>
  </si>
  <si>
    <t>% dari produksi</t>
  </si>
  <si>
    <t>Budget kg</t>
  </si>
  <si>
    <t>% budget</t>
  </si>
  <si>
    <t>WIP awal</t>
  </si>
  <si>
    <t>Produksi bulan ini (masuk proses)</t>
  </si>
  <si>
    <t>Total untuk dipertanggungjawabkan</t>
  </si>
  <si>
    <t xml:space="preserve">  Premium ke barang jadi</t>
  </si>
  <si>
    <t xml:space="preserve">  KW 2 (produk sampingan)</t>
  </si>
  <si>
    <t xml:space="preserve">  Keripik waste (kerugian normal)</t>
  </si>
  <si>
    <t xml:space="preserve">  WIP akhir</t>
  </si>
  <si>
    <t>Total dipertanggungjawabkan</t>
  </si>
  <si>
    <t>2b. Biaya produksi bulan ini (aktual)</t>
  </si>
  <si>
    <t>Qty</t>
  </si>
  <si>
    <t>Satuan</t>
  </si>
  <si>
    <t>Harga</t>
  </si>
  <si>
    <t>Rp/kg</t>
  </si>
  <si>
    <t xml:space="preserve">  Singkong kulit premium</t>
  </si>
  <si>
    <t>kg</t>
  </si>
  <si>
    <t xml:space="preserve">  Singkong daging premium</t>
  </si>
  <si>
    <t xml:space="preserve">  Ongkos kirim singkong (5101-016 per tanggal kirim; BIAYA BERSAMA bagian 8)</t>
  </si>
  <si>
    <t>Rp</t>
  </si>
  <si>
    <t>Subtotal raw materials</t>
  </si>
  <si>
    <t>Oil &amp; CNG</t>
  </si>
  <si>
    <t xml:space="preserve">  Minyak olein</t>
  </si>
  <si>
    <t xml:space="preserve">  CNG</t>
  </si>
  <si>
    <t>MMBTU</t>
  </si>
  <si>
    <t xml:space="preserve">  Amonium bicarbonate</t>
  </si>
  <si>
    <t xml:space="preserve">  HDPE 0,03</t>
  </si>
  <si>
    <t xml:space="preserve">  HDPE 0,05</t>
  </si>
  <si>
    <t xml:space="preserve">  HDPE 0,07</t>
  </si>
  <si>
    <t xml:space="preserve">  Packaging IFM (karton)</t>
  </si>
  <si>
    <t>pcs</t>
  </si>
  <si>
    <t xml:space="preserve">  Other cost (plakban, tali, label, plastik)</t>
  </si>
  <si>
    <t>Subtotal material - others</t>
  </si>
  <si>
    <t>Total material</t>
  </si>
  <si>
    <t>Konversi (dari BIAYA BERSAMA)</t>
  </si>
  <si>
    <t xml:space="preserve">  Upah borongan kupas</t>
  </si>
  <si>
    <t>kg dikupas</t>
  </si>
  <si>
    <t xml:space="preserve">  Grup A – DL operator</t>
  </si>
  <si>
    <t xml:space="preserve">  Grup B – IDL (support, staf, THR, BPJS)</t>
  </si>
  <si>
    <t xml:space="preserve">  Grup C – energi &amp; utilitas</t>
  </si>
  <si>
    <t xml:space="preserve">  Grup D – pemeliharaan &amp; penyusutan mesin</t>
  </si>
  <si>
    <t xml:space="preserve">  Grup E – pabrik umum &amp; penyusutan inventaris</t>
  </si>
  <si>
    <t>Subtotal factory overhead (Grup B–E)</t>
  </si>
  <si>
    <t>Total konversi</t>
  </si>
  <si>
    <t>TOTAL BIAYA PRODUKSI BULAN INI</t>
  </si>
  <si>
    <t xml:space="preserve">  Memo: kebutuhan ekuivalen singkong kulit per kg produksi</t>
  </si>
  <si>
    <t>kg/kg</t>
  </si>
  <si>
    <t>budget:</t>
  </si>
  <si>
    <t xml:space="preserve">  Memo: porsi singkong daging (ekuivalen kulit)</t>
  </si>
  <si>
    <t>2c. Penilaian hasil (biaya dipertanggungjawabkan = biaya dibebankan)</t>
  </si>
  <si>
    <t>Kg</t>
  </si>
  <si>
    <t>Biaya produksi bulan ini</t>
  </si>
  <si>
    <t>Dikurangi: KW 2 dinilai NRV (ke persediaan KW 2)</t>
  </si>
  <si>
    <t>Biaya untuk premium, waste, dan WIP akhir</t>
  </si>
  <si>
    <t>Biaya rata-rata tertimbang per kg</t>
  </si>
  <si>
    <t xml:space="preserve">  Keripik waste ke HPP (kerugian normal)</t>
  </si>
  <si>
    <t>Total dibebankan</t>
  </si>
  <si>
    <t>3. Barang jadi (FG-001 Keripik Singkong Tanpa Bumbu) dan HPP</t>
  </si>
  <si>
    <t>Saldo awal</t>
  </si>
  <si>
    <t>Masuk dari produksi</t>
  </si>
  <si>
    <t>Tersedia</t>
  </si>
  <si>
    <t>Keluar: penjualan ke IFM</t>
  </si>
  <si>
    <t>Keluar: transfer ke Lain-lain (FCC premium untuk cem-cem)</t>
  </si>
  <si>
    <t>Saldo akhir (kg menurut Accurate)</t>
  </si>
  <si>
    <t>Selisih kuantitas (tersedia − keluar − saldo akhir)</t>
  </si>
  <si>
    <t>nilai saldo akhir menurut Accurate</t>
  </si>
  <si>
    <t>residu nilai saldo awal tanpa kuantitas (tidak ikut rata-rata)</t>
  </si>
  <si>
    <t>FG-001 masuk − premium kartu</t>
  </si>
  <si>
    <t>transfer ke item lain − transfer ke cem-cem</t>
  </si>
  <si>
    <t xml:space="preserve">  HPP penjualan ke IFM</t>
  </si>
  <si>
    <t xml:space="preserve">  HPP keripik waste</t>
  </si>
  <si>
    <t xml:space="preserve">  HPP selisih kuantitas FG</t>
  </si>
  <si>
    <t xml:space="preserve">  HPP KW 2 tawar terjual ke KGS (pada NRV)</t>
  </si>
  <si>
    <t>Total HPP</t>
  </si>
  <si>
    <t>HPP (IFM + waste) per kg terjual ke IFM</t>
  </si>
  <si>
    <t xml:space="preserve">  Budget total HPP (volume budget)</t>
  </si>
  <si>
    <t>4. Selisih vs budget per komponen (Rp/kg produksi)</t>
  </si>
  <si>
    <t>Qty/kg aktual</t>
  </si>
  <si>
    <t>Qty/kg budget</t>
  </si>
  <si>
    <t>Harga aktual</t>
  </si>
  <si>
    <t>Harga budget</t>
  </si>
  <si>
    <t>Cek</t>
  </si>
  <si>
    <t xml:space="preserve">  CNG (MMBTU)</t>
  </si>
  <si>
    <t xml:space="preserve">  Other cost</t>
  </si>
  <si>
    <t xml:space="preserve">  Upah kupas (kg dikupas)</t>
  </si>
  <si>
    <t>Direct labour</t>
  </si>
  <si>
    <t xml:space="preserve">  Grup B – IDL</t>
  </si>
  <si>
    <t xml:space="preserve">  Grup D – mesin</t>
  </si>
  <si>
    <t xml:space="preserve">  Grup E – pabrik umum</t>
  </si>
  <si>
    <t>Factory overhead</t>
  </si>
  <si>
    <t>TOTAL</t>
  </si>
  <si>
    <t>5. Nilai untuk sheet BMG Business Plan</t>
  </si>
  <si>
    <t>Baris BP</t>
  </si>
  <si>
    <t>Kartu baru</t>
  </si>
  <si>
    <t>BP (dikosongkan)</t>
  </si>
  <si>
    <t xml:space="preserve">  Raw Materials</t>
  </si>
  <si>
    <t xml:space="preserve">  OIL</t>
  </si>
  <si>
    <t xml:space="preserve">  Material - Others</t>
  </si>
  <si>
    <t xml:space="preserve">  Upah Kupas</t>
  </si>
  <si>
    <t xml:space="preserve">  Direct Labour</t>
  </si>
  <si>
    <t xml:space="preserve">  Factory overhead</t>
  </si>
  <si>
    <t xml:space="preserve">  KW 2 (NRV produksi)</t>
  </si>
  <si>
    <t xml:space="preserve">  KW 2 tawar terjual (NRV)</t>
  </si>
  <si>
    <t xml:space="preserve">  Transfer ke Lain-lain (BP belum punya baris)</t>
  </si>
  <si>
    <t xml:space="preserve">  WIP - Beginnig Balance</t>
  </si>
  <si>
    <t xml:space="preserve">  WIP - Ending Balance</t>
  </si>
  <si>
    <t xml:space="preserve">  FG - Beginnig Balance</t>
  </si>
  <si>
    <t xml:space="preserve">  FG - Ending Balance</t>
  </si>
  <si>
    <t>COGS FCC</t>
  </si>
  <si>
    <t>6. Kontrol (toleransi Rp 1; 0,01 kg)</t>
  </si>
  <si>
    <t>Nilai</t>
  </si>
  <si>
    <t>Kuantitas: untuk dipertanggungjawabkan = dipertanggungjawabkan (kg)</t>
  </si>
  <si>
    <t>Biaya: dipertanggungjawabkan = dibebankan (Rp)</t>
  </si>
  <si>
    <t>Kg penilaian = kg kuantitas</t>
  </si>
  <si>
    <t>Material kartu baru = kartu lama (Lampiran C)</t>
  </si>
  <si>
    <t>Kartu lama tersusun ulang = total kartu lama</t>
  </si>
  <si>
    <t>Dekomposisi selisih per baris (bagian 4)</t>
  </si>
  <si>
    <t>Budget: Rp/kg × kg = total biaya produksi budget</t>
  </si>
  <si>
    <t>Budget: Grup A + B diselaraskan = pool budget</t>
  </si>
  <si>
    <t>Nilai untuk BP: COGS = − total HPP</t>
  </si>
  <si>
    <t>Tidak ada sel error</t>
  </si>
  <si>
    <t>Kontrol BIAYA BERSAMA</t>
  </si>
  <si>
    <t>LAMPIRAN A. Input bulan ini</t>
  </si>
  <si>
    <t>Status angka</t>
  </si>
  <si>
    <t>WIP awal (curah)</t>
  </si>
  <si>
    <t>Aktual</t>
  </si>
  <si>
    <t>Kartu lama FCC0926 D6</t>
  </si>
  <si>
    <t>Kartu lama FCC0926 D7</t>
  </si>
  <si>
    <t>WIP akhir (curah)</t>
  </si>
  <si>
    <t>Kartu lama FCC0926 D9</t>
  </si>
  <si>
    <t>KW 2</t>
  </si>
  <si>
    <t>Kartu lama FCC0926 D11</t>
  </si>
  <si>
    <t>Keripik waste</t>
  </si>
  <si>
    <t>Kartu lama FCC0926 D12</t>
  </si>
  <si>
    <t>Nilai WIP awal</t>
  </si>
  <si>
    <t>Roll-forward: WP Costing Agu26_3 FCC!E78 (WIP akhir kartu baru Agu)</t>
  </si>
  <si>
    <t>Nilai WIP akhir WIP-067 menurut Accurate</t>
  </si>
  <si>
    <t>Inventory Valuation Accurate 1 Agu–30 Sep 2026 (WIP-067 saldo akhir Sep)</t>
  </si>
  <si>
    <t>Kg singkong kulit yang dikupas</t>
  </si>
  <si>
    <t>WP CoGM Sep, Labor!I6</t>
  </si>
  <si>
    <t>Man-hour</t>
  </si>
  <si>
    <t>jam</t>
  </si>
  <si>
    <t>WP CoGM Sep, Labor!D30</t>
  </si>
  <si>
    <t>Pemakaian listrik</t>
  </si>
  <si>
    <t>kWh</t>
  </si>
  <si>
    <t>WP CoGM Sep, Overhead Allocation!D6</t>
  </si>
  <si>
    <t>FG awal FG-001</t>
  </si>
  <si>
    <t>Roll-forward: WP Costing Agu26_3 FCC!C203 (FG akhir Agu)</t>
  </si>
  <si>
    <t>Nilai FG awal FG-001</t>
  </si>
  <si>
    <t>Roll-forward: WP Costing Agu26_3 FCC!E91 (nilai FG akhir kartu baru Agu)</t>
  </si>
  <si>
    <t>Penjualan FCC premium ke IFM</t>
  </si>
  <si>
    <t>LK Sep-26 sheet Sales By Item: Keripik Singkong Tanpa Bumbu (KGS)</t>
  </si>
  <si>
    <t>FG akhir FG-001 menurut Accurate</t>
  </si>
  <si>
    <t>Inventory Valuation Accurate 1 Agu–30 Sep 2026 (FG-001 kts. akhir Sep)</t>
  </si>
  <si>
    <t>Nilai FG akhir menurut Accurate</t>
  </si>
  <si>
    <t>Inventory Valuation Accurate 1 Agu–30 Sep 2026 (FG-001 nilai akhir Sep)</t>
  </si>
  <si>
    <t>FG-001 masuk menurut Accurate</t>
  </si>
  <si>
    <t>Inventory Valuation Accurate 1 Agu–30 Sep 2026 (FG-001 penyesuaian masuk Sep)</t>
  </si>
  <si>
    <t>FG-001 transfer ke item lain menurut Accurate</t>
  </si>
  <si>
    <t>Inventory Valuation Accurate 1 Agu–30 Sep 2026 (FG-001 penyesuaian keluar Sep = transfer)</t>
  </si>
  <si>
    <t>KW 2 tawar terjual ke KGS</t>
  </si>
  <si>
    <t>LK Sep-26 sheet Sales By Item: 2nd Grade Tawar (KGS)</t>
  </si>
  <si>
    <t>NRV KW 2</t>
  </si>
  <si>
    <t>Estimasi</t>
  </si>
  <si>
    <t>BP Data Aktual Q76 (harga KW2 KGS tertimbang Jan–Agu), tetap dipakai untuk Sep</t>
  </si>
  <si>
    <t>Konversi CNG</t>
  </si>
  <si>
    <t>m3 per MMBTU</t>
  </si>
  <si>
    <t>Uji 12 invoice; ASUMSI no. 6</t>
  </si>
  <si>
    <t>Pendapatan FCC premium IFM + KW 2 tawar</t>
  </si>
  <si>
    <t>LK Sep-26 Sales By Item: Keripik Singkong Tanpa Bumbu + 2nd Grade Tawar</t>
  </si>
  <si>
    <t>LAMPIRAN B. Pemakaian material (qty dari laporan produksi, harga rata-rata)</t>
  </si>
  <si>
    <t>Material</t>
  </si>
  <si>
    <t>Kelompok BP</t>
  </si>
  <si>
    <t>Sub-kelompok</t>
  </si>
  <si>
    <t>Harga (Rp/satuan)</t>
  </si>
  <si>
    <t>Singkong Kulit Premium</t>
  </si>
  <si>
    <t>Singkong kulit</t>
  </si>
  <si>
    <t>Kartu lama FCC0926 baris 25; harga: sheet Average Price Sep</t>
  </si>
  <si>
    <t>Singkong Daging Premium</t>
  </si>
  <si>
    <t>Singkong daging</t>
  </si>
  <si>
    <t>Kartu lama FCC0926 baris 26; harga: sheet Average Price Sep</t>
  </si>
  <si>
    <t>Minyak Olein</t>
  </si>
  <si>
    <t>Minyak</t>
  </si>
  <si>
    <t>Kartu lama FCC0926 baris 28; harga: sheet Average Price Sep</t>
  </si>
  <si>
    <t>m3</t>
  </si>
  <si>
    <t>Kartu lama FCC0926 baris 44; harga: sheet Average Price Sep</t>
  </si>
  <si>
    <t>Ammonium Bicarbonate (TI)</t>
  </si>
  <si>
    <t>Material-others</t>
  </si>
  <si>
    <t>Amonium</t>
  </si>
  <si>
    <t>Kartu lama FCC0926 baris 29; harga: sheet Average Price Sep</t>
  </si>
  <si>
    <t>HDPE IFL Putih Tipis 0,03</t>
  </si>
  <si>
    <t>HDPE 0,03</t>
  </si>
  <si>
    <t>Kartu lama FCC0926 baris 30; harga: sheet Average Price Sep</t>
  </si>
  <si>
    <t>HDPE IFL Putih Tebal 0,05</t>
  </si>
  <si>
    <t>HDPE 0,05</t>
  </si>
  <si>
    <t>Kartu lama FCC0926 baris 31; harga: sheet Average Price Sep</t>
  </si>
  <si>
    <t>HDPE IFL Putih Tebal 0,07</t>
  </si>
  <si>
    <t>HDPE 0,07</t>
  </si>
  <si>
    <t>Kartu lama FCC0926 baris 32; harga: sheet Average Price Sep</t>
  </si>
  <si>
    <t>Karton Polos IFL</t>
  </si>
  <si>
    <t>Packaging IFM</t>
  </si>
  <si>
    <t>Kartu lama FCC0926 baris 37; harga: sheet Average Price Sep</t>
  </si>
  <si>
    <t>Plastik Singkong HD 60*100*0,07</t>
  </si>
  <si>
    <t>Other cost</t>
  </si>
  <si>
    <t>Kartu lama FCC0926 baris 33; harga: sheet Average Price Sep</t>
  </si>
  <si>
    <t>Tali Rafia 1 kg</t>
  </si>
  <si>
    <t>roll</t>
  </si>
  <si>
    <t>Kartu lama FCC0926 baris 34; harga: sheet Average Price Sep</t>
  </si>
  <si>
    <t>Plakban 100 Yard</t>
  </si>
  <si>
    <t>Kartu lama FCC0926 baris 35; harga: sheet Average Price Sep</t>
  </si>
  <si>
    <t>Plakban 90 Yard</t>
  </si>
  <si>
    <t>Kartu lama FCC0926 baris 36; harga: sheet Average Price Sep</t>
  </si>
  <si>
    <t>Label FCC</t>
  </si>
  <si>
    <t>rim</t>
  </si>
  <si>
    <t>Kartu lama FCC0926 baris 38; harga: sheet Average Price Sep</t>
  </si>
  <si>
    <t>Total material (tanpa upah kupas)</t>
  </si>
  <si>
    <t>Rendemen kupas aktual (kg dikupas ÷ kg singkong kulit)</t>
  </si>
  <si>
    <t>LAMPIRAN C. Pembanding kartu lama (WP CoGM September, sebelum restrukturisasi)</t>
  </si>
  <si>
    <t>Kartu lama (Rp)</t>
  </si>
  <si>
    <t>Kartu baru (Rp)</t>
  </si>
  <si>
    <t>Selisih (Rp)</t>
  </si>
  <si>
    <t>Keterangan</t>
  </si>
  <si>
    <t>Material tanpa kupas (termasuk CNG)</t>
  </si>
  <si>
    <t>Sama; CNG di kartu lama masuk overhead</t>
  </si>
  <si>
    <t>Sekarang dari pool payroll</t>
  </si>
  <si>
    <t>Lama: upah operator per man-hour. Baru: Grup A penuh</t>
  </si>
  <si>
    <t>Factory overhead tanpa CNG</t>
  </si>
  <si>
    <t>Lama: IDL (tarif rusak), air, listrik. Baru: Grup B–E penuh</t>
  </si>
  <si>
    <t>Total biaya produksi bulan ini</t>
  </si>
  <si>
    <t xml:space="preserve">  Referensi: total kartu lama</t>
  </si>
  <si>
    <t>KARTU BIAYA PRODUKSI - UBI UNGU IFM (QKSP)</t>
  </si>
  <si>
    <t>kenaikan WIP + FG (Rp jt) dan porsi biaya konversi di dalamnya</t>
  </si>
  <si>
    <t xml:space="preserve">  Ubi ungu</t>
  </si>
  <si>
    <t xml:space="preserve">  Amonium</t>
  </si>
  <si>
    <t xml:space="preserve">  HDPE 0,06</t>
  </si>
  <si>
    <t xml:space="preserve">  Packaging IFM</t>
  </si>
  <si>
    <t>dibebankan (harus nol)</t>
  </si>
  <si>
    <t xml:space="preserve">  nilai WIP akhir menurut Accurate</t>
  </si>
  <si>
    <t>3. Barang jadi (FG-101 FSPC Ungu Premium) dan HPP</t>
  </si>
  <si>
    <t>Nilai saldo akhir menurut Accurate</t>
  </si>
  <si>
    <t xml:space="preserve">  Residu nilai saldo awal tanpa kuantitas (tidak ikut rata-rata)</t>
  </si>
  <si>
    <t xml:space="preserve">  Cek budget: total Rp/kg budget × kg budget − MD total biaya produksi (harus nol)</t>
  </si>
  <si>
    <t>COGS Ubi Ungu</t>
  </si>
  <si>
    <t>Kartu lama Ubi Ungu IFM D6 (Opening FG on Hand = WIP curah)</t>
  </si>
  <si>
    <t>Kartu lama Ubi Ungu IFM D7 (Current Process)</t>
  </si>
  <si>
    <t>Kartu lama Ubi Ungu IFM D11 (FG on Hand = WIP curah)</t>
  </si>
  <si>
    <t>Kartu lama tidak mencatat KW 2</t>
  </si>
  <si>
    <t>Kartu lama tidak mencatat waste</t>
  </si>
  <si>
    <t>Roll-forward: WP Costing Agu26_3 UU!E77 (WIP akhir kartu baru Agu)</t>
  </si>
  <si>
    <t>Nilai WIP akhir menurut Accurate</t>
  </si>
  <si>
    <t>Inventory Valuation Accurate 1 Agu–30 Sep 2026 (WIP-139 saldo akhir Sep)</t>
  </si>
  <si>
    <t>Kg ubi yang dikupas</t>
  </si>
  <si>
    <t>Labor!I7: kupas ubi September nol</t>
  </si>
  <si>
    <t>WP CoGM Sep, Labor!D32</t>
  </si>
  <si>
    <t>WP CoGM Sep, Overhead Allocation!D8</t>
  </si>
  <si>
    <t>FG awal</t>
  </si>
  <si>
    <t>Roll-forward: WP Costing Agu26_3 UU!C204 (FG akhir Agu)</t>
  </si>
  <si>
    <t>Nilai FG awal</t>
  </si>
  <si>
    <t>Roll-forward: WP Costing Agu26_3 UU!E89 (nilai FG akhir kartu baru Agu)</t>
  </si>
  <si>
    <t>Penjualan ke IFM</t>
  </si>
  <si>
    <t>LK Sep-26 Sales By Item: WIP-QKSP (KGS)</t>
  </si>
  <si>
    <t>FG akhir menurut Accurate</t>
  </si>
  <si>
    <t>Inventory Valuation Accurate 1 Agu–30 Sep 2026 (FG-101 kts. akhir Sep)</t>
  </si>
  <si>
    <t>Inventory Valuation Accurate 1 Agu–30 Sep 2026 (FG-101 nilai akhir Sep)</t>
  </si>
  <si>
    <t>Pendapatan Ubi Ungu</t>
  </si>
  <si>
    <t>LK Sep-26 Sales By Item: WIP-QKSP</t>
  </si>
  <si>
    <t>Ubi</t>
  </si>
  <si>
    <t>Kartu lama Ubi Ungu IFM baris 22 (Sep)</t>
  </si>
  <si>
    <t>Kartu lama Ubi Ungu IFM baris 26 (Sep)</t>
  </si>
  <si>
    <t>Kartu lama Ubi Ungu IFM baris 34 (Sep)</t>
  </si>
  <si>
    <t>Kartu lama Ubi Ungu IFM baris 25 (Sep)</t>
  </si>
  <si>
    <t>Kartu lama Ubi Ungu IFM baris 24 (Sep)</t>
  </si>
  <si>
    <t>Kartu lama Ubi Ungu IFM baris 27 (Sep)</t>
  </si>
  <si>
    <t>Label WIP QKSP</t>
  </si>
  <si>
    <t>Kartu lama Ubi Ungu IFM baris 28 (Sep)</t>
  </si>
  <si>
    <t>KARTU BIAYA PRODUKSI - UBI ORANGE IFM (QKSO)</t>
  </si>
  <si>
    <t>Biaya waste (kerugian normal) yang masuk HPP (Rp jt; % biaya produksi)</t>
  </si>
  <si>
    <t xml:space="preserve">  Ubi orange</t>
  </si>
  <si>
    <t>Cek: dipertanggungjawabkan − dibebankan (harus nol)</t>
  </si>
  <si>
    <t xml:space="preserve">  Memo: nilai WIP akhir menurut Accurate</t>
  </si>
  <si>
    <t>3. Barang jadi (FG-102 FSPC Orange Premium) dan HPP</t>
  </si>
  <si>
    <t xml:space="preserve">  Memo: nilai saldo akhir menurut Accurate</t>
  </si>
  <si>
    <t xml:space="preserve">  Memo: residu nilai saldo awal tanpa kuantitas (tidak ikut rata-rata)</t>
  </si>
  <si>
    <t>5. Nilai untuk sheet BMG Business Plan baris 48–62 (Rp juta; tanda BP: biaya negatif)</t>
  </si>
  <si>
    <t>COGS Ubi Orange</t>
  </si>
  <si>
    <t>Catatan: kartu lama tidak mencatat KW 2 dan waste; budget memakai waste 1%. Nilai FG tanpa kuantitas di Accurate adalah residu dan perlu dibersihkan.</t>
  </si>
  <si>
    <t>Kartu lama Ubi Orange IFM D6</t>
  </si>
  <si>
    <t>Kartu lama Ubi Orange IFM D7 (Current Process)</t>
  </si>
  <si>
    <t>Kartu lama Ubi Orange IFM D11</t>
  </si>
  <si>
    <t>Roll-forward: WP Costing Agu26_3 UO!E73</t>
  </si>
  <si>
    <t>Inventory Valuation Accurate 1 Agu–30 Sep 2026 (WIP-138 saldo akhir Sep)</t>
  </si>
  <si>
    <t>WP CoGM Sep, Labor!D31</t>
  </si>
  <si>
    <t>WP CoGM Sep, Overhead Allocation!D7</t>
  </si>
  <si>
    <t>Roll-forward: WP Costing Agu26_3 UO!C200</t>
  </si>
  <si>
    <t>Roll-forward: WP Costing Agu26_3 UO!E85 (kartu baru; residu Accurate tidak dibawa)</t>
  </si>
  <si>
    <t>LK Sep-26 Sales By Item: WIP-QKSO (KGS)</t>
  </si>
  <si>
    <t>Inventory Valuation Accurate 1 Agu–30 Sep 2026 (FG-102 kts. akhir Sep)</t>
  </si>
  <si>
    <t>Inventory Valuation Accurate 1 Agu–30 Sep 2026 (FG-102 nilai akhir Sep)</t>
  </si>
  <si>
    <t>Pendapatan Ubi Orange</t>
  </si>
  <si>
    <t>LK Sep-26 Sales By Item: WIP-QKSO</t>
  </si>
  <si>
    <t>Ubi Orange Kulit Merah</t>
  </si>
  <si>
    <t>Kartu lama Ubi Orange IFM baris 22 (Sep)</t>
  </si>
  <si>
    <t>Kartu lama Ubi Orange IFM baris 26 (Sep)</t>
  </si>
  <si>
    <t>Kartu lama Ubi Orange IFM baris 34 (Sep)</t>
  </si>
  <si>
    <t>Kartu lama Ubi Orange IFM baris 25 (Sep)</t>
  </si>
  <si>
    <t>Kartu lama Ubi Orange IFM baris 24 (Sep)</t>
  </si>
  <si>
    <t>Kartu lama Ubi Orange IFM baris 27 (Sep)</t>
  </si>
  <si>
    <t>Label WIP QKSO</t>
  </si>
  <si>
    <t>Kartu lama Ubi Orange IFM baris 28 (Sep)</t>
  </si>
  <si>
    <t>KARTU BIAYA PRODUKSI – LAIN-LAIN (retail, koperasi, maklon), September 2026</t>
  </si>
  <si>
    <t>Status kontrol (bagian 4)</t>
  </si>
  <si>
    <t>Nilai KW 2 ubi (Rp/kg)</t>
  </si>
  <si>
    <t>1. Ringkasan (Rp juta)</t>
  </si>
  <si>
    <t>Budget (Rp jt)</t>
  </si>
  <si>
    <t>Material eksternal + konversi (tanpa bahan antarproduk)</t>
  </si>
  <si>
    <t>Bahan antarproduk (FCC premium, KW 2)</t>
  </si>
  <si>
    <t xml:space="preserve">  di dalamnya: konversi (DL + FOH)</t>
  </si>
  <si>
    <t>Total biaya produksi Lain-lain</t>
  </si>
  <si>
    <t>Output (kg)</t>
  </si>
  <si>
    <t>Biaya per kg (Rp)</t>
  </si>
  <si>
    <t>Pendapatan Others: retail &amp; maklon + KW 2 berbumbu (Rp jt; BP Data Aktual P68 + P65)</t>
  </si>
  <si>
    <t>Margin kotor Others (Rp jt; %)</t>
  </si>
  <si>
    <t>HPP Lain-lain (biaya produksi − kenaikan barang jadi; bagian 5)</t>
  </si>
  <si>
    <t>2. Input per kelompok produk – ditautkan dari sheet per SKU (sel hijau)</t>
  </si>
  <si>
    <t>Kelompok produk</t>
  </si>
  <si>
    <t>Lini bahan utama (akun varian)</t>
  </si>
  <si>
    <t>Input FCC premium (kg)</t>
  </si>
  <si>
    <t>Input KW 2 FCC (kg)</t>
  </si>
  <si>
    <t>Input KW 2 ubi (kg)</t>
  </si>
  <si>
    <t>Material eksternal (Rp)</t>
  </si>
  <si>
    <t>Cem-cem ORI</t>
  </si>
  <si>
    <t>Singkong</t>
  </si>
  <si>
    <t>Tautan ke sheet CEM-CEM ORI</t>
  </si>
  <si>
    <t>Cem-cem BBQ</t>
  </si>
  <si>
    <t>Tautan ke sheet CEM-CEM BBQ</t>
  </si>
  <si>
    <t>Koperasi (KW 2 berbumbu, 11 SKU)</t>
  </si>
  <si>
    <t>Tautan ke sheet KOPERASI</t>
  </si>
  <si>
    <t>Maicih basreng (maklon, 3 SKU)</t>
  </si>
  <si>
    <t>Singkong (maklon)</t>
  </si>
  <si>
    <t>Tautan ke sheet MCH BASRENG L0, MCH BASRENG L5, MCH BASRENG L10</t>
  </si>
  <si>
    <t>Maicih keripik (LV 3 &amp; 10)</t>
  </si>
  <si>
    <t>Tautan ke sheet MCH KERIPIK LV3, MCH KERIPIK LV10</t>
  </si>
  <si>
    <t>Maicih keripik LV 5</t>
  </si>
  <si>
    <t>Tautan ke sheet MCH KERIPIK LV5</t>
  </si>
  <si>
    <t>FCC Maicih</t>
  </si>
  <si>
    <t>FCC Putih</t>
  </si>
  <si>
    <t>Kecimpring (goreng &amp; bagging)</t>
  </si>
  <si>
    <t>Whole chips rempah 15/90 gr</t>
  </si>
  <si>
    <t>Maxi (pellet &amp; goreng)</t>
  </si>
  <si>
    <t>Singkong – cek bahan</t>
  </si>
  <si>
    <t>Pellet ubi ungu FG (1,2x1,5 &amp; 3x3)</t>
  </si>
  <si>
    <t>Keripik ubi ungu retail (goreng, bagging bakar/ori, NYEE)</t>
  </si>
  <si>
    <t>Whole chips ubi ungu 15/90 gr</t>
  </si>
  <si>
    <t>Umbiis (goreng &amp; bagging)</t>
  </si>
  <si>
    <t>Ubi Ungu – cek bahan</t>
  </si>
  <si>
    <t>Ubi ungu chips</t>
  </si>
  <si>
    <t>Pellet ubi orange FG 3x3</t>
  </si>
  <si>
    <t>Ubi orange chips</t>
  </si>
  <si>
    <t>Pellet lainnya</t>
  </si>
  <si>
    <t>Cek bahan</t>
  </si>
  <si>
    <t>Ubi putih ACE (Sweet Potato N110), ubi putih &amp; talas chips</t>
  </si>
  <si>
    <t>Singkong (lain)</t>
  </si>
  <si>
    <t>Tautan ke sheet UBI PUTIH ACE</t>
  </si>
  <si>
    <t>WRP (Delichips, Mixfruit, chips) – maklon</t>
  </si>
  <si>
    <t>3. Biaya produksi per kelompok (Rp)</t>
  </si>
  <si>
    <t>FCC premium</t>
  </si>
  <si>
    <t>Material eksternal</t>
  </si>
  <si>
    <t>DL (Grup A)</t>
  </si>
  <si>
    <t>FOH (Grup B–E)</t>
  </si>
  <si>
    <t>Total biaya</t>
  </si>
  <si>
    <t>4. Kontrol</t>
  </si>
  <si>
    <t>Man-hour Lain-lain = driver di BIAYA BERSAMA</t>
  </si>
  <si>
    <t>kWh Lain-lain = driver di BIAYA BERSAMA</t>
  </si>
  <si>
    <t>Konversi teralokasi = pool Lain-lain</t>
  </si>
  <si>
    <t>5. Rekap per SKU: biaya produksi, barang jadi, HPP, pendapatan (Rp)</t>
  </si>
  <si>
    <t>Sheet SKU</t>
  </si>
  <si>
    <t>Baris driver</t>
  </si>
  <si>
    <t>Barang jadi awal</t>
  </si>
  <si>
    <t>Barang jadi akhir</t>
  </si>
  <si>
    <t>Margin kotor</t>
  </si>
  <si>
    <t>Margin %</t>
  </si>
  <si>
    <t>Status sheet</t>
  </si>
  <si>
    <t>CEM-CEM ORI</t>
  </si>
  <si>
    <t>CEM-CEM BBQ</t>
  </si>
  <si>
    <t>KOPERASI</t>
  </si>
  <si>
    <t>MCH BASRENG L0</t>
  </si>
  <si>
    <t>MCH BASRENG L5</t>
  </si>
  <si>
    <t>MCH BASRENG L10</t>
  </si>
  <si>
    <t>MCH KERIPIK LV3</t>
  </si>
  <si>
    <t>MCH KERIPIK LV10</t>
  </si>
  <si>
    <t>MCH KERIPIK LV5</t>
  </si>
  <si>
    <t>UBI PUTIH ACE</t>
  </si>
  <si>
    <t>Produk tanpa kartu bulan ini (mis. whole chips, Umbiis, chips mix sampel)</t>
  </si>
  <si>
    <t>Tidak ada kartu → HPP 0 di WP (terserap di rekonsiliasi HPP. REKON). Memo HPP Accurate: Rp 980.075 (FG-041 Umbiis Kerupuk Ubi Ungu 55gr 980.075)</t>
  </si>
  <si>
    <t>Total Lain-lain</t>
  </si>
  <si>
    <t>Cek: biaya per baris driver bagian 3 = jumlah sheet SKU</t>
  </si>
  <si>
    <t>Baris</t>
  </si>
  <si>
    <t>Σ sheet SKU</t>
  </si>
  <si>
    <t>Bagian 3 kolom G</t>
  </si>
  <si>
    <t>5b. Kontrol rekap per SKU</t>
  </si>
  <si>
    <t>Biaya per baris driver = jumlah sheet SKU (Σ |selisih|)</t>
  </si>
  <si>
    <t>Total biaya sheet SKU = total biaya produksi Lain-lain (G68)</t>
  </si>
  <si>
    <t>Semua sheet SKU LULUS (jumlah sheet GAGAL)</t>
  </si>
  <si>
    <t>Pendapatan produk tanpa kartu tidak negatif</t>
  </si>
  <si>
    <t>KARTU BIAYA PRODUKSI – Cem-cem ORI (Keripik Singkong Original, Cem-Cem Cazva), September 2026</t>
  </si>
  <si>
    <t>Sumber: kartu 'LAP BAG CEMCEM ORI' di WP CoGM September 2026; driver man-hour &amp; kWh: sheet Labor &amp; Overhead Allocation; barang jadi: Inventory Valuation Accurate FG-180; pendapatan: LK Sales By Item.</t>
  </si>
  <si>
    <t>Status kontrol (bagian 5)</t>
  </si>
  <si>
    <t>Porsi</t>
  </si>
  <si>
    <t>FCC premium (antarproduk)</t>
  </si>
  <si>
    <t>KW 2 (antarproduk, NRV)</t>
  </si>
  <si>
    <t>Produksi (kg; satuan FG)</t>
  </si>
  <si>
    <t>HPP (Rp jt) dan HPP per satuan terjual</t>
  </si>
  <si>
    <t>Pendapatan (Rp jt) dan harga per satuan</t>
  </si>
  <si>
    <t>2a. Kuantitas</t>
  </si>
  <si>
    <t>Satuan FG (bag)</t>
  </si>
  <si>
    <t>Output produksi</t>
  </si>
  <si>
    <t>Sampel</t>
  </si>
  <si>
    <t>memo, tidak masuk barang jadi</t>
  </si>
  <si>
    <t>Input FCC premium</t>
  </si>
  <si>
    <t>Lampiran B</t>
  </si>
  <si>
    <t>Input KW 2 FCC</t>
  </si>
  <si>
    <t>Input KW 2 ubi</t>
  </si>
  <si>
    <t>Rendemen output ÷ input keripik (kg/kg)</t>
  </si>
  <si>
    <t>Qty / driver</t>
  </si>
  <si>
    <t>Harga / porsi</t>
  </si>
  <si>
    <t>Dasar</t>
  </si>
  <si>
    <t>Bahan</t>
  </si>
  <si>
    <t xml:space="preserve">  FCC premium (antarproduk)</t>
  </si>
  <si>
    <t>Biaya rata-rata FG FCC kartu baru (FCC D88)</t>
  </si>
  <si>
    <t xml:space="preserve">  KW 2 FCC (antarproduk, NRV)</t>
  </si>
  <si>
    <t>NRV KW 2 (FCC C208)</t>
  </si>
  <si>
    <t xml:space="preserve">  KW 2 ubi (antarproduk)</t>
  </si>
  <si>
    <t>Nilai KW 2 ubi (LAIN-LAIN C7)</t>
  </si>
  <si>
    <t xml:space="preserve">  Material eksternal (Lampiran B)</t>
  </si>
  <si>
    <t>Nilai kartu per baris material</t>
  </si>
  <si>
    <t>Subtotal bahan</t>
  </si>
  <si>
    <t>Konversi (pool BIAYA BERSAMA, porsi Lain-lain dibagi dengan driver yang sama dengan sheet LAIN-LAIN)</t>
  </si>
  <si>
    <t>Man-hour ÷ total man-hour Lain-lain × pool Grup A Lain-lain</t>
  </si>
  <si>
    <t xml:space="preserve">  Grup C + D – energi (kWh) dan mesin (bagging: kWh; Ubi putih ACE: jam mesin)</t>
  </si>
  <si>
    <t>Nilai material eksternal</t>
  </si>
  <si>
    <t>3. Barang jadi (FG-180 Keripik Singkong Original (Cem-Cem Cazva)) dan HPP</t>
  </si>
  <si>
    <t>Qty (bag)</t>
  </si>
  <si>
    <t>Rp/satuan</t>
  </si>
  <si>
    <t>Nilai WP (Rp)</t>
  </si>
  <si>
    <t>Qty Accurate</t>
  </si>
  <si>
    <t>Nilai Accurate (Rp)</t>
  </si>
  <si>
    <t>Selisih nilai WP − Accurate</t>
  </si>
  <si>
    <t>Biaya rata-rata tertimbang per satuan</t>
  </si>
  <si>
    <t>Keluar: penjualan (pengiriman pesanan)</t>
  </si>
  <si>
    <t>Saldo akhir (qty menurut Accurate)</t>
  </si>
  <si>
    <t>Selisih kuantitas (tersedia − penjualan − saldo akhir) ke HPP</t>
  </si>
  <si>
    <t>HPP (penjualan + selisih kuantitas)</t>
  </si>
  <si>
    <t>HPP per satuan terjual</t>
  </si>
  <si>
    <t>Memo: penjualan Sales By Item − pengiriman Accurate (qty)</t>
  </si>
  <si>
    <t>Memo: produksi kartu − masuk menurut Accurate (qty)</t>
  </si>
  <si>
    <t>4. Pembanding kartu lama (WP CoGM)</t>
  </si>
  <si>
    <t>WP (Rp)</t>
  </si>
  <si>
    <t>Material (DM + IDM)</t>
  </si>
  <si>
    <t>Kartu: FCC premium pada harga kartu lama; WP: pada biaya FCC kartu baru (FCC D88) dan KW 2 pada NRV</t>
  </si>
  <si>
    <t>Tenaga kerja (DL + IDL)</t>
  </si>
  <si>
    <t>Kartu: man-hour × tarif; WP: pool Grup A + B</t>
  </si>
  <si>
    <t>Listrik / overhead</t>
  </si>
  <si>
    <t>Kartu: kWh × tarif; WP: pool Grup C, D, E</t>
  </si>
  <si>
    <t>Man-hour: kartu lama vs driver Labor</t>
  </si>
  <si>
    <t>kWh: kartu lama vs driver Overhead Allocation</t>
  </si>
  <si>
    <t>5. Kontrol (toleransi Rp 1; 0,01 qty)</t>
  </si>
  <si>
    <t>Material eksternal di 2b = Lampiran B kelompok EXT</t>
  </si>
  <si>
    <t>Semua baris Lampiran B punya kelompok yang dikenal</t>
  </si>
  <si>
    <t>Total biaya = bahan + konversi</t>
  </si>
  <si>
    <t>Barang jadi: tersedia = penjualan + saldo akhir + selisih kuantitas (Rp)</t>
  </si>
  <si>
    <t>Ringkasan = 2b (Rp jt)</t>
  </si>
  <si>
    <t>Info (bukan kontrol): selisih kuantitas barang jadi (B53) dan memo B56–B57 menunjukkan beda kartu vs Accurate.</t>
  </si>
  <si>
    <t>Kartu E7 (kg)</t>
  </si>
  <si>
    <t>bag</t>
  </si>
  <si>
    <t>Kartu E6 (bag)</t>
  </si>
  <si>
    <t>Kartu E10</t>
  </si>
  <si>
    <t>Kartu E9</t>
  </si>
  <si>
    <t>Man-hour (driver Grup A &amp; B)</t>
  </si>
  <si>
    <t>Labor: LAP BAG CEMCEM ORI</t>
  </si>
  <si>
    <t>Pemakaian listrik (driver Grup C &amp; D)</t>
  </si>
  <si>
    <t>Overhead Allocation: LAP BAG CEMCEM ORI</t>
  </si>
  <si>
    <t>Saldo awal FG-180</t>
  </si>
  <si>
    <t>Inventory Valuation (Kts. saldo awal bulan)</t>
  </si>
  <si>
    <t>Nilai saldo awal FG-180 (WP)</t>
  </si>
  <si>
    <t>Roll-forward</t>
  </si>
  <si>
    <t>Roll-forward: WP DI - WP Costing BMG Agu26_4.xlsx sheet CEM-CEM ORI D52 (saldo akhir WP)</t>
  </si>
  <si>
    <t>Nilai saldo awal FG-180 menurut Accurate</t>
  </si>
  <si>
    <t>Inventory Valuation</t>
  </si>
  <si>
    <t>Masuk FG-180 menurut Accurate (penyesuaian masuk − keluar)</t>
  </si>
  <si>
    <t>Inventory Valuation, Penyesuaian persediaan</t>
  </si>
  <si>
    <t>Nilai masuk FG-180 menurut Accurate</t>
  </si>
  <si>
    <t>Keluar FG-180: pengiriman pesanan</t>
  </si>
  <si>
    <t>Inventory Valuation, Pengiriman Pesanan</t>
  </si>
  <si>
    <t>Nilai pengiriman menurut Accurate (HPP Accurate)</t>
  </si>
  <si>
    <t>Saldo akhir FG-180</t>
  </si>
  <si>
    <t>Inventory Valuation (Kts. akhir bulan)</t>
  </si>
  <si>
    <t>Nilai saldo akhir FG-180 menurut Accurate</t>
  </si>
  <si>
    <t>Penjualan menurut Sales By Item</t>
  </si>
  <si>
    <t>LK Sales By Item: Keripik Singkong Original (Cem-Cem Cazva)</t>
  </si>
  <si>
    <t>Kartu lama: Direct Material + Indirect Material</t>
  </si>
  <si>
    <t>Kartu, ringkasan Cost Components</t>
  </si>
  <si>
    <t>Kartu lama: Direct + Indirect Labor</t>
  </si>
  <si>
    <t>Kartu lama: Electricity</t>
  </si>
  <si>
    <t>Kartu lama: man-hour di operasi</t>
  </si>
  <si>
    <t>Kartu, baris Operation (DL + IDL)</t>
  </si>
  <si>
    <t>Kartu lama: kWh di operasi</t>
  </si>
  <si>
    <t>Kartu, baris Operation (Elc)</t>
  </si>
  <si>
    <t>LAMPIRAN B. Material per baris kartu (qty kartu; nilai kartu = qty × harga kartu)</t>
  </si>
  <si>
    <t>Kelompok</t>
  </si>
  <si>
    <t>Harga kartu</t>
  </si>
  <si>
    <t>Nilai kartu (Rp)</t>
  </si>
  <si>
    <t>FCC Premium Tanpa Bumbu @5,5kg</t>
  </si>
  <si>
    <t>Kartu C13:R13; kelompok: FCC premium (antarproduk)</t>
  </si>
  <si>
    <t>Bumbu Seors 132003</t>
  </si>
  <si>
    <t>EXT</t>
  </si>
  <si>
    <t>Kartu C14:R14; kelompok: Eksternal</t>
  </si>
  <si>
    <t>Plakban Ukuran 100 Yard</t>
  </si>
  <si>
    <t>Kartu C15:R15; kelompok: Eksternal</t>
  </si>
  <si>
    <t>Kode kelompok: FCC = FCC premium (dinilai ulang pada biaya FCC kartu baru), KW2 = KW 2 FCC (NRV), KW2UBI = KW 2 ubi, EXT = material eksternal (nilai kartu).</t>
  </si>
  <si>
    <t>KARTU BIAYA PRODUKSI – Cem-cem BBQ (Keripik Singkong BBQ, Cem-Cem Cazva), September 2026</t>
  </si>
  <si>
    <t>Sumber: kartu 'LAP BAG CEMCEM BBQ' di WP CoGM September 2026; driver man-hour &amp; kWh: sheet Labor &amp; Overhead Allocation; barang jadi: Inventory Valuation Accurate FG-181; pendapatan: LK Sales By Item.</t>
  </si>
  <si>
    <t>3. Barang jadi (FG-181 Keripik Singkong BBQ (Cem-Cem Cazva)) dan HPP</t>
  </si>
  <si>
    <t>Labor: LAP BAG CEMCEM BBQ</t>
  </si>
  <si>
    <t>Overhead Allocation: LAP BAG CEMCEM BBQ</t>
  </si>
  <si>
    <t>Saldo awal FG-181</t>
  </si>
  <si>
    <t>Nilai saldo awal FG-181 (WP)</t>
  </si>
  <si>
    <t>Roll-forward: WP DI - WP Costing BMG Agu26_4.xlsx sheet CEM-CEM BBQ D52 (saldo akhir WP)</t>
  </si>
  <si>
    <t>Nilai saldo awal FG-181 menurut Accurate</t>
  </si>
  <si>
    <t>Masuk FG-181 menurut Accurate (penyesuaian masuk − keluar)</t>
  </si>
  <si>
    <t>Nilai masuk FG-181 menurut Accurate</t>
  </si>
  <si>
    <t>Keluar FG-181: pengiriman pesanan</t>
  </si>
  <si>
    <t>Saldo akhir FG-181</t>
  </si>
  <si>
    <t>Nilai saldo akhir FG-181 menurut Accurate</t>
  </si>
  <si>
    <t>LK Sales By Item: Keripik Singkong BBQ (Cem-Cem Cazva)</t>
  </si>
  <si>
    <t>Bumbu BBQ SSF-01110</t>
  </si>
  <si>
    <t>KARTU BIAYA PRODUKSI – Koperasi – KW 2 berbumbu (per SKU), September 2026</t>
  </si>
  <si>
    <t>Sumber: kartu 'Bagging Kop' di WP CoGM September 2026 (satu kolom per SKU); driver man-hour: Labor 'Koperasi' dibagi per SKU dengan porsi man-hour kartu; barang jadi: Inventory Valuation; pendapatan: LK Sales By Item.</t>
  </si>
  <si>
    <t>1–2. Kuantitas dan biaya produksi per SKU (Rp)</t>
  </si>
  <si>
    <t>FCC Kw 2 Bumbu BBQ 1kg</t>
  </si>
  <si>
    <t>FCC Kw 2 Bumbu Balado 1kg</t>
  </si>
  <si>
    <t>FCC Kw 2 Bumbu Jagung Manis 1kg</t>
  </si>
  <si>
    <t>FCC Kw 2 Bumbu Asin 1kg</t>
  </si>
  <si>
    <t>FCC Kw2 Suka-Suka Bumbu BBQ 2,5kg</t>
  </si>
  <si>
    <t>FCC Kw2 Suka-suka Bumbu Balado 2,5kg</t>
  </si>
  <si>
    <t>FCC Kw2 Suka-suka Bumbu Jagung Manis 2,5kg</t>
  </si>
  <si>
    <t>FCC KW2 Suka-suka Bumbu Asin 2,5kg</t>
  </si>
  <si>
    <t>FCC Premium Bumbu Asin 250gr</t>
  </si>
  <si>
    <t>Keripik Ubi Mix Kw2 Rasa Balado 1 Kg</t>
  </si>
  <si>
    <t>Keripik Ubi Mix Kw2 Rasa BBQ 1 Kg</t>
  </si>
  <si>
    <t>Output produksi (kg)</t>
  </si>
  <si>
    <t>Output produksi (satuan FG)</t>
  </si>
  <si>
    <t>Man-hour (driver)</t>
  </si>
  <si>
    <t>FCC premium (antarproduk) – Rp</t>
  </si>
  <si>
    <t>Kg × biaya rata-rata FG FCC (FCC D88)</t>
  </si>
  <si>
    <t>KW 2 (antarproduk, NRV) – Rp</t>
  </si>
  <si>
    <t>KW 2 FCC × NRV (FCC C208) + KW 2 ubi × LAIN-LAIN C7</t>
  </si>
  <si>
    <t>Material eksternal – Rp</t>
  </si>
  <si>
    <t>Lampiran B kelompok EXT</t>
  </si>
  <si>
    <t>Grup A – DL operator</t>
  </si>
  <si>
    <t>Man-hour ÷ total man-hour Lain-lain × pool</t>
  </si>
  <si>
    <t>Grup B – IDL</t>
  </si>
  <si>
    <t>Grup C + D – energi &amp; mesin</t>
  </si>
  <si>
    <t>kWh Koperasi = 0 (sesuai Overhead Allocation)</t>
  </si>
  <si>
    <t>Grup E – pabrik umum</t>
  </si>
  <si>
    <t>TOTAL BIAYA PRODUKSI</t>
  </si>
  <si>
    <t>Biaya per kg</t>
  </si>
  <si>
    <t>3. Barang jadi dan HPP per SKU (qty dalam satuan FG)</t>
  </si>
  <si>
    <t>Saldo awal – qty</t>
  </si>
  <si>
    <t>Saldo awal – nilai WP</t>
  </si>
  <si>
    <t>Masuk dari produksi – qty</t>
  </si>
  <si>
    <t>Masuk dari produksi – nilai</t>
  </si>
  <si>
    <t>Biaya rata-rata per satuan</t>
  </si>
  <si>
    <t>Keluar: penjualan – qty</t>
  </si>
  <si>
    <t>Pengiriman pesanan (Accurate)</t>
  </si>
  <si>
    <t>Keluar: penjualan – nilai</t>
  </si>
  <si>
    <t>Saldo akhir – qty (Accurate)</t>
  </si>
  <si>
    <t>Saldo akhir – nilai WP</t>
  </si>
  <si>
    <t>Selisih kuantitas ke HPP – qty</t>
  </si>
  <si>
    <t>Selisih kuantitas ke HPP – nilai</t>
  </si>
  <si>
    <t>Memo: HPP menurut Accurate (nilai pengiriman)</t>
  </si>
  <si>
    <t>Memo: produksi kartu − masuk Accurate (qty)</t>
  </si>
  <si>
    <t>Kartu lama: material</t>
  </si>
  <si>
    <t>WP: bahan</t>
  </si>
  <si>
    <t>Kartu lama: tenaga kerja</t>
  </si>
  <si>
    <t>WP: konversi (Grup A–E)</t>
  </si>
  <si>
    <t>Selisih total WP − kartu lama</t>
  </si>
  <si>
    <t>5. Kontrol (toleransi Rp 1)</t>
  </si>
  <si>
    <t>Material eksternal per SKU = Lampiran B kelompok EXT (total)</t>
  </si>
  <si>
    <t>Man-hour driver per SKU = Labor Koperasi</t>
  </si>
  <si>
    <t>Barang jadi: awal + masuk = penjualan + akhir + selisih (Rp)</t>
  </si>
  <si>
    <t>LAMPIRAN A. Input bulan ini per SKU</t>
  </si>
  <si>
    <t>Kartu Bagging Kop baris 10</t>
  </si>
  <si>
    <t>Kg per satuan FG</t>
  </si>
  <si>
    <t>Kemasan SKU (1 kg / 2,5 kg)</t>
  </si>
  <si>
    <t>Man-hour kartu per SKU</t>
  </si>
  <si>
    <t>Kartu baris 40–41</t>
  </si>
  <si>
    <t>Man-hour driver (Labor Koperasi × porsi kartu)</t>
  </si>
  <si>
    <t>Labor: Koperasi × porsi kartu</t>
  </si>
  <si>
    <t>Saldo awal FG (satuan FG)</t>
  </si>
  <si>
    <t>Nilai saldo awal FG (WP)</t>
  </si>
  <si>
    <t>Roll-forward: WP DI - WP Costing BMG Agu26_4.xlsx sheet KOPERASI baris 35 (saldo akhir WP)</t>
  </si>
  <si>
    <t>Nilai saldo awal FG menurut Accurate</t>
  </si>
  <si>
    <t>Masuk FG menurut Accurate (penyesuaian masuk − keluar)</t>
  </si>
  <si>
    <t>Nilai masuk FG menurut Accurate</t>
  </si>
  <si>
    <t>Keluar FG: pengiriman pesanan</t>
  </si>
  <si>
    <t>Nilai pengiriman menurut Accurate</t>
  </si>
  <si>
    <t>Saldo akhir FG</t>
  </si>
  <si>
    <t>Nilai saldo akhir FG menurut Accurate</t>
  </si>
  <si>
    <t>Penjualan menurut Sales By Item (satuan FG)</t>
  </si>
  <si>
    <t>LK Sales By Item</t>
  </si>
  <si>
    <t>Kartu baris 45</t>
  </si>
  <si>
    <t>Kartu baris 72–73</t>
  </si>
  <si>
    <t>FG per SKU: FCC Kw 2 Bumbu BBQ 1kg = FG-014; FCC Kw 2 Bumbu Balado 1kg = FG-013; FCC Kw 2 Bumbu Jagung Manis 1kg = FG-016; FCC Kw 2 Bumbu Asin 1kg = FG-018; FCC Kw2 Suka-Suka Bumbu BBQ 2,5kg = FG-012; FCC Kw2 Suka-suka Bumbu Balado 2,5kg = FG-009; FCC Kw2 Suka-suka Bumbu Jagung Manis 2,5kg = FG-010; FCC KW2 Suka-suka Bumbu Asin 2,5kg = FG-011; FCC Premium Bumbu Asin 250gr = FG-190; Keripik Ubi Mix Kw2 Rasa Balado 1 Kg = FG-167; Keripik Ubi Mix Kw2 Rasa BBQ 1 Kg = FG-170</t>
  </si>
  <si>
    <t>LAMPIRAN B. Material per SKU – qty (atas) dan nilai kartu Rp (bawah)</t>
  </si>
  <si>
    <t>Material (qty)</t>
  </si>
  <si>
    <t>FCC Kw 2 Tanpa Bumbu  7 kg</t>
  </si>
  <si>
    <t>KW2</t>
  </si>
  <si>
    <t>FSPC Orange KW2 Tanpa Bumbu</t>
  </si>
  <si>
    <t>KW2UBI</t>
  </si>
  <si>
    <t>FCC Premium Tanpa Bumbu</t>
  </si>
  <si>
    <t>FSPC Ungu KW2 Tanpa Bumbu</t>
  </si>
  <si>
    <t>Keripik Talas KW2 Tanpa Bumbu</t>
  </si>
  <si>
    <t>Keripik Putih KW2 Tanpa Bumbu</t>
  </si>
  <si>
    <t>FSPC Orange Premium Tanpa Bumbu</t>
  </si>
  <si>
    <t>Keripik Talas Premium Tanpa Bumbu</t>
  </si>
  <si>
    <t>Bumbu BBQ Pachira</t>
  </si>
  <si>
    <t>Bumbu Balado Jeruk</t>
  </si>
  <si>
    <t>Bumbu Ubi Bakar Neo 321209</t>
  </si>
  <si>
    <t>Bumbu Balado FII-A-01014</t>
  </si>
  <si>
    <t>Bumbu Jagung Manis</t>
  </si>
  <si>
    <t>Garam-KI CYCL</t>
  </si>
  <si>
    <t>Bumbu Original 510080</t>
  </si>
  <si>
    <t>Bumbu Balado Non MSG</t>
  </si>
  <si>
    <t>Bumbu BBQ Non MSG</t>
  </si>
  <si>
    <t>Plastik PP 1 kg</t>
  </si>
  <si>
    <t>Plastik Suka Suka 40</t>
  </si>
  <si>
    <t>Plastik PP Siboli</t>
  </si>
  <si>
    <t>Plakban Ukuran 90 Yard</t>
  </si>
  <si>
    <t>Karton Umbiis</t>
  </si>
  <si>
    <t>Alumunium Foil Keripik</t>
  </si>
  <si>
    <t>Plastik Maxi</t>
  </si>
  <si>
    <t>Material (nilai kartu Rp)</t>
  </si>
  <si>
    <t>KARTU BIAYA PRODUKSI – Maicih Basreng 80 gr Level 0 (maklon), September 2026</t>
  </si>
  <si>
    <t>Sumber: kartu 'LAP BAG MAICIH BASRENG L.0 LOK' di WP CoGM September 2026; driver man-hour &amp; kWh: sheet Labor &amp; Overhead Allocation; barang jadi: Inventory Valuation Accurate FG-138; pendapatan: LK Sales By Item.</t>
  </si>
  <si>
    <t>Tidak ada kartu / produksi bulan ini – hanya pergerakan barang jadi.</t>
  </si>
  <si>
    <t>3. Barang jadi (FG-138 Maicih Basreng 80GR Level.0) dan HPP</t>
  </si>
  <si>
    <t>Labor: LAP BAG MAICIH BASRENG LV 0 LOK</t>
  </si>
  <si>
    <t>Overhead Allocation: LAP BAG MAICIH BASRENG LV 0 LOK</t>
  </si>
  <si>
    <t>Saldo awal FG-138</t>
  </si>
  <si>
    <t>Nilai saldo awal FG-138 (WP)</t>
  </si>
  <si>
    <t>Roll-forward: WP DI - WP Costing BMG Agu26_4.xlsx sheet MCH BASRENG L0 D52 (saldo akhir WP)</t>
  </si>
  <si>
    <t>Nilai saldo awal FG-138 menurut Accurate</t>
  </si>
  <si>
    <t>Masuk FG-138 menurut Accurate (penyesuaian masuk − keluar)</t>
  </si>
  <si>
    <t>Nilai masuk FG-138 menurut Accurate</t>
  </si>
  <si>
    <t>Keluar FG-138: pengiriman pesanan</t>
  </si>
  <si>
    <t>Saldo akhir FG-138</t>
  </si>
  <si>
    <t>Nilai saldo akhir FG-138 menurut Accurate</t>
  </si>
  <si>
    <t>LK Sales By Item: Maicih Basreng 80GR Level.0</t>
  </si>
  <si>
    <t>(tidak ada pemakaian)</t>
  </si>
  <si>
    <t>Kartu ; kelompok: Eksternal</t>
  </si>
  <si>
    <t>KARTU BIAYA PRODUKSI – Maicih Basreng 80 gr Level 5 (maklon), September 2026</t>
  </si>
  <si>
    <t>Sumber: kartu 'LAP BAG MAICIH BASRENG L.5 LOK' di WP CoGM September 2026; driver man-hour &amp; kWh: sheet Labor &amp; Overhead Allocation; barang jadi: Inventory Valuation Accurate FG-137; pendapatan: LK Sales By Item.</t>
  </si>
  <si>
    <t>3. Barang jadi (FG-137 Maicih Basreng 80GR Level.5) dan HPP</t>
  </si>
  <si>
    <t>Labor: LAP BAG MAICIH BASRENG LV 5 LOK</t>
  </si>
  <si>
    <t>Overhead Allocation: LAP BAG MAICIH BASRENG LV 5 LOK</t>
  </si>
  <si>
    <t>Saldo awal FG-137</t>
  </si>
  <si>
    <t>Nilai saldo awal FG-137 (WP)</t>
  </si>
  <si>
    <t>Roll-forward: WP DI - WP Costing BMG Agu26_4.xlsx sheet MCH BASRENG L5 D52 (saldo akhir WP)</t>
  </si>
  <si>
    <t>Nilai saldo awal FG-137 menurut Accurate</t>
  </si>
  <si>
    <t>Masuk FG-137 menurut Accurate (penyesuaian masuk − keluar)</t>
  </si>
  <si>
    <t>Nilai masuk FG-137 menurut Accurate</t>
  </si>
  <si>
    <t>Keluar FG-137: pengiriman pesanan</t>
  </si>
  <si>
    <t>Saldo akhir FG-137</t>
  </si>
  <si>
    <t>Nilai saldo akhir FG-137 menurut Accurate</t>
  </si>
  <si>
    <t>LK Sales By Item: Maicih Basreng 80GR Level.5</t>
  </si>
  <si>
    <t>Basreng Bumbu Level 5 Maichi</t>
  </si>
  <si>
    <t>Kartu C13:R13; kelompok: Eksternal</t>
  </si>
  <si>
    <t>Polyfilm Maichi Basreng Level 5</t>
  </si>
  <si>
    <t>Karton Maicih</t>
  </si>
  <si>
    <t>Kartu C16:R16; kelompok: Eksternal</t>
  </si>
  <si>
    <t>KARTU BIAYA PRODUKSI – Maicih Basreng 80 gr Level 10 (maklon), September 2026</t>
  </si>
  <si>
    <t>Sumber: kartu 'LAP BAG MAICIH BASRENG L.10 LOK' di WP CoGM September 2026; driver man-hour &amp; kWh: sheet Labor &amp; Overhead Allocation; barang jadi: Inventory Valuation Accurate FG-153; pendapatan: LK Sales By Item.</t>
  </si>
  <si>
    <t>3. Barang jadi (FG-153 Maicih Basreng 80 Gr-Level 10) dan HPP</t>
  </si>
  <si>
    <t>Labor: LAP BAG MAICIH BASRENG LV 10 LOK</t>
  </si>
  <si>
    <t>Overhead Allocation: LAP BAG MAICIH BASRENG LV 10 LOK</t>
  </si>
  <si>
    <t>Saldo awal FG-153</t>
  </si>
  <si>
    <t>Nilai saldo awal FG-153 (WP)</t>
  </si>
  <si>
    <t>Roll-forward: WP DI - WP Costing BMG Agu26_4.xlsx sheet MCH BASRENG L10 D52 (saldo akhir WP)</t>
  </si>
  <si>
    <t>Nilai saldo awal FG-153 menurut Accurate</t>
  </si>
  <si>
    <t>Masuk FG-153 menurut Accurate (penyesuaian masuk − keluar)</t>
  </si>
  <si>
    <t>Nilai masuk FG-153 menurut Accurate</t>
  </si>
  <si>
    <t>Keluar FG-153: pengiriman pesanan</t>
  </si>
  <si>
    <t>Saldo akhir FG-153</t>
  </si>
  <si>
    <t>Nilai saldo akhir FG-153 menurut Accurate</t>
  </si>
  <si>
    <t>LK Sales By Item: Maicih Basreng 80 Gr-Level 10</t>
  </si>
  <si>
    <t>Basreng Bumbu Level 10 Maichi</t>
  </si>
  <si>
    <t>Polyfilm Maichi Basreng Level 10</t>
  </si>
  <si>
    <t>KARTU BIAYA PRODUKSI – Maicih Keripik Singkong 80 gr Level 3, September 2026</t>
  </si>
  <si>
    <t>Sumber: kartu 'LAP BAG MAICIH KERIPIK LV 3' di WP CoGM September 2026; driver man-hour &amp; kWh: sheet Labor &amp; Overhead Allocation; barang jadi: Inventory Valuation Accurate FG-110; pendapatan: LK Sales By Item.</t>
  </si>
  <si>
    <t>3. Barang jadi (FG-110 Maicih Keripik Singkong 80gr-Level 3) dan HPP</t>
  </si>
  <si>
    <t>Labor: LAP BAG MAICIH KERIPIK LV 3 M</t>
  </si>
  <si>
    <t>Overhead Allocation: LAP BAG MAICIH KERIPIK LV 3 SA</t>
  </si>
  <si>
    <t>Saldo awal FG-110</t>
  </si>
  <si>
    <t>Nilai saldo awal FG-110 (WP)</t>
  </si>
  <si>
    <t>Roll-forward: WP DI - WP Costing BMG Agu26_4.xlsx sheet MCH KERIPIK LV3 D52 (saldo akhir WP)</t>
  </si>
  <si>
    <t>Nilai saldo awal FG-110 menurut Accurate</t>
  </si>
  <si>
    <t>Masuk FG-110 menurut Accurate (penyesuaian masuk − keluar)</t>
  </si>
  <si>
    <t>Nilai masuk FG-110 menurut Accurate</t>
  </si>
  <si>
    <t>Keluar FG-110: pengiriman pesanan</t>
  </si>
  <si>
    <t>Saldo akhir FG-110</t>
  </si>
  <si>
    <t>Nilai saldo akhir FG-110 menurut Accurate</t>
  </si>
  <si>
    <t>LK Sales By Item: Maicih Keripik Singkong 80gr-Level 3</t>
  </si>
  <si>
    <t>Keripik Singkong Kw 2</t>
  </si>
  <si>
    <t>Kartu C13:R13; kelompok: KW 2 FCC (antarproduk, NRV)</t>
  </si>
  <si>
    <t>Keripik Singkong Premium</t>
  </si>
  <si>
    <t>Kartu C14:R14; kelompok: FCC premium (antarproduk)</t>
  </si>
  <si>
    <t>Bumbu Maicih Level 3</t>
  </si>
  <si>
    <t>Polyfilm Maichi Keripik Singkong Level-3</t>
  </si>
  <si>
    <t>Kartu C17:R17; kelompok: Eksternal</t>
  </si>
  <si>
    <t>Kartu C18:R18; kelompok: Eksternal</t>
  </si>
  <si>
    <t>m³</t>
  </si>
  <si>
    <t>Kartu C19:R19; kelompok: Eksternal</t>
  </si>
  <si>
    <t>KARTU BIAYA PRODUKSI – Maicih Keripik Singkong 80 gr Level 10, September 2026</t>
  </si>
  <si>
    <t>Sumber: kartu 'LAP BAG MAICIH KERIPIK LV 10' di WP CoGM September 2026; driver man-hour &amp; kWh: sheet Labor &amp; Overhead Allocation; barang jadi: Inventory Valuation Accurate FG-111; pendapatan: LK Sales By Item.</t>
  </si>
  <si>
    <t>3. Barang jadi (FG-111 Maicih Keripik Singkong 80gr-Level 10) dan HPP</t>
  </si>
  <si>
    <t>Labor: LAP BAG MAICIH KERIPIK LV 10 M</t>
  </si>
  <si>
    <t>Overhead Allocation: LAP BAG MAICIH KERIPIK LV 10 SA</t>
  </si>
  <si>
    <t>Saldo awal FG-111</t>
  </si>
  <si>
    <t>Nilai saldo awal FG-111 (WP)</t>
  </si>
  <si>
    <t>Roll-forward: WP DI - WP Costing BMG Agu26_4.xlsx sheet MCH KERIPIK LV10 D52 (saldo akhir WP)</t>
  </si>
  <si>
    <t>Nilai saldo awal FG-111 menurut Accurate</t>
  </si>
  <si>
    <t>Masuk FG-111 menurut Accurate (penyesuaian masuk − keluar)</t>
  </si>
  <si>
    <t>Nilai masuk FG-111 menurut Accurate</t>
  </si>
  <si>
    <t>Keluar FG-111: pengiriman pesanan</t>
  </si>
  <si>
    <t>Saldo akhir FG-111</t>
  </si>
  <si>
    <t>Nilai saldo akhir FG-111 menurut Accurate</t>
  </si>
  <si>
    <t>LK Sales By Item: Maicih Keripik Singkong 80gr-Level 10</t>
  </si>
  <si>
    <t>Bumbu Maicih Level 10</t>
  </si>
  <si>
    <t>Polyfilm Maichi Keripik Singkong Level-10</t>
  </si>
  <si>
    <t>KARTU BIAYA PRODUKSI – Maicih Keripik Singkong 80 gr Level 5, September 2026</t>
  </si>
  <si>
    <t>Sumber: kartu 'LAP BAG MAICIH KERIPIK LV 5 SA' di WP CoGM September 2026; driver man-hour &amp; kWh: sheet Labor &amp; Overhead Allocation; barang jadi: Inventory Valuation Accurate FG-112; pendapatan: LK Sales By Item.</t>
  </si>
  <si>
    <t>3. Barang jadi (FG-112 Maicih Keripik Singkong 80gr-Level 5) dan HPP</t>
  </si>
  <si>
    <t>Labor: LAP BAG MAICIH KERIPIK LV 5 SA + LAP BAG MAICIH KERIPIK LV 5 M</t>
  </si>
  <si>
    <t>Overhead Allocation: LAP BAG MAICIH KERIPIK LV 5 SA</t>
  </si>
  <si>
    <t>Saldo awal FG-112</t>
  </si>
  <si>
    <t>Nilai saldo awal FG-112 (WP)</t>
  </si>
  <si>
    <t>Roll-forward: WP DI - WP Costing BMG Agu26_4.xlsx sheet MCH KERIPIK LV5 D52 (saldo akhir WP)</t>
  </si>
  <si>
    <t>Nilai saldo awal FG-112 menurut Accurate</t>
  </si>
  <si>
    <t>Masuk FG-112 menurut Accurate (penyesuaian masuk − keluar)</t>
  </si>
  <si>
    <t>Nilai masuk FG-112 menurut Accurate</t>
  </si>
  <si>
    <t>Keluar FG-112: pengiriman pesanan</t>
  </si>
  <si>
    <t>Saldo akhir FG-112</t>
  </si>
  <si>
    <t>Nilai saldo akhir FG-112 menurut Accurate</t>
  </si>
  <si>
    <t>LK Sales By Item: Maicih Keripik Singkong 80gr-Level 5</t>
  </si>
  <si>
    <t>Keripik Singkong KW 2</t>
  </si>
  <si>
    <t>Bumbu Maicih Level 5</t>
  </si>
  <si>
    <t>Polyfilm Maichi Keripik Singkong Level-5</t>
  </si>
  <si>
    <t>KARTU BIAYA PRODUKSI – Ubi Putih ACE (Sweet Potato N110), September 2026</t>
  </si>
  <si>
    <t>Sumber: kartu 'Ubi Putih ACE' di WP CoGM September 2026; driver man-hour &amp; kWh: sheet Labor &amp; Overhead Allocation; barang jadi: Inventory Valuation Accurate FG-182; pendapatan: LK Sales By Item.</t>
  </si>
  <si>
    <t>Satuan FG (kg)</t>
  </si>
  <si>
    <t>3. Barang jadi (FG-182 Sweet Potato N110) dan HPP</t>
  </si>
  <si>
    <t>Qty (kg)</t>
  </si>
  <si>
    <t>Kartu D7 (Current Process)</t>
  </si>
  <si>
    <t>Kartu D9 (FG transferred out)</t>
  </si>
  <si>
    <t>Labor: Ubi Putih ACE</t>
  </si>
  <si>
    <t>Overhead Allocation: Ubi Putih ACE</t>
  </si>
  <si>
    <t>Saldo awal FG-182</t>
  </si>
  <si>
    <t>Nilai saldo awal FG-182 (WP)</t>
  </si>
  <si>
    <t>Roll-forward: WP DI - WP Costing BMG Agu26_4.xlsx sheet UBI PUTIH ACE D52 (saldo akhir WP)</t>
  </si>
  <si>
    <t>Nilai saldo awal FG-182 menurut Accurate</t>
  </si>
  <si>
    <t>Masuk FG-182 menurut Accurate (penyesuaian masuk − keluar)</t>
  </si>
  <si>
    <t>Nilai masuk FG-182 menurut Accurate</t>
  </si>
  <si>
    <t>Keluar FG-182: pengiriman pesanan</t>
  </si>
  <si>
    <t>Saldo akhir FG-182</t>
  </si>
  <si>
    <t>Nilai saldo akhir FG-182 menurut Accurate</t>
  </si>
  <si>
    <t>LK Sales By Item: Sweet Potato N110</t>
  </si>
  <si>
    <t>Ubi Putih ACE</t>
  </si>
  <si>
    <t>Kartu B22:F22; kelompok: Eksternal</t>
  </si>
  <si>
    <t>BIAYA BERSAMA PABRIK – September 2026</t>
  </si>
  <si>
    <t>1. Saldo akun biaya pabrik – GL September 2026 (Rp)</t>
  </si>
  <si>
    <t>Kode</t>
  </si>
  <si>
    <t>Nama akun</t>
  </si>
  <si>
    <t>Sep-26 (Rp)</t>
  </si>
  <si>
    <t>Pool</t>
  </si>
  <si>
    <t>Akun baru mulai Okt-26</t>
  </si>
  <si>
    <t>5101-002</t>
  </si>
  <si>
    <t>COGM - DL - Biaya Upah Langsung Pabrik</t>
  </si>
  <si>
    <t>Dipecah (bagian 2)</t>
  </si>
  <si>
    <t>5101-111/121/131/141</t>
  </si>
  <si>
    <t>GL Accurate Jan–Sep-26 (file GL Feb–Sep), mutasi Sep-26</t>
  </si>
  <si>
    <t>5101-003</t>
  </si>
  <si>
    <t>COGM - DL - THR &amp; Bonus Pabrik</t>
  </si>
  <si>
    <t>5101-112/113/122/132/133/142/143</t>
  </si>
  <si>
    <t>5101-004</t>
  </si>
  <si>
    <t>COGM - DL - Pesangon Pabrik</t>
  </si>
  <si>
    <t>Grup A</t>
  </si>
  <si>
    <t>5101-150</t>
  </si>
  <si>
    <t>5101-005</t>
  </si>
  <si>
    <t>COGM - DL - Biaya Jamsostek Pabrik</t>
  </si>
  <si>
    <t>5101-114/124/134/144</t>
  </si>
  <si>
    <t>5101-006</t>
  </si>
  <si>
    <t>COGM - OHP - Biaya Listrik Pabrik</t>
  </si>
  <si>
    <t>Grup C</t>
  </si>
  <si>
    <t>5101-007</t>
  </si>
  <si>
    <t>COGM - OHP - Biaya Air Pabrik</t>
  </si>
  <si>
    <t>5101-008</t>
  </si>
  <si>
    <t>COGM - OHP - Biaya Utilitas Pabrik</t>
  </si>
  <si>
    <t>5101-009</t>
  </si>
  <si>
    <t>COGM - OHP - Biaya Rumah Tangga Pabrik</t>
  </si>
  <si>
    <t>Grup E</t>
  </si>
  <si>
    <t>5101-010</t>
  </si>
  <si>
    <t>COGM - OHP - Biaya Perbaikan &amp; Pemeliharaan Mesin</t>
  </si>
  <si>
    <t>Grup D</t>
  </si>
  <si>
    <t>5101-011</t>
  </si>
  <si>
    <t>COGM - OHP - Biaya Perbaikan &amp; Pemeliharaan Pabrik</t>
  </si>
  <si>
    <t>5101-012</t>
  </si>
  <si>
    <t>COGM - OHP - Biaya Perbaikan &amp; Pemeliharaan Inventaris Pabrik</t>
  </si>
  <si>
    <t>5101-013</t>
  </si>
  <si>
    <t>COGM - OHP - Biaya Peny. Mesin Gol 1</t>
  </si>
  <si>
    <t>5101-014</t>
  </si>
  <si>
    <t>COGM - OHP - Biaya Peny. Mesin Gol 2</t>
  </si>
  <si>
    <t>5101-016</t>
  </si>
  <si>
    <t>COGM - OHP - Biaya Pabrikasi &amp; Pengiriman</t>
  </si>
  <si>
    <t>6500-006</t>
  </si>
  <si>
    <t>COGM - OHP - Biaya Peny. Inventaris Pabrik Gol 1</t>
  </si>
  <si>
    <t>5101-017</t>
  </si>
  <si>
    <t>6500-007</t>
  </si>
  <si>
    <t>COGM - OHP - Biaya Peny. Inventaris Pabrik Gol 2</t>
  </si>
  <si>
    <t>Total biaya konversi pabrik</t>
  </si>
  <si>
    <t>Referensi: LK Sep-26 sheet Income Statement kolom Sep (16 akun)</t>
  </si>
  <si>
    <t>Untuk kontrol</t>
  </si>
  <si>
    <t>2. Rincian upah 5101-002 per kelompok, dan pembagian THR/BPJS (sementara sampai akun payroll baru aktif)</t>
  </si>
  <si>
    <t>Unit / departemen</t>
  </si>
  <si>
    <t>Upah GL dibagi porsi rekap (Rp)</t>
  </si>
  <si>
    <t>Operator harian</t>
  </si>
  <si>
    <t>Unit I</t>
  </si>
  <si>
    <t>WP CoGM Sep, Labor!E6:E16 dan J6</t>
  </si>
  <si>
    <t>Unit II</t>
  </si>
  <si>
    <t>Unit III</t>
  </si>
  <si>
    <t>Support harian</t>
  </si>
  <si>
    <t>QC</t>
  </si>
  <si>
    <t>Grup B</t>
  </si>
  <si>
    <t>Formulasi</t>
  </si>
  <si>
    <t>RnD</t>
  </si>
  <si>
    <t>Engineering</t>
  </si>
  <si>
    <t>PPIC</t>
  </si>
  <si>
    <t>Gudang</t>
  </si>
  <si>
    <t>HRGA</t>
  </si>
  <si>
    <t>Agro</t>
  </si>
  <si>
    <t>Borongan kupas</t>
  </si>
  <si>
    <t>Kupas singkong</t>
  </si>
  <si>
    <t>Kupas</t>
  </si>
  <si>
    <t>Kupas ubi</t>
  </si>
  <si>
    <t>Staf bulanan pabrik</t>
  </si>
  <si>
    <t>Semua departemen pabrik</t>
  </si>
  <si>
    <t>GL 5101-002 jurnal MJ26090065 (COGS - Manufacturing Overhead + Direct Labour), sama dengan pola Agu MJ26080059</t>
  </si>
  <si>
    <t>Subtotal rekap payroll</t>
  </si>
  <si>
    <t>GL 5101-002</t>
  </si>
  <si>
    <t>Selisih GL − rekap (info: upah harian GL di bawah rekap + tali asih; upah dibagi di kolom F, tali asih di baris 60)</t>
  </si>
  <si>
    <t>Parameter: kupas ikut THR &amp; BPJS? (1 = ya, 0 = tidak)</t>
  </si>
  <si>
    <t>Lihat sheet ASUMSI no. 3</t>
  </si>
  <si>
    <t>Basis pembagian THR &amp; BPJS (upah GL kolom F; THR sudah dikoreksi bagian 8)</t>
  </si>
  <si>
    <t>Upah/gaji pokok</t>
  </si>
  <si>
    <t>THR (5101-003)</t>
  </si>
  <si>
    <t>BPJS (5101-005)</t>
  </si>
  <si>
    <t>3. Pool biaya pabrik</t>
  </si>
  <si>
    <t>Sifat biaya</t>
  </si>
  <si>
    <t>Driver alokasi</t>
  </si>
  <si>
    <t>Upah harian operator (GL, porsi rekap)</t>
  </si>
  <si>
    <t>Semi-variabel</t>
  </si>
  <si>
    <t>THR operator</t>
  </si>
  <si>
    <t>Tetap</t>
  </si>
  <si>
    <t>BPJS operator</t>
  </si>
  <si>
    <t>Pesangon pabrik (5101-004)</t>
  </si>
  <si>
    <t>Tali asih (GL 5101-002 bulan ini; koreksi bulan jasa di bagian 8)</t>
  </si>
  <si>
    <t>Upah borongan kupas (GL, porsi rekap)</t>
  </si>
  <si>
    <t>Variabel</t>
  </si>
  <si>
    <t>Kg dikupas</t>
  </si>
  <si>
    <t>THR &amp; BPJS kupas</t>
  </si>
  <si>
    <t>Upah harian support (GL, porsi rekap)</t>
  </si>
  <si>
    <t>Gaji staf bulanan pabrik</t>
  </si>
  <si>
    <t>THR support &amp; staf</t>
  </si>
  <si>
    <t>BPJS support &amp; staf</t>
  </si>
  <si>
    <t>Grup C – energi &amp; utilitas</t>
  </si>
  <si>
    <t>Listrik (5101-006)</t>
  </si>
  <si>
    <t>Air (5101-007)</t>
  </si>
  <si>
    <t>Utilitas (5101-008)</t>
  </si>
  <si>
    <t>Grup D – mesin</t>
  </si>
  <si>
    <t>Pemeliharaan mesin (5101-010)</t>
  </si>
  <si>
    <t>Penyusutan mesin Gol 1 (5101-013)</t>
  </si>
  <si>
    <t>Penyusutan mesin Gol 2 (5101-014)</t>
  </si>
  <si>
    <t>Rumah tangga pabrik (5101-009)</t>
  </si>
  <si>
    <t>Nilai material</t>
  </si>
  <si>
    <t>Pemeliharaan pabrik (5101-011)</t>
  </si>
  <si>
    <t>Pemeliharaan inventaris pabrik (5101-012)</t>
  </si>
  <si>
    <t>Pabrikasi &amp; pengiriman (5101-016)</t>
  </si>
  <si>
    <t>Penyusutan inventaris pabrik Gol 1 (6500-006)</t>
  </si>
  <si>
    <t>Penyusutan inventaris pabrik Gol 2 (6500-007)</t>
  </si>
  <si>
    <t>Ringkasan pool (bagian 3 + penyesuaian bagian 8)</t>
  </si>
  <si>
    <t>Variabel + semi</t>
  </si>
  <si>
    <t>Total pool</t>
  </si>
  <si>
    <t>4. Driver alokasi per produk (diambil dari sheet produk)</t>
  </si>
  <si>
    <t>Driver</t>
  </si>
  <si>
    <t>Volume produksi (metode budget)</t>
  </si>
  <si>
    <t xml:space="preserve">  Man-hour</t>
  </si>
  <si>
    <t xml:space="preserve">  Kg dikupas</t>
  </si>
  <si>
    <t xml:space="preserve">  kWh</t>
  </si>
  <si>
    <t xml:space="preserve">  Nilai material</t>
  </si>
  <si>
    <t xml:space="preserve">  Volume produksi (metode budget)</t>
  </si>
  <si>
    <t>5. Kapasitas tenaga kerja: jam dibayar vs jam yang dipakai produk (PSAK 202: biaya kapasitas menganggur di atas normal adalah beban periode)</t>
  </si>
  <si>
    <t>Jam kerja operator dibayar (Unit I)</t>
  </si>
  <si>
    <t>WP CoGM Sep, Labor!D6 (jam Unit I)</t>
  </si>
  <si>
    <t>Jam yang dicatat ke produk</t>
  </si>
  <si>
    <t>Jam tidak terpakai untuk produk</t>
  </si>
  <si>
    <t>Biaya Grup A per jam dibayar</t>
  </si>
  <si>
    <t>Rp/jam</t>
  </si>
  <si>
    <t>Biaya jam tidak terpakai</t>
  </si>
  <si>
    <t>Parameter: bebankan ke periode? (1 = ya, 0 = tetap diserap produk)</t>
  </si>
  <si>
    <t>Keputusan kebijakan kapasitas normal; lihat ASUMSI no. 9</t>
  </si>
  <si>
    <t>Dibebankan ke periode (tidak masuk kartu produk)</t>
  </si>
  <si>
    <t>6. Alokasi pool ke produk – aktual (Rp)</t>
  </si>
  <si>
    <t>Pool dialokasikan</t>
  </si>
  <si>
    <t>Jam mesin (bagging: kWh) – bagian 10</t>
  </si>
  <si>
    <t>6b. Pembanding: alokasi yang sama dengan metode budget (volume untuk Grup A, B, C) – dipakai untuk efek metode</t>
  </si>
  <si>
    <t>7. Cek sheet ini</t>
  </si>
  <si>
    <t>Total pool − (GL 16 akun + penyesuaian bagian 8 ke pool dan THR)</t>
  </si>
  <si>
    <t>Total GL − referensi BP Q173</t>
  </si>
  <si>
    <t>Alokasi aktual habis</t>
  </si>
  <si>
    <t>Alokasi pembanding habis</t>
  </si>
  <si>
    <t>8. Penyesuaian di luar saldo 16 akun GL – aturan DL/FOH dan cut-off, September 2026 (Rp; sel biru dari GL)</t>
  </si>
  <si>
    <t>Akun GL</t>
  </si>
  <si>
    <t>Uraian</t>
  </si>
  <si>
    <t>Masuk ke</t>
  </si>
  <si>
    <t>Jurnal / sumber</t>
  </si>
  <si>
    <t>6500-001</t>
  </si>
  <si>
    <t>Penyusutan bangunan (seluruh register FA Bangunan = pabrik)</t>
  </si>
  <si>
    <t>GL Accurate Sep 2026: MJ26090052</t>
  </si>
  <si>
    <t>6300-037</t>
  </si>
  <si>
    <t>Security pabrik</t>
  </si>
  <si>
    <t>GL Accurate Sep 2026: PI26090236</t>
  </si>
  <si>
    <t>6300-006</t>
  </si>
  <si>
    <t>Pemeliharaan gedung pabrik</t>
  </si>
  <si>
    <t>GL Accurate Sep 2026: MJ26090008, MJ26090012, MJ26090031, MJ26090043, MJ26090047, MJ26090048, MJ26090057</t>
  </si>
  <si>
    <t>6300-039</t>
  </si>
  <si>
    <t>Seragam produksi &amp; QC</t>
  </si>
  <si>
    <t>GL Accurate Sep 2026: MJ26090008, MJ26090016, MJ26090063</t>
  </si>
  <si>
    <t>6200-002</t>
  </si>
  <si>
    <t>THR pabrik yang dibukukan di opex (tertukar)</t>
  </si>
  <si>
    <t>THR – dibagi di bagian 2</t>
  </si>
  <si>
    <t>GL Accurate Sep 2026: MJ26090028</t>
  </si>
  <si>
    <t>THR kantor yang dibukukan di HPP (tertukar)</t>
  </si>
  <si>
    <t>Tali asih bulan jasa lain yang dibukukan bulan ini (keluar)</t>
  </si>
  <si>
    <t>GL Accurate Sep 2026: MJ26090010; periode Agustus</t>
  </si>
  <si>
    <t>Tali asih bulan jasa ini yang dibukukan bulan lain (masuk)</t>
  </si>
  <si>
    <t>Tidak ada transaksi</t>
  </si>
  <si>
    <t>Ongkos kirim singkong dibukukan bulan ini (keluar dari pool)</t>
  </si>
  <si>
    <t>GL Accurate Sep 2026: PI26090253, PI26090254, PI26090271, PI26090272, PI26090273, PI26090274, PI26090275, PI26090276, PI26090277, PI26090278, PI26090279, PI26090280, PI26090281, PI26090282, PI26090283, PI26090284, PI26090285, PI26090286, PI26090287, PI26090288, PI26090289, PI26090290, PI26090291, PI26090292, PI26090293, PI26090294, PI26090295, PI26090296, PI26090297, PI26090298, PI26090299, PI26090300, PI26090301, PI26090302, PI26090303, PI26090304, PI26090305, PI26090306, PI26090307, PI26090308, PI26090309, PI26090310, PI26090311, PI26090312, PI26090313, PI26090314, PI26090315, PI26090316, PI26090317, PI26090318, PI26090319, PI26090320, PI26090321, PI26090322</t>
  </si>
  <si>
    <t>Ongkos kirim singkong menurut tanggal kirim bulan ini (ke material FCC)</t>
  </si>
  <si>
    <t>Material FCC</t>
  </si>
  <si>
    <t>GL Accurate Sep 2026: PI26090253, PI26090254, PI26090271, PI26090307, PI26090308, PI26090309, PI26090310, PI26090311, PI26090312, PI26090313, PI26090314, PI26090315, PI26090316, PI26090317, PI26090318, PI26090319, PI26090320, PI26090321, PI26090322 (GL Sep 2026)</t>
  </si>
  <si>
    <t>Pisau potong Urschel (keluar dari Grup E)</t>
  </si>
  <si>
    <t>GL Accurate Sep 2026: GR26090169, GR26090170, PI26090323, PI26090324</t>
  </si>
  <si>
    <t>Pisau potong Urschel (masuk Grup D, pemeliharaan mesin)</t>
  </si>
  <si>
    <t>Total penyesuaian (neto)</t>
  </si>
  <si>
    <t xml:space="preserve">  ke pool konversi langsung (Grup A–E)</t>
  </si>
  <si>
    <t xml:space="preserve">  ke THR (dibagi porsi gaji di bagian 2)</t>
  </si>
  <si>
    <t xml:space="preserve">  ke material FCC (kartu FCC baris ongkos kirim singkong)</t>
  </si>
  <si>
    <t>THR yang dibagi di bagian 2 (GL 5101-003 + koreksi)</t>
  </si>
  <si>
    <t>9. GL 5101-002 per jurnal (Rp; sel biru dari GL)</t>
  </si>
  <si>
    <t>Dipakai di</t>
  </si>
  <si>
    <t>Jurnal</t>
  </si>
  <si>
    <t>Upah harian (jurnal upah langsung)</t>
  </si>
  <si>
    <t>Bagian 2 kolom F (dibagi porsi rekap)</t>
  </si>
  <si>
    <t>GL Accurate Sep 2026: MJ26090061</t>
  </si>
  <si>
    <t>Gaji staf pabrik (jurnal COGS)</t>
  </si>
  <si>
    <t>Bagian 2 baris staf (C41)</t>
  </si>
  <si>
    <t>GL Accurate Sep 2026: MJ26090065</t>
  </si>
  <si>
    <t>Tali asih (jurnal tali asih)</t>
  </si>
  <si>
    <t>Bagian 3 baris tali asih; cut-off di bagian 8</t>
  </si>
  <si>
    <t>GL Accurate Sep 2026: MJ26090010, MJ26090026</t>
  </si>
  <si>
    <t>Total = GL 5101-002</t>
  </si>
  <si>
    <t>10. Driver Grup D – jam mesin proses goreng; porsi bagging dari kWh</t>
  </si>
  <si>
    <t>Jam mesin (proses goreng)</t>
  </si>
  <si>
    <t>FCC: kartu CoGM SEPTEMBER 2026 R1.xlsx, sheet tersembunyi FCC, tabel MESIN HOURS kolom L (4 mesin). UU: ESTIMASI = kWh UU × (jam mesin UO ÷ kWh UO), lini sama, jam mesin UU tidak dicatat. UO: kartu CoGM SEPTEMBER 2026 R1.xlsx, sheet tersembunyi UU UO IFM, kolom JAM MESIN, 5 baris mesin. Lain-lain = Ubi putih ACE: kartu CoGM SEPTEMBER 2026 R1.xlsx, sheet tersembunyi LAPORAN UBI ACE, kolom JAM MESIN, 2 baris mesin.</t>
  </si>
  <si>
    <t>kWh bagging (Lain-lain tanpa Ubi putih ACE)</t>
  </si>
  <si>
    <t>LAIN-LAIN kolom I (driver kWh) dikurangi baris Ubi putih ACE</t>
  </si>
  <si>
    <t>Porsi bagging dari total kWh pabrik</t>
  </si>
  <si>
    <t>Porsi Grup D</t>
  </si>
  <si>
    <t>Grup D teralokasi (Rp)</t>
  </si>
  <si>
    <t xml:space="preserve">  di dalamnya Lain-lain bagging (dibagi kWh di LAIN-LAIN dan sheet SKU)</t>
  </si>
  <si>
    <t xml:space="preserve">  di dalamnya Ubi putih ACE (jam mesin)</t>
  </si>
  <si>
    <t>11. Cek bagian 8–10</t>
  </si>
  <si>
    <t>GL 5101-002 = upah harian + staf + tali asih (bagian 9)</t>
  </si>
  <si>
    <t>Semua baris bagian 8 punya tujuan (pool / THR / material)</t>
  </si>
  <si>
    <t>Gaji staf bagian 2 (C41) = jurnal staf bagian 9</t>
  </si>
  <si>
    <t>Porsi Grup D berjumlah 1</t>
  </si>
  <si>
    <t>Grup D teralokasi = pool Grup D</t>
  </si>
  <si>
    <t>Status bagian 8–11</t>
  </si>
  <si>
    <t>REKAP, REKONSILIASI KE GL, DAN KONTROL – September 2026</t>
  </si>
  <si>
    <t>1. Rekap semua produk (Rp juta)</t>
  </si>
  <si>
    <t>Budget total</t>
  </si>
  <si>
    <t>Material eksternal (FCC termasuk ongkos kirim singkong)</t>
  </si>
  <si>
    <t>Rp per kg produksi</t>
  </si>
  <si>
    <t>Pendapatan (dikelompokkan sejalan dengan biaya)</t>
  </si>
  <si>
    <t>Margin kotor per produk (%)</t>
  </si>
  <si>
    <t>2. Material semua produk vs pemakaian GL, dan varian per akun (Rp juta)</t>
  </si>
  <si>
    <t>Produk / lini</t>
  </si>
  <si>
    <t>Material kartu</t>
  </si>
  <si>
    <t>Varian sementara</t>
  </si>
  <si>
    <t>Akun varian mulai Okt-26</t>
  </si>
  <si>
    <t>Ubi Ungu IFM</t>
  </si>
  <si>
    <t>Ubi Orange IFM</t>
  </si>
  <si>
    <t>Lain-lain lini singkong (termasuk maklon)</t>
  </si>
  <si>
    <t>Lain-lain lini ubi ungu</t>
  </si>
  <si>
    <t>Lain-lain lini ubi orange</t>
  </si>
  <si>
    <t>Total material kartu</t>
  </si>
  <si>
    <t>Pemakaian bahan baku menurut GL</t>
  </si>
  <si>
    <t>LK Sep-26 sheet Income Statement, baris Pemakaian Bahan Baku (kolom Sep)</t>
  </si>
  <si>
    <t xml:space="preserve">  5101-301 Varian Produksi Singkong</t>
  </si>
  <si>
    <t xml:space="preserve">  5101-302 Varian Produksi Ubi Ungu</t>
  </si>
  <si>
    <t xml:space="preserve">  5101-303 Varian Produksi Ubi Orange</t>
  </si>
  <si>
    <t>Pembagian ke lini sementara memakai porsi kartu, karena GL belum memisahkan pemakaian per jenis bahan. Mulai Okt-26 dihitung per jenis bahan (akun 5101-201 s/d 207).</t>
  </si>
  <si>
    <t>3. Rekonsiliasi HPP semua produk ke HPP GL (Rp juta)</t>
  </si>
  <si>
    <t>Total HPP kartu baru, semua produk</t>
  </si>
  <si>
    <t>+ Varian material (GL − kartu)</t>
  </si>
  <si>
    <t>+ Kenaikan persediaan WIP &amp; FG menurut kartu baru (FCC, UU, UO, Lain-lain per SKU)</t>
  </si>
  <si>
    <t>− Kenaikan persediaan WIP &amp; FG menurut GL (1106-002, 1106-003)</t>
  </si>
  <si>
    <t>+ Kenaikan persediaan KW 2 pada NRV (tidak dicatat di GL)</t>
  </si>
  <si>
    <t>− Penyesuaian aturan DL/FOH dan cut-off yang masuk kartu (BIAYA BERSAMA bagian 8: reklas opex, THR, tali asih, ongkos kirim)</t>
  </si>
  <si>
    <t>+ Biaya jam menganggur dibebankan ke periode (BIAYA BERSAMA bagian 5)</t>
  </si>
  <si>
    <t>HPP menurut rekonsiliasi</t>
  </si>
  <si>
    <t>HPP blended menurut GL (BP baris 87)</t>
  </si>
  <si>
    <t>GL Accurate Sep-26: 5101-001 s/d 5101-016, 5102, 6500-006/007 (= LK Income Statement Total COGS)</t>
  </si>
  <si>
    <t>Cek: HPP GL − HPP rekonsiliasi (harus nol)</t>
  </si>
  <si>
    <t>Informasi: selisih kenaikan persediaan kartu baru vs GL</t>
  </si>
  <si>
    <t>4. Aliran KW 2 pada NRV – memo produk sampingan (Rp juta)</t>
  </si>
  <si>
    <t>Rp jt</t>
  </si>
  <si>
    <t>Masuk: KW 2 dari produksi FCC</t>
  </si>
  <si>
    <t>Keluar: bahan Lain-lain (koperasi, Maicih keripik)</t>
  </si>
  <si>
    <t>Keluar: KW 2 tawar terjual ke KGS (HPP pada NRV)</t>
  </si>
  <si>
    <t>Kenaikan persediaan KW 2 (hitungan)</t>
  </si>
  <si>
    <t>5. Semua kontrol</t>
  </si>
  <si>
    <t>Konversi di semua kartu = total pool − jam menganggur</t>
  </si>
  <si>
    <t>Material kartu tanpa ongkos kirim singkong + varian = pemakaian GL</t>
  </si>
  <si>
    <t>Rekonsiliasi HPP ke GL</t>
  </si>
  <si>
    <t>Lini Lain-lain = material eksternal Lain-lain</t>
  </si>
  <si>
    <t>Pendapatan semua produk = pendapatan GL (sel C72)</t>
  </si>
  <si>
    <t>Sheet BIAYA BERSAMA</t>
  </si>
  <si>
    <t>Sheet FCC</t>
  </si>
  <si>
    <t>Sheet UU</t>
  </si>
  <si>
    <t>Sheet UO</t>
  </si>
  <si>
    <t>Sheet LAIN-LAIN</t>
  </si>
  <si>
    <t>STATUS SEMUA SHEET</t>
  </si>
  <si>
    <t>6. Input GL dan penjualan bulan ini (Rp) – sel biru</t>
  </si>
  <si>
    <t>Pendapatan total menurut GL (4101-007)</t>
  </si>
  <si>
    <t>GL Accurate Sep-26 akun 4101-007 (= total Sales By Item Sep)</t>
  </si>
  <si>
    <t>Pendapatan Lain-lain (Sales by Item di luar FCC tanpa bumbu, 2nd Grade Tawar, WIP-QKSP, WIP-QKSO)</t>
  </si>
  <si>
    <t>LK Sep-26 Sales By Item: total dikurangi FCC tanpa bumbu, 2nd Grade Tawar, WIP-QKSP, WIP-QKSO</t>
  </si>
  <si>
    <t>Kenaikan persediaan barang setengah jadi menurut GL (1106-002)</t>
  </si>
  <si>
    <t>GL Accurate Sep-26 mutasi neto 1106-002</t>
  </si>
  <si>
    <t>Kenaikan persediaan barang jadi menurut GL (1106-003)</t>
  </si>
  <si>
    <t>GL Accurate Sep-26 mutasi neto 1106-003</t>
  </si>
  <si>
    <t>Tidak ada sel error di RINGKASAN dan REKON &amp; KONTROL</t>
  </si>
  <si>
    <t>Sheet REKON MATERIAL (pemakaian material per item kartu vs GL)</t>
  </si>
  <si>
    <t>Sheet REKON PERSEDIAAN (WIP &amp; FG per item, Accurate vs WP)</t>
  </si>
  <si>
    <t>Sheet BRIDGE GP (bridge margin GL Agu → Sep)</t>
  </si>
  <si>
    <t>CEK KEWAJARAN – tarif, rendemen dan biaya per kg (FCC Jan–Sep kartu lama; semua produk Agu vs Sep kartu baru)</t>
  </si>
  <si>
    <t>Status: DALAM RENTANG / DI LUAR RENTANG terhadap min–maks Jan–Agu (bagian 1); |Δ| &gt; batas = CEK (bagian 2). Status tidak memblok; setiap CEK punya penjelasan di kolom terakhir.</t>
  </si>
  <si>
    <t>1. Tren FCC Jan–Sep (kartu lama; hitungan dari bagian 3)</t>
  </si>
  <si>
    <t>KPI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</si>
  <si>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</si>
  <si>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</si>
  <si>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</si>
  <si>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</si>
  <si>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</si>
  <si>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</si>
  <si>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</si>
  <si>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</si>
  <si>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</si>
  <si>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Min Jan–Agu</t>
  </si>
  <si>
    <t>Maks Jan–Agu</t>
  </si>
  <si>
    <t>Status Sep</t>
  </si>
  <si>
    <t>Masuk proses (ton)</t>
  </si>
  <si>
    <t>Volume terendah Jan–Sep; menjadi bar efek volume biaya tetap (BRIDGE GP b10).</t>
  </si>
  <si>
    <t>Barang jadi premium ÷ masuk proses</t>
  </si>
  <si>
    <t>KW 2 ÷ masuk proses</t>
  </si>
  <si>
    <t>Waste ÷ masuk proses</t>
  </si>
  <si>
    <t>Harga singkong kulit (Rp/kg)</t>
  </si>
  <si>
    <t>Naik terus sejak Jan; Sep tertinggi. Masuk bar tarif singkong di BRIDGE GP (b3).</t>
  </si>
  <si>
    <t>Harga singkong daging (Rp/kg)</t>
  </si>
  <si>
    <t>Pembelian daging hanya Apr dan Jul–Sep; bulan tanpa pembelian = 0, jadi rentang min tidak bermakna.</t>
  </si>
  <si>
    <t>Singkong (kulit + daging) per kg masuk proses</t>
  </si>
  <si>
    <t>Porsi singkong daging naik; kg daging tidak setara kg kulit (bandingkan memo ekuivalen kulit FCC baris 67).</t>
  </si>
  <si>
    <t>Olein per kg masuk proses (kg)</t>
  </si>
  <si>
    <t>Harga olein (Rp/kg)</t>
  </si>
  <si>
    <t>Sedikit di atas maks Jun; masuk bar olein di BRIDGE GP (b5).</t>
  </si>
  <si>
    <t>CNG per kg masuk proses (m³)</t>
  </si>
  <si>
    <t>Harga CNG (Rp/m³)</t>
  </si>
  <si>
    <t>Karton per ton masuk proses (pcs)</t>
  </si>
  <si>
    <t>Sep jauh di bawah rentang: karton belum dikeluarkan (kartu dan Accurate), lihat bagian 4. Jul juga rendah lalu Agu tinggi: pola pengeluaran karton tidak bulanan.</t>
  </si>
  <si>
    <t>Direct labour per ton (jam)</t>
  </si>
  <si>
    <t>Material kartu lama per kg masuk proses (Rp)</t>
  </si>
  <si>
    <t>Harga singkong naik; karton Sep yang belum dikeluarkan menekan angka ini.</t>
  </si>
  <si>
    <t>Kartu lama per kg barang baik (Rp)</t>
  </si>
  <si>
    <t>Tertinggi Jan–Sep: harga singkong dan volume terendah.</t>
  </si>
  <si>
    <t>2. Semua produk, kartu baru: Agu vs Sep (Agu = input dari WP Agu; Sep = tautan)</t>
  </si>
  <si>
    <t>Agu-26</t>
  </si>
  <si>
    <t>Δ %</t>
  </si>
  <si>
    <t>Batas |Δ|</t>
  </si>
  <si>
    <t>Penjelasan</t>
  </si>
  <si>
    <t>FCC biaya produksi per kg masuk proses (Rp)</t>
  </si>
  <si>
    <t>FCC material per kg (Rp)</t>
  </si>
  <si>
    <t>FCC konversi per kg (Rp)</t>
  </si>
  <si>
    <t>Efek volume pada biaya tetap.</t>
  </si>
  <si>
    <t>FCC Grup B per kg (Rp)</t>
  </si>
  <si>
    <t>Volume FCC −30%; pool B hampir tetap → efek volume.</t>
  </si>
  <si>
    <t>FCC Grup D per kg (Rp)</t>
  </si>
  <si>
    <t>Volume −30%, pisau Urschel 28,79 jt (Sep), porsi bagging kWh naik.</t>
  </si>
  <si>
    <t>FCC Grup E per kg (Rp)</t>
  </si>
  <si>
    <t>Volume −30%; Grup E mayoritas tetap (penyusutan, security, bangunan).</t>
  </si>
  <si>
    <t>FCC material lain per kg (Rp)</t>
  </si>
  <si>
    <t>Karton FCC Sep 100 pcs (Agu 9.430 pcs) – lihat bagian 4.</t>
  </si>
  <si>
    <t>Ubi Ungu biaya per kg (Rp)</t>
  </si>
  <si>
    <t>Produksi Sep hanya 467,5 kg; jam mesin UU estimasi.</t>
  </si>
  <si>
    <t>Ubi Orange biaya per kg (Rp)</t>
  </si>
  <si>
    <t>Driver Grup D = jam mesin: porsi UO naik; volume −9%.</t>
  </si>
  <si>
    <t>Lain-lain biaya per kg output (Rp)</t>
  </si>
  <si>
    <t>Pool tetap (Rp juta)</t>
  </si>
  <si>
    <t>Pool variabel dan semi-variabel (Rp juta)</t>
  </si>
  <si>
    <t>Volume lebih rendah; ongkos kirim keluar pool ke material.</t>
  </si>
  <si>
    <t>Grup A per man-hour tercatat (Rp)</t>
  </si>
  <si>
    <t>3. Input kartu lama FCC (sel biru; sumber = file kartu CoGM dan sel di catatan sel)</t>
  </si>
  <si>
    <t>Masuk proses (kg)</t>
  </si>
  <si>
    <t>Label kolom B "Current Process" di sheet FCCmm26 tiap kartu (mis. CoGM SEPTEMBER 2026 R1.xlsx FCC0926!D7)</t>
  </si>
  <si>
    <t>KW 2 (kg)</t>
  </si>
  <si>
    <t>Label kolom B "Second Grade" di sheet FCCmm26 tiap kartu (mis. CoGM SEPTEMBER 2026 R1.xlsx FCC0926!D11)</t>
  </si>
  <si>
    <t>Waste (kg)</t>
  </si>
  <si>
    <t>Label kolom B "Waste Product" di sheet FCCmm26 tiap kartu (mis. CoGM SEPTEMBER 2026 R1.xlsx FCC0926!D12)</t>
  </si>
  <si>
    <t>Barang jadi premium (kg)</t>
  </si>
  <si>
    <t>Label kolom B "Finished Goods Accounted For" di sheet FCCmm26 tiap kartu (mis. CoGM SEPTEMBER 2026 R1.xlsx FCC0926!D13)</t>
  </si>
  <si>
    <t>Singkong kulit (kg)</t>
  </si>
  <si>
    <t>Label kolom B "Singkong Kulit Premium" di sheet FCCmm26 tiap kartu (mis. CoGM SEPTEMBER 2026 R1.xlsx FCC0926!D25)</t>
  </si>
  <si>
    <t>Singkong kulit (Rp)</t>
  </si>
  <si>
    <t>Label kolom B "Singkong Kulit Premium" di sheet FCCmm26 tiap kartu (mis. CoGM SEPTEMBER 2026 R1.xlsx FCC0926!F25)</t>
  </si>
  <si>
    <t>Singkong daging (kg)</t>
  </si>
  <si>
    <t>Label kolom B "Singkong Daging Premium" di sheet FCCmm26 tiap kartu (mis. CoGM SEPTEMBER 2026 R1.xlsx FCC0926!D26)</t>
  </si>
  <si>
    <t>Singkong daging (Rp)</t>
  </si>
  <si>
    <t>Label kolom B "Singkong Daging Premium" di sheet FCCmm26 tiap kartu (mis. CoGM SEPTEMBER 2026 R1.xlsx FCC0926!F26)</t>
  </si>
  <si>
    <t>Olein (kg)</t>
  </si>
  <si>
    <t>Label kolom B "Minyak Olein" di sheet FCCmm26 tiap kartu (mis. CoGM SEPTEMBER 2026 R1.xlsx FCC0926!D28)</t>
  </si>
  <si>
    <t>Olein (Rp)</t>
  </si>
  <si>
    <t>Label kolom B "Minyak Olein" di sheet FCCmm26 tiap kartu (mis. CoGM SEPTEMBER 2026 R1.xlsx FCC0926!F28)</t>
  </si>
  <si>
    <t>CNG (m³)</t>
  </si>
  <si>
    <t>Label kolom B "Indirect Material - CNG" di sheet FCCmm26 tiap kartu (mis. CoGM SEPTEMBER 2026 R1.xlsx FCC0926!D44)</t>
  </si>
  <si>
    <t>CNG (Rp)</t>
  </si>
  <si>
    <t>Label kolom B "Indirect Material - CNG" di sheet FCCmm26 tiap kartu (mis. CoGM SEPTEMBER 2026 R1.xlsx FCC0926!F44)</t>
  </si>
  <si>
    <t>Karton (pcs)</t>
  </si>
  <si>
    <t>Label kolom B "Karton Polos IFL" di sheet FCCmm26 tiap kartu (mis. CoGM SEPTEMBER 2026 R1.xlsx FCC0926!D37)</t>
  </si>
  <si>
    <t>Direct labour (jam)</t>
  </si>
  <si>
    <t>Label kolom B "Direct Labor" di sheet FCCmm26 tiap kartu (mis. CoGM SEPTEMBER 2026 R1.xlsx FCC0926!D41)</t>
  </si>
  <si>
    <t>Material kartu lama (Rp)</t>
  </si>
  <si>
    <t>Label kolom B "B.1. Material Cost" di sheet FCCmm26 tiap kartu (mis. CoGM SEPTEMBER 2026 R1.xlsx FCC0926!F24)</t>
  </si>
  <si>
    <t>Biaya ditambahkan kartu lama (Rp)</t>
  </si>
  <si>
    <t>Label kolom B "Current Cost Added" di sheet FCCmm26 tiap kartu (mis. CoGM SEPTEMBER 2026 R1.xlsx FCC0926!F22)</t>
  </si>
  <si>
    <t>4. Memo karton FCC September (estimasi, tidak mengubah WP maupun GL)</t>
  </si>
  <si>
    <t>Kg FCC premium terjual Agu</t>
  </si>
  <si>
    <t>DI - WP Costing BMG Agu26_6 FCC!C203</t>
  </si>
  <si>
    <t>Karton FCC dipakai Agu (pcs)</t>
  </si>
  <si>
    <t>DI - WP Costing BMG Agu26_6 FCC!B53</t>
  </si>
  <si>
    <t>Kg FCC premium terjual Sep</t>
  </si>
  <si>
    <t>FCC!C203</t>
  </si>
  <si>
    <t>Karton FCC dicatat kartu Sep (pcs)</t>
  </si>
  <si>
    <t>FCC!B53</t>
  </si>
  <si>
    <t>Karton yang diperkirakan dipakai Sep (rasio kg/karton Agu)</t>
  </si>
  <si>
    <t>Harga karton Sep (Rp/pcs)</t>
  </si>
  <si>
    <t>FCC!D53</t>
  </si>
  <si>
    <t>Indikasi karton belum dikeluarkan (Rp juta)</t>
  </si>
  <si>
    <t>Konfirmasi ke pabrik; stok karton Accurate naik 149,06 → 170,64 jt</t>
  </si>
  <si>
    <t>Dalam pp terhadap pendapatan Sep</t>
  </si>
  <si>
    <t>BRIDGE GP MARGIN Agustus → September 2026 – dekomposisi margin dalam pp (basis HPP GL = Laba Rugi)</t>
  </si>
  <si>
    <t>Metode: rasio biaya terhadap pendapatan, berurutan. Bar harga memakai pendapatan Sep pada harga rata-rata Agu per produk; bar lain dihitung pada pendapatan itu. Biaya variabel diukur pada tarif Agu per kg produksi lalu efek tarif per komponen; biaya tetap dipecah efek volume (biaya tetap Agu dibagi pendapatan lebih kecil) dan perubahan belanja. Rp juta kecuali disebut lain.</t>
  </si>
  <si>
    <t>1. Input (Rp juta; kg). Agu = nilai dari DI - WP Costing BMG Agu26_6 (sel biru, alamat di kolom E); Sep = tautan langsung (hijau)</t>
  </si>
  <si>
    <t>Sumber (alamat sama di kedua WP)</t>
  </si>
  <si>
    <t>REV_T</t>
  </si>
  <si>
    <t>Pendapatan total (= GL 4101-007)</t>
  </si>
  <si>
    <t>REKON &amp; KONTROL!F15</t>
  </si>
  <si>
    <t>REV_F</t>
  </si>
  <si>
    <t>Pendapatan FCC premium + KW 2 tawar</t>
  </si>
  <si>
    <t>REKON &amp; KONTROL!B15</t>
  </si>
  <si>
    <t>REV_U</t>
  </si>
  <si>
    <t>REKON &amp; KONTROL!C15</t>
  </si>
  <si>
    <t>REV_O</t>
  </si>
  <si>
    <t>REKON &amp; KONTROL!D15</t>
  </si>
  <si>
    <t>REV_L</t>
  </si>
  <si>
    <t>Pendapatan Lain-lain</t>
  </si>
  <si>
    <t>REKON &amp; KONTROL!E15</t>
  </si>
  <si>
    <t>Q_F</t>
  </si>
  <si>
    <t>Kg terjual FCC premium + KW 2 tawar</t>
  </si>
  <si>
    <t>FCC!C203 + FCC!C208</t>
  </si>
  <si>
    <t>Q_U</t>
  </si>
  <si>
    <t>Kg terjual Ubi Ungu</t>
  </si>
  <si>
    <t>UU!C203</t>
  </si>
  <si>
    <t>Q_O</t>
  </si>
  <si>
    <t>Kg terjual Ubi Orange</t>
  </si>
  <si>
    <t>UO!C199</t>
  </si>
  <si>
    <t>P_F</t>
  </si>
  <si>
    <t>Kg produksi FCC (masuk proses)</t>
  </si>
  <si>
    <t>REKON &amp; KONTROL!B6</t>
  </si>
  <si>
    <t>P_U</t>
  </si>
  <si>
    <t>Kg produksi Ubi Ungu</t>
  </si>
  <si>
    <t>REKON &amp; KONTROL!C6</t>
  </si>
  <si>
    <t>P_O</t>
  </si>
  <si>
    <t>Kg produksi Ubi Orange</t>
  </si>
  <si>
    <t>REKON &amp; KONTROL!D6</t>
  </si>
  <si>
    <t>P_L</t>
  </si>
  <si>
    <t>Kg output Lain-lain</t>
  </si>
  <si>
    <t>REKON &amp; KONTROL!E6</t>
  </si>
  <si>
    <t>MAT_F</t>
  </si>
  <si>
    <t>Material eksternal FCC (termasuk ongkos kirim)</t>
  </si>
  <si>
    <t>REKON &amp; KONTROL!B7</t>
  </si>
  <si>
    <t>MAT_U</t>
  </si>
  <si>
    <t>Material eksternal Ubi Ungu</t>
  </si>
  <si>
    <t>REKON &amp; KONTROL!C7</t>
  </si>
  <si>
    <t>MAT_O</t>
  </si>
  <si>
    <t>Material eksternal Ubi Orange</t>
  </si>
  <si>
    <t>REKON &amp; KONTROL!D7</t>
  </si>
  <si>
    <t>MAT_L</t>
  </si>
  <si>
    <t>Material eksternal Lain-lain</t>
  </si>
  <si>
    <t>REKON &amp; KONTROL!E7</t>
  </si>
  <si>
    <t>SGK</t>
  </si>
  <si>
    <t>FCC: singkong kulit + daging</t>
  </si>
  <si>
    <t>FCC!E41 + FCC!E42 (Rp → Rp juta)</t>
  </si>
  <si>
    <t>ONG</t>
  </si>
  <si>
    <t>FCC: ongkos kirim singkong</t>
  </si>
  <si>
    <t>FCC!E43 (Rp → Rp juta)</t>
  </si>
  <si>
    <t>OLE</t>
  </si>
  <si>
    <t>FCC: minyak olein</t>
  </si>
  <si>
    <t>FCC!E46 (Rp → Rp juta)</t>
  </si>
  <si>
    <t>FCC: CNG</t>
  </si>
  <si>
    <t>FCC!E47 (Rp → Rp juta)</t>
  </si>
  <si>
    <t>OTH</t>
  </si>
  <si>
    <t>FCC: material lain (kemasan, HDPE, dll.)</t>
  </si>
  <si>
    <t>FCC!E55 (Rp → Rp juta)</t>
  </si>
  <si>
    <t>PT_A</t>
  </si>
  <si>
    <t>Pool Grup A – DL: total</t>
  </si>
  <si>
    <t>BIAYA BERSAMA!C81 (Rp → Rp juta)</t>
  </si>
  <si>
    <t>PF_A</t>
  </si>
  <si>
    <t>Pool Grup A – DL: bagian tetap</t>
  </si>
  <si>
    <t>BIAYA BERSAMA!D81 (Rp → Rp juta)</t>
  </si>
  <si>
    <t>AL_A_F</t>
  </si>
  <si>
    <t>Alokasi Grup A – DL ke FCC</t>
  </si>
  <si>
    <t>BIAYA BERSAMA!C115 (Rp → Rp juta)</t>
  </si>
  <si>
    <t>AL_A_U</t>
  </si>
  <si>
    <t>Alokasi Grup A – DL ke UU</t>
  </si>
  <si>
    <t>BIAYA BERSAMA!D115 (Rp → Rp juta)</t>
  </si>
  <si>
    <t>AL_A_O</t>
  </si>
  <si>
    <t>Alokasi Grup A – DL ke UO</t>
  </si>
  <si>
    <t>BIAYA BERSAMA!E115 (Rp → Rp juta)</t>
  </si>
  <si>
    <t>AL_A_L</t>
  </si>
  <si>
    <t>Alokasi Grup A – DL ke Lain-lain</t>
  </si>
  <si>
    <t>BIAYA BERSAMA!F115 (Rp → Rp juta)</t>
  </si>
  <si>
    <t>PT_K</t>
  </si>
  <si>
    <t>Pool Kupas: total</t>
  </si>
  <si>
    <t>BIAYA BERSAMA!C82 (Rp → Rp juta)</t>
  </si>
  <si>
    <t>PF_K</t>
  </si>
  <si>
    <t>Pool Kupas: bagian tetap</t>
  </si>
  <si>
    <t>BIAYA BERSAMA!D82 (Rp → Rp juta)</t>
  </si>
  <si>
    <t>AL_K_F</t>
  </si>
  <si>
    <t>Alokasi Kupas ke FCC</t>
  </si>
  <si>
    <t>BIAYA BERSAMA!C116 (Rp → Rp juta)</t>
  </si>
  <si>
    <t>AL_K_U</t>
  </si>
  <si>
    <t>Alokasi Kupas ke UU</t>
  </si>
  <si>
    <t>BIAYA BERSAMA!D116 (Rp → Rp juta)</t>
  </si>
  <si>
    <t>AL_K_O</t>
  </si>
  <si>
    <t>Alokasi Kupas ke UO</t>
  </si>
  <si>
    <t>BIAYA BERSAMA!E116 (Rp → Rp juta)</t>
  </si>
  <si>
    <t>AL_K_L</t>
  </si>
  <si>
    <t>Alokasi Kupas ke Lain-lain</t>
  </si>
  <si>
    <t>BIAYA BERSAMA!F116 (Rp → Rp juta)</t>
  </si>
  <si>
    <t>PT_B</t>
  </si>
  <si>
    <t>Pool Grup B – IDL: total</t>
  </si>
  <si>
    <t>BIAYA BERSAMA!C83 (Rp → Rp juta)</t>
  </si>
  <si>
    <t>PF_B</t>
  </si>
  <si>
    <t>Pool Grup B – IDL: bagian tetap</t>
  </si>
  <si>
    <t>BIAYA BERSAMA!D83 (Rp → Rp juta)</t>
  </si>
  <si>
    <t>AL_B_F</t>
  </si>
  <si>
    <t>Alokasi Grup B – IDL ke FCC</t>
  </si>
  <si>
    <t>BIAYA BERSAMA!C117 (Rp → Rp juta)</t>
  </si>
  <si>
    <t>AL_B_U</t>
  </si>
  <si>
    <t>Alokasi Grup B – IDL ke UU</t>
  </si>
  <si>
    <t>BIAYA BERSAMA!D117 (Rp → Rp juta)</t>
  </si>
  <si>
    <t>AL_B_O</t>
  </si>
  <si>
    <t>Alokasi Grup B – IDL ke UO</t>
  </si>
  <si>
    <t>BIAYA BERSAMA!E117 (Rp → Rp juta)</t>
  </si>
  <si>
    <t>AL_B_L</t>
  </si>
  <si>
    <t>Alokasi Grup B – IDL ke Lain-lain</t>
  </si>
  <si>
    <t>BIAYA BERSAMA!F117 (Rp → Rp juta)</t>
  </si>
  <si>
    <t>PT_C</t>
  </si>
  <si>
    <t>Pool Grup C – energi: total</t>
  </si>
  <si>
    <t>BIAYA BERSAMA!C84 (Rp → Rp juta)</t>
  </si>
  <si>
    <t>PF_C</t>
  </si>
  <si>
    <t>Pool Grup C – energi: bagian tetap</t>
  </si>
  <si>
    <t>BIAYA BERSAMA!D84 (Rp → Rp juta)</t>
  </si>
  <si>
    <t>AL_C_F</t>
  </si>
  <si>
    <t>Alokasi Grup C – energi ke FCC</t>
  </si>
  <si>
    <t>BIAYA BERSAMA!C118 (Rp → Rp juta)</t>
  </si>
  <si>
    <t>AL_C_U</t>
  </si>
  <si>
    <t>Alokasi Grup C – energi ke UU</t>
  </si>
  <si>
    <t>BIAYA BERSAMA!D118 (Rp → Rp juta)</t>
  </si>
  <si>
    <t>AL_C_O</t>
  </si>
  <si>
    <t>Alokasi Grup C – energi ke UO</t>
  </si>
  <si>
    <t>BIAYA BERSAMA!E118 (Rp → Rp juta)</t>
  </si>
  <si>
    <t>AL_C_L</t>
  </si>
  <si>
    <t>Alokasi Grup C – energi ke Lain-lain</t>
  </si>
  <si>
    <t>BIAYA BERSAMA!F118 (Rp → Rp juta)</t>
  </si>
  <si>
    <t>PT_D</t>
  </si>
  <si>
    <t>Pool Grup D – mesin: total</t>
  </si>
  <si>
    <t>BIAYA BERSAMA!C85 (Rp → Rp juta)</t>
  </si>
  <si>
    <t>PF_D</t>
  </si>
  <si>
    <t>Pool Grup D – mesin: bagian tetap</t>
  </si>
  <si>
    <t>BIAYA BERSAMA!D85 (Rp → Rp juta)</t>
  </si>
  <si>
    <t>AL_D_F</t>
  </si>
  <si>
    <t>Alokasi Grup D – mesin ke FCC</t>
  </si>
  <si>
    <t>BIAYA BERSAMA!C119 (Rp → Rp juta)</t>
  </si>
  <si>
    <t>AL_D_U</t>
  </si>
  <si>
    <t>Alokasi Grup D – mesin ke UU</t>
  </si>
  <si>
    <t>BIAYA BERSAMA!D119 (Rp → Rp juta)</t>
  </si>
  <si>
    <t>AL_D_O</t>
  </si>
  <si>
    <t>Alokasi Grup D – mesin ke UO</t>
  </si>
  <si>
    <t>BIAYA BERSAMA!E119 (Rp → Rp juta)</t>
  </si>
  <si>
    <t>AL_D_L</t>
  </si>
  <si>
    <t>Alokasi Grup D – mesin ke Lain-lain</t>
  </si>
  <si>
    <t>BIAYA BERSAMA!F119 (Rp → Rp juta)</t>
  </si>
  <si>
    <t>PT_E</t>
  </si>
  <si>
    <t>Pool Grup E – pabrik umum: total</t>
  </si>
  <si>
    <t>BIAYA BERSAMA!C86 (Rp → Rp juta)</t>
  </si>
  <si>
    <t>PF_E</t>
  </si>
  <si>
    <t>Pool Grup E – pabrik umum: bagian tetap</t>
  </si>
  <si>
    <t>BIAYA BERSAMA!D86 (Rp → Rp juta)</t>
  </si>
  <si>
    <t>AL_E_F</t>
  </si>
  <si>
    <t>Alokasi Grup E – pabrik umum ke FCC</t>
  </si>
  <si>
    <t>BIAYA BERSAMA!C120 (Rp → Rp juta)</t>
  </si>
  <si>
    <t>AL_E_U</t>
  </si>
  <si>
    <t>Alokasi Grup E – pabrik umum ke UU</t>
  </si>
  <si>
    <t>BIAYA BERSAMA!D120 (Rp → Rp juta)</t>
  </si>
  <si>
    <t>AL_E_O</t>
  </si>
  <si>
    <t>Alokasi Grup E – pabrik umum ke UO</t>
  </si>
  <si>
    <t>BIAYA BERSAMA!E120 (Rp → Rp juta)</t>
  </si>
  <si>
    <t>AL_E_L</t>
  </si>
  <si>
    <t>Alokasi Grup E – pabrik umum ke Lain-lain</t>
  </si>
  <si>
    <t>BIAYA BERSAMA!F120 (Rp → Rp juta)</t>
  </si>
  <si>
    <t>HPP_WP</t>
  </si>
  <si>
    <t>HPP semua kartu (WP)</t>
  </si>
  <si>
    <t>REKON &amp; KONTROL!F14</t>
  </si>
  <si>
    <t>HPP_GL</t>
  </si>
  <si>
    <t>HPP menurut GL (Laba Rugi)</t>
  </si>
  <si>
    <t>REKON &amp; KONTROL!C45</t>
  </si>
  <si>
    <t>L38</t>
  </si>
  <si>
    <t>REKON: varian material GL − kartu</t>
  </si>
  <si>
    <t>REKON &amp; KONTROL!C38</t>
  </si>
  <si>
    <t>L39</t>
  </si>
  <si>
    <t>REKON: kenaikan persediaan WP</t>
  </si>
  <si>
    <t>REKON &amp; KONTROL!C39</t>
  </si>
  <si>
    <t>L40</t>
  </si>
  <si>
    <t>REKON: − kenaikan persediaan GL</t>
  </si>
  <si>
    <t>REKON &amp; KONTROL!C40</t>
  </si>
  <si>
    <t>L41</t>
  </si>
  <si>
    <t>REKON: KW 2 pada NRV</t>
  </si>
  <si>
    <t>REKON &amp; KONTROL!C41</t>
  </si>
  <si>
    <t>L42</t>
  </si>
  <si>
    <t>REKON: − penyesuaian bagian 8</t>
  </si>
  <si>
    <t>REKON &amp; KONTROL!C42</t>
  </si>
  <si>
    <t>L43</t>
  </si>
  <si>
    <t>REKON: jam menganggur</t>
  </si>
  <si>
    <t>REKON &amp; KONTROL!C43</t>
  </si>
  <si>
    <t>OLD</t>
  </si>
  <si>
    <t>Olein ditahan di WIP-022: Δ (WP − GL)</t>
  </si>
  <si>
    <t>REKON PERSEDIAAN!E17 (Rp → Rp juta)</t>
  </si>
  <si>
    <t>B8_OPEX</t>
  </si>
  <si>
    <t>Bagian 8: biaya pabrik di opex</t>
  </si>
  <si>
    <t>BIAYA BERSAMA!C144 + BIAYA BERSAMA!C145 + BIAYA BERSAMA!C146 + BIAYA BERSAMA!C147 (Rp → Rp juta)</t>
  </si>
  <si>
    <t>B8_THR</t>
  </si>
  <si>
    <t>Bagian 8: THR tertukar</t>
  </si>
  <si>
    <t>BIAYA BERSAMA!C148 + BIAYA BERSAMA!C149 (Rp → Rp juta)</t>
  </si>
  <si>
    <t>B8_TALI</t>
  </si>
  <si>
    <t>Bagian 8: tali asih per bulan jasa</t>
  </si>
  <si>
    <t>BIAYA BERSAMA!C150 + BIAYA BERSAMA!C151 (Rp → Rp juta)</t>
  </si>
  <si>
    <t>B8_ONG</t>
  </si>
  <si>
    <t>Bagian 8: ongkos kirim (keluar pool + ke material)</t>
  </si>
  <si>
    <t>BIAYA BERSAMA!C152 + BIAYA BERSAMA!C153 (Rp → Rp juta)</t>
  </si>
  <si>
    <t>B8_PIS</t>
  </si>
  <si>
    <t>Bagian 8: pisau Urschel (netral)</t>
  </si>
  <si>
    <t>BIAYA BERSAMA!C154 + BIAYA BERSAMA!C155 (Rp → Rp juta)</t>
  </si>
  <si>
    <t>2. Komponen HPP GL = variabel + tetap + persediaan/KW 2 (WP) + pos rekonsiliasi GL</t>
  </si>
  <si>
    <t>Rumus</t>
  </si>
  <si>
    <t>FS_A</t>
  </si>
  <si>
    <t>Porsi tetap Grup A – DL</t>
  </si>
  <si>
    <t>tetap ÷ total pool</t>
  </si>
  <si>
    <t>FS_K</t>
  </si>
  <si>
    <t>Porsi tetap Kupas</t>
  </si>
  <si>
    <t>FS_B</t>
  </si>
  <si>
    <t>Porsi tetap Grup B – IDL</t>
  </si>
  <si>
    <t>FS_C</t>
  </si>
  <si>
    <t>Porsi tetap Grup C – energi</t>
  </si>
  <si>
    <t>FS_D</t>
  </si>
  <si>
    <t>Porsi tetap Grup D – mesin</t>
  </si>
  <si>
    <t>FS_E</t>
  </si>
  <si>
    <t>Porsi tetap Grup E – pabrik umum</t>
  </si>
  <si>
    <t>VC_F</t>
  </si>
  <si>
    <t>Konversi variabel FCC</t>
  </si>
  <si>
    <t>Σ alokasi × (1 − porsi tetap)</t>
  </si>
  <si>
    <t>FC_F</t>
  </si>
  <si>
    <t>Konversi tetap FCC</t>
  </si>
  <si>
    <t>Σ alokasi × porsi tetap</t>
  </si>
  <si>
    <t>V_F</t>
  </si>
  <si>
    <t>Biaya variabel FCC</t>
  </si>
  <si>
    <t>material eksternal + konversi variabel</t>
  </si>
  <si>
    <t>VC_U</t>
  </si>
  <si>
    <t>Konversi variabel Ubi Ungu</t>
  </si>
  <si>
    <t>FC_U</t>
  </si>
  <si>
    <t>Konversi tetap Ubi Ungu</t>
  </si>
  <si>
    <t>V_U</t>
  </si>
  <si>
    <t>Biaya variabel Ubi Ungu</t>
  </si>
  <si>
    <t>VC_O</t>
  </si>
  <si>
    <t>Konversi variabel Ubi Orange</t>
  </si>
  <si>
    <t>FC_O</t>
  </si>
  <si>
    <t>Konversi tetap Ubi Orange</t>
  </si>
  <si>
    <t>V_O</t>
  </si>
  <si>
    <t>Biaya variabel Ubi Orange</t>
  </si>
  <si>
    <t>VC_L</t>
  </si>
  <si>
    <t>Konversi variabel Lain-lain</t>
  </si>
  <si>
    <t>FC_L</t>
  </si>
  <si>
    <t>Konversi tetap Lain-lain</t>
  </si>
  <si>
    <t>V_L</t>
  </si>
  <si>
    <t>Biaya variabel Lain-lain</t>
  </si>
  <si>
    <t>V</t>
  </si>
  <si>
    <t>Biaya variabel total</t>
  </si>
  <si>
    <t>FX</t>
  </si>
  <si>
    <t>Biaya tetap total</t>
  </si>
  <si>
    <t>sama dengan Σ bagian tetap pool (kontrol bagian 4)</t>
  </si>
  <si>
    <t>INV</t>
  </si>
  <si>
    <t>Persediaan, KW 2 dan transfer antarproduk (WP)</t>
  </si>
  <si>
    <t>HPP WP − variabel − tetap</t>
  </si>
  <si>
    <t>E1</t>
  </si>
  <si>
    <t>GL: material GL vs kartu (termasuk olein di WIP-022)</t>
  </si>
  <si>
    <t>varian material + olein</t>
  </si>
  <si>
    <t>E2</t>
  </si>
  <si>
    <t>GL: beda penilaian persediaan WP vs Accurate (tanpa olein)</t>
  </si>
  <si>
    <t>E3</t>
  </si>
  <si>
    <t>GL: KW 2 pada NRV</t>
  </si>
  <si>
    <t>E4</t>
  </si>
  <si>
    <t>GL: biaya pabrik di opex (tidak ada di HPP GL)</t>
  </si>
  <si>
    <t>E5</t>
  </si>
  <si>
    <t>GL: waktu pencatatan (THR, tali asih, ongkos kirim, pisau)</t>
  </si>
  <si>
    <t>CHK</t>
  </si>
  <si>
    <t>Cek: V + tetap + persediaan + E1..E5 − HPP GL (harus nol)</t>
  </si>
  <si>
    <t>3. Bridge margin GL (pp; positif = menaikkan margin)</t>
  </si>
  <si>
    <t>pp</t>
  </si>
  <si>
    <t>Rumus / catatan</t>
  </si>
  <si>
    <t>RA</t>
  </si>
  <si>
    <t>Pendapatan Agu</t>
  </si>
  <si>
    <t>RS</t>
  </si>
  <si>
    <t>Pendapatan Sep</t>
  </si>
  <si>
    <t>Ra</t>
  </si>
  <si>
    <t>Pendapatan Sep pada harga rata-rata Agu per produk (Lain-lain tidak disajikan ulang)</t>
  </si>
  <si>
    <t>mA</t>
  </si>
  <si>
    <t>Margin GL Agu</t>
  </si>
  <si>
    <t>mS</t>
  </si>
  <si>
    <t>Margin GL Sep</t>
  </si>
  <si>
    <t>start</t>
  </si>
  <si>
    <t>Margin GL Agustus 2026</t>
  </si>
  <si>
    <t>b1</t>
  </si>
  <si>
    <t>Harga jual rata-rata (FCC: mix tier dan KW 2; harga per tier tetap)</t>
  </si>
  <si>
    <t>b2</t>
  </si>
  <si>
    <t>Volume dan mix produksi (biaya variabel pada tarif Agu; basis produksi)</t>
  </si>
  <si>
    <t>Volume &amp; persediaan</t>
  </si>
  <si>
    <t>b3</t>
  </si>
  <si>
    <t>FCC: tarif singkong (harga dan pemakaian)</t>
  </si>
  <si>
    <t>Tarif variabel</t>
  </si>
  <si>
    <t>b4</t>
  </si>
  <si>
    <t>b5</t>
  </si>
  <si>
    <t>FCC: minyak olein (harga dan pemakaian)</t>
  </si>
  <si>
    <t>b6</t>
  </si>
  <si>
    <t>b7</t>
  </si>
  <si>
    <t>b8</t>
  </si>
  <si>
    <t>FCC: tarif konversi variabel</t>
  </si>
  <si>
    <t>b9</t>
  </si>
  <si>
    <t>Ubi Ungu, Ubi Orange, Lain-lain: tarif variabel</t>
  </si>
  <si>
    <t>b10</t>
  </si>
  <si>
    <t>Biaya tetap: efek volume (biaya tetap Agu ÷ pendapatan lebih kecil)</t>
  </si>
  <si>
    <t>b11</t>
  </si>
  <si>
    <t>Biaya tetap: perubahan belanja</t>
  </si>
  <si>
    <t>b12</t>
  </si>
  <si>
    <t>Perubahan persediaan, KW 2 dan transfer antarproduk (produksi vs penjualan)</t>
  </si>
  <si>
    <t>b13</t>
  </si>
  <si>
    <t>GL lain</t>
  </si>
  <si>
    <t>b14</t>
  </si>
  <si>
    <t>GL: beda penilaian persediaan WP vs Accurate</t>
  </si>
  <si>
    <t>b15</t>
  </si>
  <si>
    <t>b16</t>
  </si>
  <si>
    <t>GL: biaya pabrik di opex</t>
  </si>
  <si>
    <t>b17</t>
  </si>
  <si>
    <t>GL: waktu pencatatan (THR tertukar, tali asih, ongkos kirim)</t>
  </si>
  <si>
    <t>Waktu pencatatan</t>
  </si>
  <si>
    <t>end</t>
  </si>
  <si>
    <t>Margin GL September 2026</t>
  </si>
  <si>
    <t>Ringkasan per kelompok (pp)</t>
  </si>
  <si>
    <t>Total perubahan margin</t>
  </si>
  <si>
    <t>Catatan: b2 dan b12 saling meniadakan sebagian karena Agu membangun persediaan (produksi &gt; penjualan) dan Sep melepasnya; keduanya dibaca bersama.</t>
  </si>
  <si>
    <t>Memo, tidak masuk bridge: indikasi karton FCC Sep belum dikeluarkan (lihat CEK KEWAJARAN bagian 4), pp terhadap pendapatan Sep</t>
  </si>
  <si>
    <t>Margin Agu (bridge) = 1 − HPP GL ÷ pendapatan GL Agu (input)</t>
  </si>
  <si>
    <t>Margin Sep (bridge) = LK Laba Rugi Sep (dalam pp)</t>
  </si>
  <si>
    <t>Σ bar = margin Sep − margin Agu</t>
  </si>
  <si>
    <t>Komponen Agu = HPP GL (bagian 2)</t>
  </si>
  <si>
    <t>Komponen Sep = HPP GL (bagian 2)</t>
  </si>
  <si>
    <t>Biaya tetap Sep = Σ bagian tetap pool</t>
  </si>
  <si>
    <t>Pendapatan input = GL (RINGKASAN C40)</t>
  </si>
  <si>
    <t>5. Data waterfall (pp) – bar dikelompokkan</t>
  </si>
  <si>
    <t>Bar</t>
  </si>
  <si>
    <t>Naik</t>
  </si>
  <si>
    <t>Turun</t>
  </si>
  <si>
    <t>Kumulatif</t>
  </si>
  <si>
    <t>Margin Agu</t>
  </si>
  <si>
    <t>Harga jual rata-rata</t>
  </si>
  <si>
    <t>Volume, mix &amp; persediaan</t>
  </si>
  <si>
    <t>Konversi variabel</t>
  </si>
  <si>
    <t>Tetap: efek volume</t>
  </si>
  <si>
    <t>Tetap: belanja</t>
  </si>
  <si>
    <t>Margin Sep</t>
  </si>
  <si>
    <t>REKONSILIASI PEMAKAIAN MATERIAL PER ITEM: KARTU CoGM vs GL 1106-001 – September 2026</t>
  </si>
  <si>
    <t>Kartu = pemakaian per item menurut kartu CoGM (nilai kartu; item tanpa nilai dinilai harga rata-rata sheet Average Price). Accurate = saldo awal + penerimaan GL − saldo akhir per item. Selisih positif: Accurate mengeluarkan lebih banyak dari yang tercatat di kartu.</t>
  </si>
  <si>
    <t>Rp penuh. Sel biru = input (angka dari sumber); hitam = rumus; hijau = tautan ke sheet lain.</t>
  </si>
  <si>
    <t>1. Pemakaian per item</t>
  </si>
  <si>
    <t>Item (nama Average Price)</t>
  </si>
  <si>
    <t>Qty kartu</t>
  </si>
  <si>
    <t>Kartu FCC</t>
  </si>
  <si>
    <t>Kartu UU</t>
  </si>
  <si>
    <t>Kartu UO</t>
  </si>
  <si>
    <t>Kartu Lain-lain</t>
  </si>
  <si>
    <t>Total kartu</t>
  </si>
  <si>
    <t>Saldo awal Accurate</t>
  </si>
  <si>
    <t>Penerimaan GL</t>
  </si>
  <si>
    <t>Saldo akhir Accurate</t>
  </si>
  <si>
    <t>Pemakaian Accurate</t>
  </si>
  <si>
    <t>Selisih Accurate − kartu</t>
  </si>
  <si>
    <t>Saldo akhir implisit kartu</t>
  </si>
  <si>
    <t>saldo akhir: Inventory Valuation BB-004</t>
  </si>
  <si>
    <t>saldo akhir: Inventory Valuation BB-014</t>
  </si>
  <si>
    <t>saldo akhir: Inventory Valuation BB-001; pembelian di Average Price 1.031.371.931; GL 1.012.361.248</t>
  </si>
  <si>
    <t>saldo akhir: Inventory Valuation BB-015; pembelian di Average Price 724.611.143; GL 799.995.631</t>
  </si>
  <si>
    <t>HDPE Ukuran IFL Warna Putih Tebal 0,07</t>
  </si>
  <si>
    <t>saldo akhir: Inventory Valuation BB-022</t>
  </si>
  <si>
    <t>HDPE Ukuran IFL Warna Putih Tebal 0,05</t>
  </si>
  <si>
    <t>saldo akhir: Inventory Valuation BB-020</t>
  </si>
  <si>
    <t>saldo akhir: Inventory Valuation BB-026</t>
  </si>
  <si>
    <t>saldo akhir: Inventory Valuation BB-322; pembelian di Average Price 115.235.344; GL 113.015.300</t>
  </si>
  <si>
    <t>saldo akhir: Inventory Valuation BB-329; pembelian di Average Price 73.946.279; GL 69.865.900</t>
  </si>
  <si>
    <t>tidak ada di Inventory Valuation BB; tanpa mutasi Sep → saldo akhir = saldo awal</t>
  </si>
  <si>
    <t>Polyfilm Umbis Ubi Ungu Rasa Ubi Bakar</t>
  </si>
  <si>
    <t>HDPE Ukuran IFL Warna Putih Tipis  0,03</t>
  </si>
  <si>
    <t>saldo akhir: Inventory Valuation BB-021</t>
  </si>
  <si>
    <t>saldo akhir: Inventory Valuation BB-017</t>
  </si>
  <si>
    <t>saldo akhir: Inventory Valuation BB-129</t>
  </si>
  <si>
    <t>Gula Rafinasi</t>
  </si>
  <si>
    <t>saldo akhir: Inventory Valuation BB-031</t>
  </si>
  <si>
    <t>saldo akhir: Inventory Valuation BB-114</t>
  </si>
  <si>
    <t>Plastik HDPE 4 kg</t>
  </si>
  <si>
    <t>saldo akhir: Inventory Valuation BB-024</t>
  </si>
  <si>
    <t>saldo akhir: Inventory Valuation BB-101</t>
  </si>
  <si>
    <t>saldo akhir: Inventory Valuation BB-007; pembelian di Average Price 8.673.000; GL 8.401.600</t>
  </si>
  <si>
    <t>saldo akhir: Inventory Valuation BB-229</t>
  </si>
  <si>
    <t>saldo akhir: Inventory Valuation BB-030</t>
  </si>
  <si>
    <t>saldo akhir: Inventory Valuation BB-233</t>
  </si>
  <si>
    <t>saldo akhir: Inventory Valuation BB-126</t>
  </si>
  <si>
    <t>Label FCC Hijau</t>
  </si>
  <si>
    <t>saldo akhir: Inventory Valuation BB-035</t>
  </si>
  <si>
    <t>Label FCC Putih</t>
  </si>
  <si>
    <t>saldo akhir: Inventory Valuation BB-034</t>
  </si>
  <si>
    <t>Garam</t>
  </si>
  <si>
    <t>saldo akhir: Inventory Valuation BB-064</t>
  </si>
  <si>
    <t>Tepung Beras Sujiwangi</t>
  </si>
  <si>
    <t>saldo akhir: Inventory Valuation BB-050</t>
  </si>
  <si>
    <t>Karton Umbis Ubi Ungu</t>
  </si>
  <si>
    <t>saldo akhir: Inventory Valuation BB-315</t>
  </si>
  <si>
    <t>saldo akhir: Inventory Valuation BB-316</t>
  </si>
  <si>
    <t>Plastik PE Gusset 23*(4+4)*32*0,1</t>
  </si>
  <si>
    <t>Ca</t>
  </si>
  <si>
    <t>Label FCC Biru</t>
  </si>
  <si>
    <t>saldo akhir: Inventory Valuation BB-036</t>
  </si>
  <si>
    <t>tidak ada di Inventory Valuation BB → saldo akhir = awal + terima − kartu (asumsi, selisih 0)</t>
  </si>
  <si>
    <t>Karton Maxfres</t>
  </si>
  <si>
    <t>Hot Ink Ukuran 36*40</t>
  </si>
  <si>
    <t>saldo akhir: Inventory Valuation BB-295</t>
  </si>
  <si>
    <t>Hot Ink Putih</t>
  </si>
  <si>
    <t>Plastik PE Gusset 23*(4+4)*40*0,1</t>
  </si>
  <si>
    <t>Benang Merah</t>
  </si>
  <si>
    <t>Garam Krosok</t>
  </si>
  <si>
    <t>saldo akhir: Inventory Valuation BB-018</t>
  </si>
  <si>
    <t>Coding Tape</t>
  </si>
  <si>
    <t>tidak ada di Inventory Valuation BB → saldo akhir = awal + terima − kartu (asumsi, selisih 0); harga rata-rata 0 (bahan titipan/maklon), nilai 0</t>
  </si>
  <si>
    <t>tidak ada di Inventory Valuation BB → saldo akhir = awal + terima − kartu (asumsi, selisih 0); tidak ada di sheet Average Price, nilai 0</t>
  </si>
  <si>
    <t>harga rata-rata 0 (bahan titipan/maklon), nilai 0; saldo akhir: Inventory Valuation BB-289</t>
  </si>
  <si>
    <t>harga rata-rata 0 (bahan titipan/maklon), nilai 0; saldo akhir: Inventory Valuation BB-327</t>
  </si>
  <si>
    <t>harga rata-rata 0 (bahan titipan/maklon), nilai 0; saldo akhir: Inventory Valuation BB-292</t>
  </si>
  <si>
    <t>harga rata-rata 0 (bahan titipan/maklon), nilai 0; saldo akhir: Inventory Valuation BB-290</t>
  </si>
  <si>
    <t>harga rata-rata 0 (bahan titipan/maklon), nilai 0; saldo akhir: Inventory Valuation BB-291</t>
  </si>
  <si>
    <t>harga rata-rata 0 (bahan titipan/maklon), nilai 0; saldo akhir: Inventory Valuation BB-324</t>
  </si>
  <si>
    <t>harga rata-rata 0 (bahan titipan/maklon), nilai 0; saldo akhir: Inventory Valuation BB-288</t>
  </si>
  <si>
    <t>harga rata-rata 0 (bahan titipan/maklon), nilai 0; saldo akhir: Inventory Valuation BB-296</t>
  </si>
  <si>
    <t>harga rata-rata 0 (bahan titipan/maklon), nilai 0; saldo akhir: Inventory Valuation BB-294</t>
  </si>
  <si>
    <t>harga rata-rata 0 (bahan titipan/maklon), nilai 0; saldo akhir: Inventory Valuation BB-293</t>
  </si>
  <si>
    <t>Pembulatan Inventory Valuation vs GL 1106-001</t>
  </si>
  <si>
    <t>Sisa pembulatan nilai per item Accurate; harus kecil (kontrol ≤ Rp 10.000)</t>
  </si>
  <si>
    <t>2. Pembanding GL 1106-001 dan LK sheet PL HPP (Rp)</t>
  </si>
  <si>
    <t>LK PL HPP</t>
  </si>
  <si>
    <t>Saldo awal 1106-001</t>
  </si>
  <si>
    <t>LK PL HPP "Saldo Bahan Baku - Awal" (saldo awal tidak ada di file GL mutasi)</t>
  </si>
  <si>
    <t>Penerimaan (Penerimaan Barang)</t>
  </si>
  <si>
    <t>GL 1106-001 sumber Penerimaan Barang, Sep 2026</t>
  </si>
  <si>
    <t>Pemakaian (Penyesuaian Persediaan, neto)</t>
  </si>
  <si>
    <t>GL 1106-001 sumber Penyesuaian Persediaan (kredit − debit), Sep 2026</t>
  </si>
  <si>
    <t>Saldo akhir 1106-001</t>
  </si>
  <si>
    <t>LK PL HPP "Saldo Bahan Baku - Akhir"</t>
  </si>
  <si>
    <t>3. Kontrol (toleransi Rp 1 kecuali disebut lain)</t>
  </si>
  <si>
    <t>Kartu FCC per item = material FCC di WP (REKON B22)</t>
  </si>
  <si>
    <t>Kartu UU per item = material UU di WP (REKON B23)</t>
  </si>
  <si>
    <t>Kartu UO per item = material UO di WP (REKON B24)</t>
  </si>
  <si>
    <t>Kartu Lain-lain per item = material Lain-lain di WP (REKON B25:B27)</t>
  </si>
  <si>
    <t>Saldo awal per item (Average Price) = saldo awal GL</t>
  </si>
  <si>
    <t>Penerimaan per item = penerimaan GL</t>
  </si>
  <si>
    <t>Saldo akhir per item (Average Price bulan berikutnya / Inventory Valuation) = saldo akhir LK PL HPP</t>
  </si>
  <si>
    <t>Pembulatan Inventory Valuation vs GL kecil (≤ Rp 10.000)</t>
  </si>
  <si>
    <t>Penerimaan GL = LK PL HPP (pembulatan Accurate, toleransi Rp 100)</t>
  </si>
  <si>
    <t>Pemakaian GL = LK PL HPP (pembulatan Accurate, toleransi Rp 100)</t>
  </si>
  <si>
    <t>Saldo akhir GL = LK PL HPP (pembulatan Accurate, toleransi Rp 100)</t>
  </si>
  <si>
    <t>Pemakaian Accurate (total) = pemakaian GL di REKON B29</t>
  </si>
  <si>
    <t>Selisih Accurate − kartu (total) = varian material REKON B30</t>
  </si>
  <si>
    <t>STATUS SHEET</t>
  </si>
  <si>
    <t>REKON PERSEDIAAN – WIP (1106-002) dan barang jadi (1106-003) per item: Accurate vs WP, September 2026</t>
  </si>
  <si>
    <t>Sumber Accurate: Rincian Valuasi Persediaan Accurate 1 Agu–30 Sep 2026 + Ringkasan Valuasi 31 Jul 2026. Saldo GL: RINGKASAN bagian 6 (LK Balance Sheet). Saldo WP: sheet FCC, UU, UO dan sheet SKU (nilai biaya kartu baru). Rp penuh; Rp/kg = Rp per satuan stok.</t>
  </si>
  <si>
    <t>Status kontrol (bagian 2)</t>
  </si>
  <si>
    <t>Item BB (1106-001, lihat REKON MATERIAL) serta GP/CP (persediaan teknik 1106-004/005) tidak termasuk.</t>
  </si>
  <si>
    <t>1. Rekonsiliasi saldo WP vs GL per akun, dirinci per kategori (Rp). Kolom Δ = akhir − awal: penguraian REKON C46.</t>
  </si>
  <si>
    <t>WIP akhir</t>
  </si>
  <si>
    <t>WIP Δ</t>
  </si>
  <si>
    <t>FG akhir</t>
  </si>
  <si>
    <t>FG Δ</t>
  </si>
  <si>
    <t>Saldo GL (LK Neraca)</t>
  </si>
  <si>
    <t>RINGKASAN B63:B66</t>
  </si>
  <si>
    <t>Σ Inventory Valuation per item (bagian 4)</t>
  </si>
  <si>
    <t>Subledger Accurate</t>
  </si>
  <si>
    <t>Beda subledger vs GL (GL − Σ IV)</t>
  </si>
  <si>
    <t>Harus sama di awal dan akhir (kontrol 1–2)</t>
  </si>
  <si>
    <t>Saldo WP</t>
  </si>
  <si>
    <t>Akhir = RINGKASAN B47:B48; awal = WIP/FG awal sheet produk</t>
  </si>
  <si>
    <t>Akhir = RINGKASAN E47:E48</t>
  </si>
  <si>
    <t>Dijelaskan oleh:</t>
  </si>
  <si>
    <t>K1 Beda penilaian item dalam lingkup WP (WP − Accurate)</t>
  </si>
  <si>
    <t>Kartu baru (full absorption) vs kartu lama di Accurate</t>
  </si>
  <si>
    <t xml:space="preserve">   di dalamnya: beda kuantitas WP vs Accurate</t>
  </si>
  <si>
    <t>Dinilai Rp/satuan WP (kolom U/V bagian 4)</t>
  </si>
  <si>
    <t xml:space="preserve">   di dalamnya: residu nilai Accurate tanpa kuantitas</t>
  </si>
  <si>
    <t>Nilai sisa di Accurate dengan kg 0</t>
  </si>
  <si>
    <t xml:space="preserve">   di dalamnya: beda tarif kartu baru vs Accurate (kartu lama)</t>
  </si>
  <si>
    <t>K1 − dua baris di atas; uji kartu lama di bagian 2</t>
  </si>
  <si>
    <t>K2 Olein ditahan di WIP (Accurate)</t>
  </si>
  <si>
    <t>Di WP olein ini masih di saldo bahan baku</t>
  </si>
  <si>
    <t>K3 Bahan, kemasan dan KW 2 di WIP (Accurate)</t>
  </si>
  <si>
    <t>Termasuk item tanpa transaksi Agu–Sep</t>
  </si>
  <si>
    <t>K4 Barang jadi tanpa penjualan/produksi bulan ini (Accurate)</t>
  </si>
  <si>
    <t>Pellet lama dan FG tanpa transaksi Agu–Sep</t>
  </si>
  <si>
    <t>K5 Barang jadi tanpa sheet WP yang bermutasi (Accurate)</t>
  </si>
  <si>
    <t>Umbiis, whole chips, dll.</t>
  </si>
  <si>
    <t>K6 Perlu klasifikasi (Accurate)</t>
  </si>
  <si>
    <t>Harus nol</t>
  </si>
  <si>
    <t>Beda subledger vs GL</t>
  </si>
  <si>
    <t>Tanda dibalik dari baris beda subledger</t>
  </si>
  <si>
    <t>Total dijelaskan</t>
  </si>
  <si>
    <t>Sisa (harus nol)</t>
  </si>
  <si>
    <t>Kontrol 7–8</t>
  </si>
  <si>
    <t>Memo: Σ Δ (WP − GL) WIP + FG = REKON C46 (selisih kenaikan persediaan kartu baru vs GL, pos rekon HPP)</t>
  </si>
  <si>
    <t>kolom E: dari bagian ini; kolom H: REKON C46</t>
  </si>
  <si>
    <t>2. Kontrol</t>
  </si>
  <si>
    <t>Toleransi (Rp)</t>
  </si>
  <si>
    <t>Toleransi kontrol (Rp) – sel biru</t>
  </si>
  <si>
    <t>Sama dengan RINGKASAN (0,001 jt). Selisih pembulatan subledger di atas ini harus dijelaskan, bukan diserap.</t>
  </si>
  <si>
    <t>Beda subledger vs GL WIP stabil (akhir − awal)</t>
  </si>
  <si>
    <t>Kalau bergeser, ada item WIP di GL yang tidak ada di subledger bulan ini (atau sebaliknya).</t>
  </si>
  <si>
    <t>Beda subledger vs GL FG stabil (akhir − awal)</t>
  </si>
  <si>
    <t>Σ nilai WP item K1 (WIP, akhir) = saldo WP RINGKASAN B47</t>
  </si>
  <si>
    <t>Semua sel WP terpetakan ke item Accurate.</t>
  </si>
  <si>
    <t>Σ nilai WP item K1 (FG, akhir) = saldo WP RINGKASAN B48</t>
  </si>
  <si>
    <t>Σ nilai WP item K1 (WIP, awal) = WIP awal sheet produk</t>
  </si>
  <si>
    <t>Σ nilai WP item K1 (FG, awal) = FG awal sheet produk</t>
  </si>
  <si>
    <t>Sisa WIP akhir (WP − GL − dijelaskan)</t>
  </si>
  <si>
    <t>Sisa FG akhir (WP − GL − dijelaskan)</t>
  </si>
  <si>
    <t>Σ Δ (WP − GL) = REKON C46</t>
  </si>
  <si>
    <t>Menghubungkan saldo ke pos rekon HPP.</t>
  </si>
  <si>
    <t>Item belum terklasifikasi (K6 atau akun "?") dengan saldo ≠ 0</t>
  </si>
  <si>
    <t>–</t>
  </si>
  <si>
    <t>Isi kolom C/D di bagian 4.</t>
  </si>
  <si>
    <t>Tidak ada sel error di sheet ini</t>
  </si>
  <si>
    <t>Sel ini sendiri dikecualikan dari rentang.</t>
  </si>
  <si>
    <t>INFO – uji kartu lama: item FCC/UU/UO (kg &gt; 0) dengan |Rp/kg Accurate ÷ Rp/kg kartu lama − 1| &gt; batas</t>
  </si>
  <si>
    <t>Tidak memblok status. Kalau CEK: nilai Accurate item itu tidak berasal dari kartu lama bulan ini → beda penilaian K1 perlu ditelusuri.</t>
  </si>
  <si>
    <t>3. Kategori (kolom D bagian 4 – sel input; aturan bawaan di script, boleh diubah reviewer)</t>
  </si>
  <si>
    <t>K1</t>
  </si>
  <si>
    <t>Dalam lingkup WP: beda penilaian (nilai WP − nilai Accurate)</t>
  </si>
  <si>
    <t>K2</t>
  </si>
  <si>
    <t>Olein ditahan di WIP (Accurate memindahkan olein dari BB ke WIP-022; di WP tetap bahan baku)</t>
  </si>
  <si>
    <t>K3</t>
  </si>
  <si>
    <t>Bahan, kemasan dan KW 2 (nilai 0) di WIP – tidak dinilai di kartu</t>
  </si>
  <si>
    <t>K4</t>
  </si>
  <si>
    <t>Barang jadi tanpa penjualan/produksi bulan ini (pellet lama; hanya penyesuaian nilai/opname)</t>
  </si>
  <si>
    <t>K5</t>
  </si>
  <si>
    <t>Barang jadi tanpa sheet WP yang terjual/diproduksi bulan ini (whole chips, Umbiis, dll.)</t>
  </si>
  <si>
    <t>K6</t>
  </si>
  <si>
    <t>Perlu klasifikasi (memblok status)</t>
  </si>
  <si>
    <t>Accurate menilai WIP/FG FCC dan UU pada tarif kartu lama per kg barang baik (total kartu lama ÷ (produksi − KW 2 − waste)): Agu UU WIP Rp 31.106,69/kg = kartu lama; FCC WIP/FG Rp 20.706–20.712 vs 20.700,67; Sep FCC WIP 21.487,28 vs 21.489,80. Jadi persediaan GL berisi material + konversi versi kartu lama (lawan: jurnal manual 5101-015 "COGM"), bukan material saja. Item tanpa transaksi 1 Agu–30 Sep tidak muncul di Rincian Valuasi; saldonya diambil dari Ringkasan Valuasi 31 Jul (konstan). Item itulah yang sebelumnya terbaca sebagai "beda konstan subledger vs GL"; sisa beda subledger vs GL ada di baris beda subledger bagian 1.</t>
  </si>
  <si>
    <t>4. Rincian per item (sel biru = Inventory Valuation Accurate; hijau = tautan sheet WP)</t>
  </si>
  <si>
    <t>Nama barang (Accurate)</t>
  </si>
  <si>
    <t>Akun</t>
  </si>
  <si>
    <t>Kategori</t>
  </si>
  <si>
    <t>Qty awal Accurate</t>
  </si>
  <si>
    <t>Nilai awal Accurate</t>
  </si>
  <si>
    <t>Qty akhir Accurate</t>
  </si>
  <si>
    <t>Nilai akhir Accurate</t>
  </si>
  <si>
    <t>Mutasi bulan ini</t>
  </si>
  <si>
    <t>Qty awal WP</t>
  </si>
  <si>
    <t>Nilai awal WP</t>
  </si>
  <si>
    <t>Qty akhir WP</t>
  </si>
  <si>
    <t>Nilai akhir WP</t>
  </si>
  <si>
    <t>Selisih akhir WP − Accurate</t>
  </si>
  <si>
    <t>Δ selisih (akhir − awal)</t>
  </si>
  <si>
    <t>Rp/satuan Accurate akhir</t>
  </si>
  <si>
    <t>Rp/satuan WP akhir</t>
  </si>
  <si>
    <t>Rp/kg kartu lama (barang baik)</t>
  </si>
  <si>
    <t>Accurate ÷ kartu lama − 1</t>
  </si>
  <si>
    <t>Beda kuantitas akhir × Rp/satuan WP</t>
  </si>
  <si>
    <t>Beda kuantitas awal × Rp/satuan WP</t>
  </si>
  <si>
    <t>WIP-067</t>
  </si>
  <si>
    <t>Keripik Singkong FCC</t>
  </si>
  <si>
    <t>1106-002</t>
  </si>
  <si>
    <t>tidak</t>
  </si>
  <si>
    <t>Rincian Valuasi 1 Agu–30 Sep WIP-067; WP: sheet FCC</t>
  </si>
  <si>
    <t>WIP-138</t>
  </si>
  <si>
    <t>Keripik Ubi Orange (QKSO)</t>
  </si>
  <si>
    <t>Rincian Valuasi 1 Agu–30 Sep WIP-138; WP: sheet UO</t>
  </si>
  <si>
    <t>WIP-139</t>
  </si>
  <si>
    <t>Keripik Ubi Ungu (QKSP)</t>
  </si>
  <si>
    <t>Rincian Valuasi 1 Agu–30 Sep WIP-139; WP: sheet UU</t>
  </si>
  <si>
    <t>WIP-022</t>
  </si>
  <si>
    <t>Rincian Valuasi 1 Agu–30 Sep WIP-022</t>
  </si>
  <si>
    <t>WIP-005</t>
  </si>
  <si>
    <t>Hdpe Ukuran Ifl Warna Putih Tipis  0,03</t>
  </si>
  <si>
    <t>Rincian Valuasi 1 Agu–30 Sep WIP-005</t>
  </si>
  <si>
    <t>WIP-007</t>
  </si>
  <si>
    <t>(nama tidak tercantum di laporan; tanpa transaksi 1 Agu–30 Sep)</t>
  </si>
  <si>
    <t>Ringkasan Valuasi 31 Jul WIP-007 (tidak ada transaksi 1 Agu–30 Sep → saldo konstan)</t>
  </si>
  <si>
    <t>WIP-013</t>
  </si>
  <si>
    <t>Ringkasan Valuasi 31 Jul WIP-013 (tidak ada transaksi 1 Agu–30 Sep → saldo konstan)</t>
  </si>
  <si>
    <t>WIP-016</t>
  </si>
  <si>
    <t>Rincian Valuasi 1 Agu–30 Sep WIP-016</t>
  </si>
  <si>
    <t>WIP-018</t>
  </si>
  <si>
    <t>Ringkasan Valuasi 31 Jul WIP-018 (tidak ada transaksi 1 Agu–30 Sep → saldo konstan)</t>
  </si>
  <si>
    <t>WIP-023</t>
  </si>
  <si>
    <t>Cng</t>
  </si>
  <si>
    <t>Rincian Valuasi 1 Agu–30 Sep WIP-023</t>
  </si>
  <si>
    <t>WIP-025</t>
  </si>
  <si>
    <t>Ringkasan Valuasi 31 Jul WIP-025 (tidak ada transaksi 1 Agu–30 Sep → saldo konstan)</t>
  </si>
  <si>
    <t>WIP-026</t>
  </si>
  <si>
    <t>Ringkasan Valuasi 31 Jul WIP-026 (tidak ada transaksi 1 Agu–30 Sep → saldo konstan)</t>
  </si>
  <si>
    <t>WIP-029</t>
  </si>
  <si>
    <t>Ammonium Bicarbonate (Ti)</t>
  </si>
  <si>
    <t>Rincian Valuasi 1 Agu–30 Sep WIP-029</t>
  </si>
  <si>
    <t>WIP-031</t>
  </si>
  <si>
    <t>Hdpe Ukuran Ifl Warna Putih Tebal 0,05</t>
  </si>
  <si>
    <t>Rincian Valuasi 1 Agu–30 Sep WIP-031</t>
  </si>
  <si>
    <t>WIP-032</t>
  </si>
  <si>
    <t>Hdpe Ukuran Ifl Warna Putih Tebal 0,07</t>
  </si>
  <si>
    <t>Rincian Valuasi 1 Agu–30 Sep WIP-032</t>
  </si>
  <si>
    <t>WIP-033</t>
  </si>
  <si>
    <t>Tali Rafia</t>
  </si>
  <si>
    <t>Rincian Valuasi 1 Agu–30 Sep WIP-033</t>
  </si>
  <si>
    <t>WIP-035</t>
  </si>
  <si>
    <t>Karton Polos Ifl</t>
  </si>
  <si>
    <t>Rincian Valuasi 1 Agu–30 Sep WIP-035</t>
  </si>
  <si>
    <t>WIP-036</t>
  </si>
  <si>
    <t>Label Fcc - Putih</t>
  </si>
  <si>
    <t>Rincian Valuasi 1 Agu–30 Sep WIP-036</t>
  </si>
  <si>
    <t>WIP-037</t>
  </si>
  <si>
    <t>Label Fcc - Hijau</t>
  </si>
  <si>
    <t>Rincian Valuasi 1 Agu–30 Sep WIP-037</t>
  </si>
  <si>
    <t>WIP-038</t>
  </si>
  <si>
    <t>Label Fcc - Biru</t>
  </si>
  <si>
    <t>Rincian Valuasi 1 Agu–30 Sep WIP-038</t>
  </si>
  <si>
    <t>WIP-039</t>
  </si>
  <si>
    <t>Plastik 1 Kg</t>
  </si>
  <si>
    <t>Rincian Valuasi 1 Agu–30 Sep WIP-039</t>
  </si>
  <si>
    <t>WIP-042</t>
  </si>
  <si>
    <t>Plakban Ukuran 100Y</t>
  </si>
  <si>
    <t>Rincian Valuasi 1 Agu–30 Sep WIP-042</t>
  </si>
  <si>
    <t>WIP-043</t>
  </si>
  <si>
    <t>Ringkasan Valuasi 31 Jul WIP-043 (tidak ada transaksi 1 Agu–30 Sep → saldo konstan)</t>
  </si>
  <si>
    <t>WIP-045</t>
  </si>
  <si>
    <t>Keripik Singkong 2Nd Tawar</t>
  </si>
  <si>
    <t>Rincian Valuasi 1 Agu–30 Sep WIP-045</t>
  </si>
  <si>
    <t>WIP-046</t>
  </si>
  <si>
    <t>Ringkasan Valuasi 31 Jul WIP-046 (tidak ada transaksi 1 Agu–30 Sep → saldo konstan)</t>
  </si>
  <si>
    <t>WIP-079</t>
  </si>
  <si>
    <t>Ringkasan Valuasi 31 Jul WIP-079 (tidak ada transaksi 1 Agu–30 Sep → saldo konstan)</t>
  </si>
  <si>
    <t>WIP-089</t>
  </si>
  <si>
    <t>Rincian Valuasi 1 Agu–30 Sep WIP-089</t>
  </si>
  <si>
    <t>WIP-098</t>
  </si>
  <si>
    <t>Ringkasan Valuasi 31 Jul WIP-098 (tidak ada transaksi 1 Agu–30 Sep → saldo konstan)</t>
  </si>
  <si>
    <t>WIP-106</t>
  </si>
  <si>
    <t>Ringkasan Valuasi 31 Jul WIP-106 (tidak ada transaksi 1 Agu–30 Sep → saldo konstan)</t>
  </si>
  <si>
    <t>WIP-111</t>
  </si>
  <si>
    <t>Ringkasan Valuasi 31 Jul WIP-111 (tidak ada transaksi 1 Agu–30 Sep → saldo konstan)</t>
  </si>
  <si>
    <t>WIP-114</t>
  </si>
  <si>
    <t>Rincian Valuasi 1 Agu–30 Sep WIP-114</t>
  </si>
  <si>
    <t>WIP-121</t>
  </si>
  <si>
    <t>Ringkasan Valuasi 31 Jul WIP-121 (tidak ada transaksi 1 Agu–30 Sep → saldo konstan)</t>
  </si>
  <si>
    <t>WIP-136</t>
  </si>
  <si>
    <t>Rincian Valuasi 1 Agu–30 Sep WIP-136</t>
  </si>
  <si>
    <t>WIP-137</t>
  </si>
  <si>
    <t>Ringkasan Valuasi 31 Jul WIP-137 (tidak ada transaksi 1 Agu–30 Sep → saldo konstan)</t>
  </si>
  <si>
    <t>WIP-140</t>
  </si>
  <si>
    <t>Rincian Valuasi 1 Agu–30 Sep WIP-140</t>
  </si>
  <si>
    <t>WIP-145</t>
  </si>
  <si>
    <t>Ringkasan Valuasi 31 Jul WIP-145 (tidak ada transaksi 1 Agu–30 Sep → saldo konstan)</t>
  </si>
  <si>
    <t>WIP-146</t>
  </si>
  <si>
    <t>FSPC Putih KW2 Tanpa Bumbu</t>
  </si>
  <si>
    <t>Rincian Valuasi 1 Agu–30 Sep WIP-146</t>
  </si>
  <si>
    <t>FG-001</t>
  </si>
  <si>
    <t>Keripik Singkong Tanpa Bumbu</t>
  </si>
  <si>
    <t>1106-003</t>
  </si>
  <si>
    <t>ya</t>
  </si>
  <si>
    <t>Rincian Valuasi 1 Agu–30 Sep FG-001; WP: sheet FCC</t>
  </si>
  <si>
    <t>FG-009</t>
  </si>
  <si>
    <t>Suka-suka 2nd Keripik Singkong Bumbu Balado</t>
  </si>
  <si>
    <t>Rincian Valuasi 1 Agu–30 Sep FG-009; WP: sheet KOPERASI</t>
  </si>
  <si>
    <t>FG-010</t>
  </si>
  <si>
    <t>Suka-suka 2nd Keripik Singkong Bumbu Jagung  Manis</t>
  </si>
  <si>
    <t>Rincian Valuasi 1 Agu–30 Sep FG-010; WP: sheet KOPERASI</t>
  </si>
  <si>
    <t>FG-011</t>
  </si>
  <si>
    <t>Suka-suka 2nd Keripik Singkong Bumbu Garam</t>
  </si>
  <si>
    <t>Rincian Valuasi 1 Agu–30 Sep FG-011; WP: sheet KOPERASI</t>
  </si>
  <si>
    <t>FG-012</t>
  </si>
  <si>
    <t>Suka-suka 2nd Keripik Singkong Bumbu BBQ</t>
  </si>
  <si>
    <t>Rincian Valuasi 1 Agu–30 Sep FG-012; WP: sheet KOPERASI</t>
  </si>
  <si>
    <t>FG-013</t>
  </si>
  <si>
    <t>2nd Bumbu Balado</t>
  </si>
  <si>
    <t>Rincian Valuasi 1 Agu–30 Sep FG-013; WP: sheet KOPERASI</t>
  </si>
  <si>
    <t>FG-014</t>
  </si>
  <si>
    <t>2nd Bumbu BBQ</t>
  </si>
  <si>
    <t>Rincian Valuasi 1 Agu–30 Sep FG-014; WP: sheet KOPERASI</t>
  </si>
  <si>
    <t>FG-016</t>
  </si>
  <si>
    <t>2nd Bumbu Jagung Manis</t>
  </si>
  <si>
    <t>Rincian Valuasi 1 Agu–30 Sep FG-016; WP: sheet KOPERASI</t>
  </si>
  <si>
    <t>FG-018</t>
  </si>
  <si>
    <t>2nd Bumbu Asin</t>
  </si>
  <si>
    <t>Rincian Valuasi 1 Agu–30 Sep FG-018; WP: sheet KOPERASI</t>
  </si>
  <si>
    <t>FG-101</t>
  </si>
  <si>
    <t>FSPC Ungu Premium</t>
  </si>
  <si>
    <t>Rincian Valuasi 1 Agu–30 Sep FG-101; WP: sheet UU</t>
  </si>
  <si>
    <t>FG-102</t>
  </si>
  <si>
    <t>FSPC Orange Premium</t>
  </si>
  <si>
    <t>Rincian Valuasi 1 Agu–30 Sep FG-102; WP: sheet UO</t>
  </si>
  <si>
    <t>FG-110</t>
  </si>
  <si>
    <t>Maicih Keripik Singkong 80gr-Level 3</t>
  </si>
  <si>
    <t>Rincian Valuasi 1 Agu–30 Sep FG-110; WP: sheet MCH KERIPIK LV3</t>
  </si>
  <si>
    <t>FG-111</t>
  </si>
  <si>
    <t>Maicih Keripik Singkong 80gr-Level 10</t>
  </si>
  <si>
    <t>Rincian Valuasi 1 Agu–30 Sep FG-111; WP: sheet MCH KERIPIK LV10</t>
  </si>
  <si>
    <t>FG-112</t>
  </si>
  <si>
    <t>Maicih Keripik Singkong 80gr-Level 5</t>
  </si>
  <si>
    <t>Rincian Valuasi 1 Agu–30 Sep FG-112; WP: sheet MCH KERIPIK LV5</t>
  </si>
  <si>
    <t>FG-137</t>
  </si>
  <si>
    <t>Maicih Basreng 80GR Level.5</t>
  </si>
  <si>
    <t>Rincian Valuasi 1 Agu–30 Sep FG-137; WP: sheet MCH BASRENG L5</t>
  </si>
  <si>
    <t>FG-138</t>
  </si>
  <si>
    <t>Maicih Basreng 80GR Level.0</t>
  </si>
  <si>
    <t>Rincian Valuasi 1 Agu–30 Sep FG-138; WP: sheet MCH BASRENG L0</t>
  </si>
  <si>
    <t>FG-153</t>
  </si>
  <si>
    <t>Maicih Basreng 80 Gr-Level 10</t>
  </si>
  <si>
    <t>Rincian Valuasi 1 Agu–30 Sep FG-153; WP: sheet MCH BASRENG L10</t>
  </si>
  <si>
    <t>FG-167</t>
  </si>
  <si>
    <t>Keripik Ubi Mix 2nd Bumbu Balado 1kg</t>
  </si>
  <si>
    <t>Rincian Valuasi 1 Agu–30 Sep FG-167; WP: sheet KOPERASI</t>
  </si>
  <si>
    <t>FG-170</t>
  </si>
  <si>
    <t>Keripik Ubi Mix 2nd Bumbu BBQ 1kg</t>
  </si>
  <si>
    <t>Rincian Valuasi 1 Agu–30 Sep FG-170; WP: sheet KOPERASI</t>
  </si>
  <si>
    <t>FG-180</t>
  </si>
  <si>
    <t>Keripik Singkong Original (Cem-Cem Cazva)</t>
  </si>
  <si>
    <t>Rincian Valuasi 1 Agu–30 Sep FG-180; WP: sheet CEM-CEM ORI</t>
  </si>
  <si>
    <t>FG-181</t>
  </si>
  <si>
    <t>Keripik Singkong BBQ (Cem-Cem Cazva)</t>
  </si>
  <si>
    <t>Rincian Valuasi 1 Agu–30 Sep FG-181; WP: sheet CEM-CEM BBQ</t>
  </si>
  <si>
    <t>FG-182</t>
  </si>
  <si>
    <t>Sweet Potato N110</t>
  </si>
  <si>
    <t>Rincian Valuasi 1 Agu–30 Sep FG-182; WP: sheet UBI PUTIH ACE</t>
  </si>
  <si>
    <t>FG-190</t>
  </si>
  <si>
    <t>Rincian Valuasi 1 Agu–30 Sep FG-190; WP: sheet KOPERASI</t>
  </si>
  <si>
    <t>FG-002</t>
  </si>
  <si>
    <t>Pellet Ubi Ungu Gluten Free- G 15Kg</t>
  </si>
  <si>
    <t>Rincian Valuasi 1 Agu–30 Sep FG-002</t>
  </si>
  <si>
    <t>FG-008</t>
  </si>
  <si>
    <t>Ringkasan Valuasi 31 Jul FG-008 (tidak ada transaksi 1 Agu–30 Sep → saldo konstan)</t>
  </si>
  <si>
    <t>FG-035</t>
  </si>
  <si>
    <t>Pellet Ubi Ungu - FG 15kg</t>
  </si>
  <si>
    <t>Rincian Valuasi 1 Agu–30 Sep FG-035</t>
  </si>
  <si>
    <t>FG-036</t>
  </si>
  <si>
    <t>Ringkasan Valuasi 31 Jul FG-036 (tidak ada transaksi 1 Agu–30 Sep → saldo konstan)</t>
  </si>
  <si>
    <t>FG-038</t>
  </si>
  <si>
    <t>Ringkasan Valuasi 31 Jul FG-038 (tidak ada transaksi 1 Agu–30 Sep → saldo konstan)</t>
  </si>
  <si>
    <t>FG-043</t>
  </si>
  <si>
    <t>Ringkasan Valuasi 31 Jul FG-043 (tidak ada transaksi 1 Agu–30 Sep → saldo konstan)</t>
  </si>
  <si>
    <t>FG-052</t>
  </si>
  <si>
    <t>Ringkasan Valuasi 31 Jul FG-052 (tidak ada transaksi 1 Agu–30 Sep → saldo konstan)</t>
  </si>
  <si>
    <t>FG-054</t>
  </si>
  <si>
    <t>Ringkasan Valuasi 31 Jul FG-054 (tidak ada transaksi 1 Agu–30 Sep → saldo konstan)</t>
  </si>
  <si>
    <t>FG-055</t>
  </si>
  <si>
    <t>Ringkasan Valuasi 31 Jul FG-055 (tidak ada transaksi 1 Agu–30 Sep → saldo konstan)</t>
  </si>
  <si>
    <t>FG-056</t>
  </si>
  <si>
    <t>Ringkasan Valuasi 31 Jul FG-056 (tidak ada transaksi 1 Agu–30 Sep → saldo konstan)</t>
  </si>
  <si>
    <t>FG-057</t>
  </si>
  <si>
    <t>Ringkasan Valuasi 31 Jul FG-057 (tidak ada transaksi 1 Agu–30 Sep → saldo konstan)</t>
  </si>
  <si>
    <t>FG-081</t>
  </si>
  <si>
    <t>Ringkasan Valuasi 31 Jul FG-081 (tidak ada transaksi 1 Agu–30 Sep → saldo konstan)</t>
  </si>
  <si>
    <t>FG-140</t>
  </si>
  <si>
    <t>Pellet Ubi Ungu FG Kg- (1,2*1,5)</t>
  </si>
  <si>
    <t>Rincian Valuasi 1 Agu–30 Sep FG-140</t>
  </si>
  <si>
    <t>FG-151</t>
  </si>
  <si>
    <t>Ringkasan Valuasi 31 Jul FG-151 (tidak ada transaksi 1 Agu–30 Sep → saldo konstan)</t>
  </si>
  <si>
    <t>FG-152</t>
  </si>
  <si>
    <t>Ringkasan Valuasi 31 Jul FG-152 (tidak ada transaksi 1 Agu–30 Sep → saldo konstan)</t>
  </si>
  <si>
    <t>FG-158</t>
  </si>
  <si>
    <t>Pellet Ubi Orange - FG 15kg</t>
  </si>
  <si>
    <t>Rincian Valuasi 1 Agu–30 Sep FG-158</t>
  </si>
  <si>
    <t>FG-159</t>
  </si>
  <si>
    <t>Ringkasan Valuasi 31 Jul FG-159 (tidak ada transaksi 1 Agu–30 Sep → saldo konstan)</t>
  </si>
  <si>
    <t>FG-160</t>
  </si>
  <si>
    <t>Ringkasan Valuasi 31 Jul FG-160 (tidak ada transaksi 1 Agu–30 Sep → saldo konstan)</t>
  </si>
  <si>
    <t>FG-179</t>
  </si>
  <si>
    <t>Pellet Maxi</t>
  </si>
  <si>
    <t>Rincian Valuasi 1 Agu–30 Sep FG-179</t>
  </si>
  <si>
    <t>FG-015</t>
  </si>
  <si>
    <t>2nd Grade Tawar</t>
  </si>
  <si>
    <t>Rincian Valuasi 1 Agu–30 Sep FG-015</t>
  </si>
  <si>
    <t>FG-041</t>
  </si>
  <si>
    <t>Umbiis Kerupuk Ubi Ungu 55gr</t>
  </si>
  <si>
    <t>Rincian Valuasi 1 Agu–30 Sep FG-041</t>
  </si>
  <si>
    <t>BUDGET ekstrak</t>
  </si>
  <si>
    <t>Angka budget dikosongkan sementara (permintaan user, Okt-26). Struktur baris dan header bulan dipertahankan.</t>
  </si>
  <si>
    <t>Baris MD</t>
  </si>
  <si>
    <t>Okt-26</t>
  </si>
  <si>
    <t>Nov-26</t>
  </si>
  <si>
    <t>Des-26</t>
  </si>
  <si>
    <t>Jan-27</t>
  </si>
  <si>
    <t>Feb-27</t>
  </si>
  <si>
    <t>Mar-27</t>
  </si>
  <si>
    <t>Apr-27</t>
  </si>
  <si>
    <t>Mei-27</t>
  </si>
  <si>
    <t>Jun-27</t>
  </si>
  <si>
    <t>Jul-27</t>
  </si>
  <si>
    <t>Agu-27</t>
  </si>
  <si>
    <t>Sep-27</t>
  </si>
  <si>
    <t>Okt-27</t>
  </si>
  <si>
    <t>Nov-27</t>
  </si>
  <si>
    <t>Des-27</t>
  </si>
  <si>
    <t>Flat Cassava Chips (FCC)</t>
  </si>
  <si>
    <t>MD411</t>
  </si>
  <si>
    <t>Premium / layak jual</t>
  </si>
  <si>
    <t>MD412</t>
  </si>
  <si>
    <t>MD413</t>
  </si>
  <si>
    <t>MD414</t>
  </si>
  <si>
    <t>WIP from Premium/Layak Jual</t>
  </si>
  <si>
    <t>MD417</t>
  </si>
  <si>
    <t>Target Volume Penjualan/Layak Jual</t>
  </si>
  <si>
    <t>MD418</t>
  </si>
  <si>
    <t>MD419</t>
  </si>
  <si>
    <t>MD420</t>
  </si>
  <si>
    <t>WIP</t>
  </si>
  <si>
    <t>MD421</t>
  </si>
  <si>
    <t>Target output Produksi</t>
  </si>
  <si>
    <t>MD424</t>
  </si>
  <si>
    <t>Overall yield singkong to Output</t>
  </si>
  <si>
    <t>MD425</t>
  </si>
  <si>
    <t>Total Kebutuhan equivalent to singkong kulit</t>
  </si>
  <si>
    <t>MD427</t>
  </si>
  <si>
    <t>Portion</t>
  </si>
  <si>
    <t>MD429</t>
  </si>
  <si>
    <t>MD430</t>
  </si>
  <si>
    <t>Avg Price</t>
  </si>
  <si>
    <t>MD431</t>
  </si>
  <si>
    <t>Total Singkong Kulit Premium Input</t>
  </si>
  <si>
    <t>MD433</t>
  </si>
  <si>
    <t>Portion - from overall singkong kulit</t>
  </si>
  <si>
    <t>MD435</t>
  </si>
  <si>
    <t>MD436</t>
  </si>
  <si>
    <t>MD437</t>
  </si>
  <si>
    <t>Total Singkong daging</t>
  </si>
  <si>
    <t>MD438</t>
  </si>
  <si>
    <t>Yield equivalent from singkong kulit to Daging</t>
  </si>
  <si>
    <t>MD441</t>
  </si>
  <si>
    <t>Yield target</t>
  </si>
  <si>
    <t>MD442</t>
  </si>
  <si>
    <t>MD443</t>
  </si>
  <si>
    <t>MD444</t>
  </si>
  <si>
    <t>MD446</t>
  </si>
  <si>
    <t>MD447</t>
  </si>
  <si>
    <t>MD449</t>
  </si>
  <si>
    <t>MD452</t>
  </si>
  <si>
    <t>MD453</t>
  </si>
  <si>
    <t>MD454</t>
  </si>
  <si>
    <t>Amonium Bicarbonate</t>
  </si>
  <si>
    <t>MD457</t>
  </si>
  <si>
    <t>MD458</t>
  </si>
  <si>
    <t>MD459</t>
  </si>
  <si>
    <t>MD462</t>
  </si>
  <si>
    <t>MD463</t>
  </si>
  <si>
    <t>MD464</t>
  </si>
  <si>
    <t>MD467</t>
  </si>
  <si>
    <t>MD468</t>
  </si>
  <si>
    <t>MD469</t>
  </si>
  <si>
    <t>MD472</t>
  </si>
  <si>
    <t>MD473</t>
  </si>
  <si>
    <t>MD474</t>
  </si>
  <si>
    <t>IFM Packaging</t>
  </si>
  <si>
    <t>MD477</t>
  </si>
  <si>
    <t>Total Cost</t>
  </si>
  <si>
    <t>MD479</t>
  </si>
  <si>
    <t>Singkong Kulit</t>
  </si>
  <si>
    <t>MD480</t>
  </si>
  <si>
    <t>Rendeman Kupas</t>
  </si>
  <si>
    <t>MD481</t>
  </si>
  <si>
    <t>Dikupas</t>
  </si>
  <si>
    <t>MD482</t>
  </si>
  <si>
    <t>Upah Kupas/KG</t>
  </si>
  <si>
    <t>MD483</t>
  </si>
  <si>
    <t>Total Upah Kupas</t>
  </si>
  <si>
    <t>MD485</t>
  </si>
  <si>
    <t>Grup A - tenaga kerja langsung</t>
  </si>
  <si>
    <t>MD486</t>
  </si>
  <si>
    <t>Grup B - tenaga kerja tidak langsung &amp; benefit</t>
  </si>
  <si>
    <t>MD487</t>
  </si>
  <si>
    <t>Grup C - energi &amp; utilitas pabrik</t>
  </si>
  <si>
    <t>MD488</t>
  </si>
  <si>
    <t>Grup D - pemeliharaan &amp; penyusutan mesin</t>
  </si>
  <si>
    <t>MD489</t>
  </si>
  <si>
    <t>Grup E - pabrik umum &amp; penyusutan inventaris</t>
  </si>
  <si>
    <t>MD102</t>
  </si>
  <si>
    <t>Monthly - Coast</t>
  </si>
  <si>
    <t>MD117</t>
  </si>
  <si>
    <t>MD134</t>
  </si>
  <si>
    <t>MD137</t>
  </si>
  <si>
    <t>Direct Labour</t>
  </si>
  <si>
    <t>MD138</t>
  </si>
  <si>
    <t>Indirect Labour</t>
  </si>
  <si>
    <t>MD142</t>
  </si>
  <si>
    <t>MD143</t>
  </si>
  <si>
    <t>MD184</t>
  </si>
  <si>
    <t>Grup A   Tenaga kerja langsung   [driver: upah langsung dibe</t>
  </si>
  <si>
    <t>MD185</t>
  </si>
  <si>
    <t>Grup B   Tenaga kerja tidak langsung, THR, pesangon &amp; jamsos</t>
  </si>
  <si>
    <t>MD186</t>
  </si>
  <si>
    <t>Grup C   Energi &amp; utilitas pabrik   [driver: volume produksi</t>
  </si>
  <si>
    <t>MD187</t>
  </si>
  <si>
    <t>Grup D   Pemeliharaan &amp; penyusutan mesin   [driver: biaya li</t>
  </si>
  <si>
    <t>MD188</t>
  </si>
  <si>
    <t>Grup E   Pabrik umum &amp; penyusutan inventaris   [driver: pema</t>
  </si>
  <si>
    <t>MD202</t>
  </si>
  <si>
    <t>Driver C - volume produksi</t>
  </si>
  <si>
    <t>MD203</t>
  </si>
  <si>
    <t xml:space="preserve">      Flat Chip Cassava</t>
  </si>
  <si>
    <t>MD207</t>
  </si>
  <si>
    <t>Driver D - biaya listrik &amp; air dibebankan di kartu</t>
  </si>
  <si>
    <t>MD208</t>
  </si>
  <si>
    <t>MD212</t>
  </si>
  <si>
    <t>Driver E - pemakaian bahan baku</t>
  </si>
  <si>
    <t>MD213</t>
  </si>
  <si>
    <t>MD507</t>
  </si>
  <si>
    <t>Total Production Cost</t>
  </si>
  <si>
    <t>MD534</t>
  </si>
  <si>
    <t>Keluar - KW 2</t>
  </si>
  <si>
    <t>MD535</t>
  </si>
  <si>
    <t>Keluar - waste</t>
  </si>
  <si>
    <t>MD543</t>
  </si>
  <si>
    <t>Flat Chip Cassava - WA WIP (Rp/kg, setelah KW 2 di NRV)</t>
  </si>
  <si>
    <t>MD544</t>
  </si>
  <si>
    <t>Flat Chip Cassava - WA FG (Rp/kg)</t>
  </si>
  <si>
    <t>MD564</t>
  </si>
  <si>
    <t>COGS - Delivered to customer</t>
  </si>
  <si>
    <t>MD565</t>
  </si>
  <si>
    <t>COGS - Waste</t>
  </si>
  <si>
    <t>MD566</t>
  </si>
  <si>
    <t>total COGS</t>
  </si>
  <si>
    <t>MD204</t>
  </si>
  <si>
    <t xml:space="preserve">      Ubi Ungu</t>
  </si>
  <si>
    <t>MD205</t>
  </si>
  <si>
    <t xml:space="preserve">      Ubi Orange</t>
  </si>
  <si>
    <t>Grup A diselaraskan: DL operator + THR 1/12 + BPJS DL, porsi volume</t>
  </si>
  <si>
    <t>Grup B diselaraskan: support + staf + THR + BPJS IDL, porsi volume</t>
  </si>
  <si>
    <t>Cek: A + B diselaraskan − pool A + B budget (harus nol)</t>
  </si>
  <si>
    <t>Ubi Ungu IFM (QKSP)</t>
  </si>
  <si>
    <t>MD572</t>
  </si>
  <si>
    <t>MD573</t>
  </si>
  <si>
    <t>MD574</t>
  </si>
  <si>
    <t>MD578</t>
  </si>
  <si>
    <t>MD579</t>
  </si>
  <si>
    <t>MD580</t>
  </si>
  <si>
    <t>MD581</t>
  </si>
  <si>
    <t>MD582</t>
  </si>
  <si>
    <t>MD586</t>
  </si>
  <si>
    <t>MD587</t>
  </si>
  <si>
    <t>MD589</t>
  </si>
  <si>
    <t>Total Ubi Ungu</t>
  </si>
  <si>
    <t>MD598</t>
  </si>
  <si>
    <t>MD600</t>
  </si>
  <si>
    <t>MD603</t>
  </si>
  <si>
    <t>MD605</t>
  </si>
  <si>
    <t>MD608</t>
  </si>
  <si>
    <t>MD610</t>
  </si>
  <si>
    <t>MD613</t>
  </si>
  <si>
    <t>MD615</t>
  </si>
  <si>
    <t>MD618</t>
  </si>
  <si>
    <t>MD620</t>
  </si>
  <si>
    <t>HDPE 0,06</t>
  </si>
  <si>
    <t>MD623</t>
  </si>
  <si>
    <t>MD625</t>
  </si>
  <si>
    <t>MD628</t>
  </si>
  <si>
    <t>MD630</t>
  </si>
  <si>
    <t>MD633</t>
  </si>
  <si>
    <t>MD637</t>
  </si>
  <si>
    <t>MD639</t>
  </si>
  <si>
    <t>Upah Kupas</t>
  </si>
  <si>
    <t>MD641</t>
  </si>
  <si>
    <t>MD642</t>
  </si>
  <si>
    <t>MD643</t>
  </si>
  <si>
    <t>MD644</t>
  </si>
  <si>
    <t>MD645</t>
  </si>
  <si>
    <t>MD663</t>
  </si>
  <si>
    <t>MD699</t>
  </si>
  <si>
    <t>Ubi Ungu - WA WIP (Rp/kg, setelah KW 2 di NRV)</t>
  </si>
  <si>
    <t>MD700</t>
  </si>
  <si>
    <t>Ubi Ungu - WA FG (Rp/kg)</t>
  </si>
  <si>
    <t>MD722</t>
  </si>
  <si>
    <t>Ubi Orange IFM (QKSO)</t>
  </si>
  <si>
    <t>MD735</t>
  </si>
  <si>
    <t>MD736</t>
  </si>
  <si>
    <t>MD737</t>
  </si>
  <si>
    <t>MD741</t>
  </si>
  <si>
    <t>Target volume penjualan/Layak Jual</t>
  </si>
  <si>
    <t>MD742</t>
  </si>
  <si>
    <t>MD743</t>
  </si>
  <si>
    <t>MD744</t>
  </si>
  <si>
    <t>MD745</t>
  </si>
  <si>
    <t>MD750</t>
  </si>
  <si>
    <t>MD751</t>
  </si>
  <si>
    <t>MD753</t>
  </si>
  <si>
    <t>Total Ubi Orange</t>
  </si>
  <si>
    <t>MD762</t>
  </si>
  <si>
    <t>MD764</t>
  </si>
  <si>
    <t>MD767</t>
  </si>
  <si>
    <t>MD769</t>
  </si>
  <si>
    <t>MD772</t>
  </si>
  <si>
    <t>MD774</t>
  </si>
  <si>
    <t>MD777</t>
  </si>
  <si>
    <t>MD779</t>
  </si>
  <si>
    <t>MD782</t>
  </si>
  <si>
    <t>MD784</t>
  </si>
  <si>
    <t>MD787</t>
  </si>
  <si>
    <t>MD789</t>
  </si>
  <si>
    <t>MD792</t>
  </si>
  <si>
    <t>MD794</t>
  </si>
  <si>
    <t>MD797</t>
  </si>
  <si>
    <t>MD801</t>
  </si>
  <si>
    <t>MD803</t>
  </si>
  <si>
    <t>MD805</t>
  </si>
  <si>
    <t>MD806</t>
  </si>
  <si>
    <t>MD807</t>
  </si>
  <si>
    <t>MD808</t>
  </si>
  <si>
    <t>MD809</t>
  </si>
  <si>
    <t>MD827</t>
  </si>
  <si>
    <t>MD863</t>
  </si>
  <si>
    <t>Ubi Orange - WA WIP (Rp/kg, setelah KW 2 di NRV)</t>
  </si>
  <si>
    <t>MD864</t>
  </si>
  <si>
    <t>Ubi Orange - WA FG (Rp/kg)</t>
  </si>
  <si>
    <t>MD886</t>
  </si>
  <si>
    <t>MD949</t>
  </si>
  <si>
    <t>Total Cost of Manufacturing</t>
  </si>
  <si>
    <t>MD955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</si>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</sst>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#,##0.0;\(#,##0.0\);\-"/>
    <numFmt numFmtId="166" formatCode="0.0%;\(0.0%\);\-"/>
    <numFmt numFmtId="167" formatCode="#,##0.00;\(#,##0.00\);\-"/>
    <numFmt numFmtId="168" formatCode="0.000;\(0.000\);\-"/>
    <numFmt numFmtId="169" formatCode="0.000"/>
    <numFmt numFmtId="170" formatCode="0.00;\(0.00\);\-"/>
    <numFmt numFmtId="171" formatCode="0.000000"/>
  </numFmts>
  <fonts count="31" x14ac:knownFonts="1">
    <font>
      <sz val="11"/>
      <color theme="1"/>
      <name val="Calibri"/>
      <family val="2"/>
      <charset val="1"/>
    </font>
    <font>
      <b/>
      <sz val="13"/>
      <color rgb="FF0000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name val="Arial"/>
      <charset val="1"/>
    </font>
    <font>
      <b/>
      <sz val="10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8000"/>
      <name val="Arial"/>
      <family val="2"/>
      <charset val="1"/>
    </font>
    <font>
      <b/>
      <sz val="9"/>
      <color rgb="FF008000"/>
      <name val="Arial"/>
      <family val="2"/>
      <charset val="1"/>
    </font>
    <font>
      <b/>
      <sz val="10"/>
      <name val="Arial"/>
      <charset val="1"/>
    </font>
    <font>
      <b/>
      <sz val="9"/>
      <color rgb="FFFFFFFF"/>
      <name val="Arial"/>
      <charset val="1"/>
    </font>
    <font>
      <b/>
      <i/>
      <sz val="9"/>
      <name val="Arial"/>
      <charset val="1"/>
    </font>
    <font>
      <sz val="9"/>
      <color rgb="FF008000"/>
      <name val="Arial"/>
      <charset val="1"/>
    </font>
    <font>
      <b/>
      <sz val="9"/>
      <name val="Arial"/>
      <charset val="1"/>
    </font>
    <font>
      <sz val="8"/>
      <name val="Arial"/>
      <charset val="1"/>
    </font>
    <font>
      <sz val="9"/>
      <color rgb="FF0000FF"/>
      <name val="Arial"/>
      <charset val="1"/>
    </font>
    <font>
      <sz val="9"/>
      <color rgb="FF0000FF"/>
      <name val="Arial"/>
      <family val="2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000000"/>
      <name val="Arial"/>
      <charset val="1"/>
    </font>
    <font>
      <b/>
      <sz val="13"/>
      <color rgb="FF000000"/>
      <name val="Arial"/>
      <charset val="1"/>
    </font>
    <font>
      <i/>
      <sz val="8"/>
      <color rgb="FF000000"/>
      <name val="Arial"/>
      <charset val="1"/>
    </font>
    <font>
      <i/>
      <sz val="8"/>
      <color rgb="FFC00000"/>
      <name val="Arial"/>
      <charset val="1"/>
    </font>
    <font>
      <b/>
      <sz val="11"/>
      <color rgb="FF000000"/>
      <name val="Arial"/>
      <charset val="1"/>
    </font>
    <font>
      <i/>
      <sz val="9"/>
      <color rgb="FF000000"/>
      <name val="Arial"/>
      <charset val="1"/>
    </font>
    <font>
      <i/>
      <sz val="9"/>
      <color rgb="FF008000"/>
      <name val="Arial"/>
      <charset val="1"/>
    </font>
    <font>
      <b/>
      <sz val="13"/>
      <name val="Arial"/>
      <charset val="1"/>
    </font>
    <font>
      <i/>
      <sz val="9"/>
      <name val="Arial"/>
      <charset val="1"/>
    </font>
    <font>
      <i/>
      <sz val="9"/>
      <color rgb="FFC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20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164" fontId="8" fillId="0" borderId="0" xfId="0" applyNumberFormat="1" applyFont="1"/>
    <xf numFmtId="165" fontId="9" fillId="0" borderId="0" xfId="0" applyNumberFormat="1" applyFont="1"/>
    <xf numFmtId="165" fontId="8" fillId="0" borderId="0" xfId="0" applyNumberFormat="1" applyFont="1"/>
    <xf numFmtId="166" fontId="8" fillId="0" borderId="0" xfId="0" applyNumberFormat="1" applyFont="1"/>
    <xf numFmtId="0" fontId="8" fillId="0" borderId="0" xfId="0" applyFont="1" applyAlignment="1">
      <alignment horizontal="center"/>
    </xf>
    <xf numFmtId="0" fontId="10" fillId="2" borderId="0" xfId="0" applyFont="1" applyFill="1"/>
    <xf numFmtId="0" fontId="1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4" borderId="0" xfId="0" applyFont="1" applyFill="1"/>
    <xf numFmtId="0" fontId="0" fillId="4" borderId="0" xfId="0" applyFill="1"/>
    <xf numFmtId="167" fontId="13" fillId="0" borderId="0" xfId="0" applyNumberFormat="1" applyFont="1"/>
    <xf numFmtId="167" fontId="4" fillId="0" borderId="0" xfId="0" applyNumberFormat="1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vertical="top" wrapText="1"/>
    </xf>
    <xf numFmtId="167" fontId="13" fillId="0" borderId="0" xfId="0" applyNumberFormat="1" applyFont="1" applyAlignment="1">
      <alignment horizontal="right"/>
    </xf>
    <xf numFmtId="0" fontId="14" fillId="0" borderId="1" xfId="0" applyFont="1" applyBorder="1"/>
    <xf numFmtId="0" fontId="0" fillId="0" borderId="1" xfId="0" applyBorder="1"/>
    <xf numFmtId="0" fontId="14" fillId="0" borderId="1" xfId="0" applyFont="1" applyBorder="1" applyAlignment="1">
      <alignment horizontal="center"/>
    </xf>
    <xf numFmtId="0" fontId="11" fillId="3" borderId="0" xfId="0" applyFont="1" applyFill="1"/>
    <xf numFmtId="0" fontId="0" fillId="3" borderId="0" xfId="0" applyFill="1"/>
    <xf numFmtId="164" fontId="16" fillId="5" borderId="0" xfId="0" applyNumberFormat="1" applyFont="1" applyFill="1"/>
    <xf numFmtId="0" fontId="15" fillId="0" borderId="0" xfId="0" applyFont="1"/>
    <xf numFmtId="0" fontId="17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1" fontId="7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/>
    <xf numFmtId="0" fontId="3" fillId="4" borderId="2" xfId="0" applyFont="1" applyFill="1" applyBorder="1"/>
    <xf numFmtId="165" fontId="3" fillId="4" borderId="2" xfId="0" applyNumberFormat="1" applyFont="1" applyFill="1" applyBorder="1"/>
    <xf numFmtId="164" fontId="3" fillId="4" borderId="2" xfId="0" applyNumberFormat="1" applyFont="1" applyFill="1" applyBorder="1"/>
    <xf numFmtId="166" fontId="7" fillId="0" borderId="0" xfId="0" applyNumberFormat="1" applyFont="1"/>
    <xf numFmtId="165" fontId="3" fillId="0" borderId="0" xfId="0" applyNumberFormat="1" applyFont="1"/>
    <xf numFmtId="0" fontId="0" fillId="4" borderId="2" xfId="0" applyFill="1" applyBorder="1"/>
    <xf numFmtId="167" fontId="7" fillId="0" borderId="0" xfId="0" applyNumberFormat="1" applyFont="1"/>
    <xf numFmtId="164" fontId="13" fillId="0" borderId="0" xfId="0" applyNumberFormat="1" applyFont="1"/>
    <xf numFmtId="168" fontId="7" fillId="0" borderId="0" xfId="0" applyNumberFormat="1" applyFont="1"/>
    <xf numFmtId="167" fontId="3" fillId="0" borderId="0" xfId="0" applyNumberFormat="1" applyFont="1"/>
    <xf numFmtId="1" fontId="7" fillId="0" borderId="0" xfId="0" applyNumberFormat="1" applyFont="1" applyAlignment="1">
      <alignment horizontal="center"/>
    </xf>
    <xf numFmtId="165" fontId="17" fillId="0" borderId="0" xfId="0" applyNumberFormat="1" applyFont="1"/>
    <xf numFmtId="1" fontId="7" fillId="4" borderId="2" xfId="0" applyNumberFormat="1" applyFont="1" applyFill="1" applyBorder="1" applyAlignment="1">
      <alignment horizontal="center"/>
    </xf>
    <xf numFmtId="165" fontId="17" fillId="5" borderId="0" xfId="0" applyNumberFormat="1" applyFont="1" applyFill="1"/>
    <xf numFmtId="164" fontId="17" fillId="5" borderId="0" xfId="0" applyNumberFormat="1" applyFont="1" applyFill="1"/>
    <xf numFmtId="165" fontId="16" fillId="5" borderId="0" xfId="0" applyNumberFormat="1" applyFont="1" applyFill="1"/>
    <xf numFmtId="167" fontId="17" fillId="5" borderId="0" xfId="0" applyNumberFormat="1" applyFont="1" applyFill="1"/>
    <xf numFmtId="168" fontId="17" fillId="5" borderId="0" xfId="0" applyNumberFormat="1" applyFont="1" applyFill="1"/>
    <xf numFmtId="167" fontId="17" fillId="6" borderId="0" xfId="0" applyNumberFormat="1" applyFont="1" applyFill="1"/>
    <xf numFmtId="0" fontId="14" fillId="0" borderId="0" xfId="0" applyFont="1"/>
    <xf numFmtId="165" fontId="8" fillId="5" borderId="0" xfId="0" applyNumberFormat="1" applyFont="1" applyFill="1"/>
    <xf numFmtId="164" fontId="8" fillId="5" borderId="0" xfId="0" applyNumberFormat="1" applyFont="1" applyFill="1"/>
    <xf numFmtId="0" fontId="18" fillId="2" borderId="0" xfId="0" applyFont="1" applyFill="1"/>
    <xf numFmtId="0" fontId="19" fillId="0" borderId="0" xfId="0" applyFont="1"/>
    <xf numFmtId="164" fontId="19" fillId="0" borderId="0" xfId="0" applyNumberFormat="1" applyFont="1"/>
    <xf numFmtId="166" fontId="19" fillId="0" borderId="0" xfId="0" applyNumberFormat="1" applyFont="1"/>
    <xf numFmtId="0" fontId="13" fillId="0" borderId="0" xfId="0" applyFont="1"/>
    <xf numFmtId="0" fontId="20" fillId="0" borderId="0" xfId="0" applyFont="1"/>
    <xf numFmtId="0" fontId="21" fillId="0" borderId="1" xfId="0" applyFont="1" applyBorder="1"/>
    <xf numFmtId="167" fontId="21" fillId="0" borderId="1" xfId="0" applyNumberFormat="1" applyFont="1" applyBorder="1"/>
    <xf numFmtId="164" fontId="21" fillId="0" borderId="1" xfId="0" applyNumberFormat="1" applyFont="1" applyBorder="1"/>
    <xf numFmtId="166" fontId="21" fillId="0" borderId="1" xfId="0" applyNumberFormat="1" applyFont="1" applyBorder="1"/>
    <xf numFmtId="0" fontId="21" fillId="0" borderId="0" xfId="0" applyFont="1"/>
    <xf numFmtId="167" fontId="19" fillId="0" borderId="0" xfId="0" applyNumberFormat="1" applyFont="1"/>
    <xf numFmtId="0" fontId="22" fillId="0" borderId="0" xfId="0" applyFont="1"/>
    <xf numFmtId="0" fontId="23" fillId="0" borderId="0" xfId="0" applyFont="1"/>
    <xf numFmtId="167" fontId="21" fillId="0" borderId="0" xfId="0" applyNumberFormat="1" applyFont="1"/>
    <xf numFmtId="166" fontId="21" fillId="0" borderId="0" xfId="0" applyNumberFormat="1" applyFont="1"/>
    <xf numFmtId="169" fontId="19" fillId="0" borderId="0" xfId="0" applyNumberFormat="1" applyFont="1"/>
    <xf numFmtId="164" fontId="21" fillId="0" borderId="0" xfId="0" applyNumberFormat="1" applyFont="1"/>
    <xf numFmtId="10" fontId="19" fillId="0" borderId="0" xfId="0" applyNumberFormat="1" applyFont="1"/>
    <xf numFmtId="164" fontId="19" fillId="0" borderId="1" xfId="0" applyNumberFormat="1" applyFont="1" applyBorder="1"/>
    <xf numFmtId="167" fontId="16" fillId="5" borderId="0" xfId="0" applyNumberFormat="1" applyFont="1" applyFill="1"/>
    <xf numFmtId="0" fontId="24" fillId="0" borderId="0" xfId="0" applyFont="1"/>
    <xf numFmtId="164" fontId="17" fillId="0" borderId="0" xfId="0" applyNumberFormat="1" applyFont="1"/>
    <xf numFmtId="164" fontId="3" fillId="0" borderId="0" xfId="0" applyNumberFormat="1" applyFont="1"/>
    <xf numFmtId="1" fontId="17" fillId="6" borderId="0" xfId="0" applyNumberFormat="1" applyFont="1" applyFill="1"/>
    <xf numFmtId="166" fontId="3" fillId="4" borderId="2" xfId="0" applyNumberFormat="1" applyFont="1" applyFill="1" applyBorder="1"/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25" fillId="0" borderId="0" xfId="0" applyFont="1"/>
    <xf numFmtId="165" fontId="19" fillId="0" borderId="0" xfId="0" applyNumberFormat="1" applyFont="1"/>
    <xf numFmtId="0" fontId="21" fillId="0" borderId="0" xfId="0" applyFont="1" applyAlignment="1">
      <alignment horizontal="center"/>
    </xf>
    <xf numFmtId="168" fontId="19" fillId="0" borderId="0" xfId="0" applyNumberFormat="1" applyFont="1"/>
    <xf numFmtId="0" fontId="19" fillId="3" borderId="0" xfId="0" applyFont="1" applyFill="1" applyAlignment="1">
      <alignment horizontal="center" vertical="center" wrapText="1"/>
    </xf>
    <xf numFmtId="166" fontId="16" fillId="5" borderId="0" xfId="0" applyNumberFormat="1" applyFont="1" applyFill="1"/>
    <xf numFmtId="170" fontId="19" fillId="0" borderId="0" xfId="0" applyNumberFormat="1" applyFont="1"/>
    <xf numFmtId="170" fontId="21" fillId="0" borderId="0" xfId="0" applyNumberFormat="1" applyFont="1"/>
    <xf numFmtId="0" fontId="19" fillId="0" borderId="0" xfId="0" applyFont="1" applyAlignment="1">
      <alignment horizontal="center"/>
    </xf>
    <xf numFmtId="0" fontId="20" fillId="0" borderId="1" xfId="0" applyFont="1" applyBorder="1"/>
    <xf numFmtId="170" fontId="21" fillId="0" borderId="1" xfId="0" applyNumberFormat="1" applyFont="1" applyBorder="1"/>
    <xf numFmtId="0" fontId="26" fillId="0" borderId="0" xfId="0" applyFont="1"/>
    <xf numFmtId="170" fontId="27" fillId="0" borderId="0" xfId="0" applyNumberFormat="1" applyFont="1"/>
    <xf numFmtId="171" fontId="19" fillId="0" borderId="0" xfId="0" applyNumberFormat="1" applyFont="1"/>
    <xf numFmtId="0" fontId="28" fillId="0" borderId="0" xfId="0" applyFont="1"/>
    <xf numFmtId="0" fontId="29" fillId="0" borderId="0" xfId="0" applyFont="1"/>
    <xf numFmtId="167" fontId="16" fillId="0" borderId="0" xfId="0" applyNumberFormat="1" applyFont="1"/>
    <xf numFmtId="164" fontId="16" fillId="0" borderId="0" xfId="0" applyNumberFormat="1" applyFont="1"/>
    <xf numFmtId="164" fontId="14" fillId="0" borderId="1" xfId="0" applyNumberFormat="1" applyFont="1" applyBorder="1"/>
    <xf numFmtId="164" fontId="19" fillId="0" borderId="0" xfId="0" applyNumberFormat="1" applyFont="1" applyAlignment="1">
      <alignment horizontal="center"/>
    </xf>
    <xf numFmtId="0" fontId="16" fillId="5" borderId="0" xfId="0" applyFont="1" applyFill="1" applyAlignment="1">
      <alignment horizontal="center"/>
    </xf>
    <xf numFmtId="0" fontId="30" fillId="0" borderId="0" xfId="0" applyFont="1"/>
    <xf numFmtId="168" fontId="1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GP margin GL Agu → Sep 2026 (pp)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'BRIDGE GP'!$C$160</c:f>
              <c:strCache>
                <c:ptCount val="1"/>
                <c:pt idx="0">
                  <c:v>Dasar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'BRIDGE GP'!$A$161:$A$170</c:f>
              <c:strCache>
                <c:ptCount val="10"/>
                <c:pt idx="0">
                  <c:v>Margin Agu</c:v>
                </c:pt>
                <c:pt idx="1">
                  <c:v>Harga jual rata-rata</c:v>
                </c:pt>
                <c:pt idx="2">
                  <c:v>Volume, mix &amp; persediaan</c:v>
                </c:pt>
                <c:pt idx="3">
                  <c:v>Material FCC</c:v>
                </c:pt>
                <c:pt idx="4">
                  <c:v>Konversi variabel</c:v>
                </c:pt>
                <c:pt idx="5">
                  <c:v>Tetap: efek volume</c:v>
                </c:pt>
                <c:pt idx="6">
                  <c:v>Tetap: belanja</c:v>
                </c:pt>
                <c:pt idx="7">
                  <c:v>GL lain</c:v>
                </c:pt>
                <c:pt idx="8">
                  <c:v>Waktu pencatatan</c:v>
                </c:pt>
                <c:pt idx="9">
                  <c:v>Margin Sep</c:v>
                </c:pt>
              </c:strCache>
            </c:strRef>
          </c:cat>
          <c:val>
            <c:numRef>
              <c:f>'BRIDGE GP'!$C$161:$C$170</c:f>
              <c:numCache>
                <c:formatCode>0.00;\(0.00\);\-</c:formatCode>
                <c:ptCount val="10"/>
                <c:pt idx="0">
                  <c:v>0</c:v>
                </c:pt>
                <c:pt idx="1">
                  <c:v>19.309999999999999</c:v>
                </c:pt>
                <c:pt idx="2">
                  <c:v>19.309999999999999</c:v>
                </c:pt>
                <c:pt idx="3">
                  <c:v>18.510000000000002</c:v>
                </c:pt>
                <c:pt idx="4">
                  <c:v>16.96</c:v>
                </c:pt>
                <c:pt idx="5">
                  <c:v>14.52</c:v>
                </c:pt>
                <c:pt idx="6">
                  <c:v>14.26</c:v>
                </c:pt>
                <c:pt idx="7">
                  <c:v>14.26</c:v>
                </c:pt>
                <c:pt idx="8">
                  <c:v>14.57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7-4DF9-BCA0-A2286951A6A3}"/>
            </c:ext>
          </c:extLst>
        </c:ser>
        <c:ser>
          <c:idx val="1"/>
          <c:order val="1"/>
          <c:tx>
            <c:strRef>
              <c:f>'BRIDGE GP'!$D$160</c:f>
              <c:strCache>
                <c:ptCount val="1"/>
                <c:pt idx="0">
                  <c:v>Naik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'BRIDGE GP'!$A$161:$A$170</c:f>
              <c:strCache>
                <c:ptCount val="10"/>
                <c:pt idx="0">
                  <c:v>Margin Agu</c:v>
                </c:pt>
                <c:pt idx="1">
                  <c:v>Harga jual rata-rata</c:v>
                </c:pt>
                <c:pt idx="2">
                  <c:v>Volume, mix &amp; persediaan</c:v>
                </c:pt>
                <c:pt idx="3">
                  <c:v>Material FCC</c:v>
                </c:pt>
                <c:pt idx="4">
                  <c:v>Konversi variabel</c:v>
                </c:pt>
                <c:pt idx="5">
                  <c:v>Tetap: efek volume</c:v>
                </c:pt>
                <c:pt idx="6">
                  <c:v>Tetap: belanja</c:v>
                </c:pt>
                <c:pt idx="7">
                  <c:v>GL lain</c:v>
                </c:pt>
                <c:pt idx="8">
                  <c:v>Waktu pencatatan</c:v>
                </c:pt>
                <c:pt idx="9">
                  <c:v>Margin Sep</c:v>
                </c:pt>
              </c:strCache>
            </c:strRef>
          </c:cat>
          <c:val>
            <c:numRef>
              <c:f>'BRIDGE GP'!$D$161:$D$170</c:f>
              <c:numCache>
                <c:formatCode>0.00;\(0.00\);\-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7-4DF9-BCA0-A2286951A6A3}"/>
            </c:ext>
          </c:extLst>
        </c:ser>
        <c:ser>
          <c:idx val="2"/>
          <c:order val="2"/>
          <c:tx>
            <c:strRef>
              <c:f>'BRIDGE GP'!$E$160</c:f>
              <c:strCache>
                <c:ptCount val="1"/>
                <c:pt idx="0">
                  <c:v>Turun</c:v>
                </c:pt>
              </c:strCache>
            </c:strRef>
          </c:tx>
          <c:spPr>
            <a:solidFill>
              <a:srgbClr val="C62828"/>
            </a:solidFill>
            <a:ln w="0">
              <a:solidFill>
                <a:srgbClr val="C6282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'BRIDGE GP'!$A$161:$A$170</c:f>
              <c:strCache>
                <c:ptCount val="10"/>
                <c:pt idx="0">
                  <c:v>Margin Agu</c:v>
                </c:pt>
                <c:pt idx="1">
                  <c:v>Harga jual rata-rata</c:v>
                </c:pt>
                <c:pt idx="2">
                  <c:v>Volume, mix &amp; persediaan</c:v>
                </c:pt>
                <c:pt idx="3">
                  <c:v>Material FCC</c:v>
                </c:pt>
                <c:pt idx="4">
                  <c:v>Konversi variabel</c:v>
                </c:pt>
                <c:pt idx="5">
                  <c:v>Tetap: efek volume</c:v>
                </c:pt>
                <c:pt idx="6">
                  <c:v>Tetap: belanja</c:v>
                </c:pt>
                <c:pt idx="7">
                  <c:v>GL lain</c:v>
                </c:pt>
                <c:pt idx="8">
                  <c:v>Waktu pencatatan</c:v>
                </c:pt>
                <c:pt idx="9">
                  <c:v>Margin Sep</c:v>
                </c:pt>
              </c:strCache>
            </c:strRef>
          </c:cat>
          <c:val>
            <c:numRef>
              <c:f>'BRIDGE GP'!$E$161:$E$170</c:f>
              <c:numCache>
                <c:formatCode>0.00;\(0.00\);\-</c:formatCode>
                <c:ptCount val="10"/>
                <c:pt idx="0">
                  <c:v>0</c:v>
                </c:pt>
                <c:pt idx="1">
                  <c:v>0.61</c:v>
                </c:pt>
                <c:pt idx="2">
                  <c:v>0</c:v>
                </c:pt>
                <c:pt idx="3">
                  <c:v>0.94</c:v>
                </c:pt>
                <c:pt idx="4">
                  <c:v>1.56</c:v>
                </c:pt>
                <c:pt idx="5">
                  <c:v>2.4300000000000002</c:v>
                </c:pt>
                <c:pt idx="6">
                  <c:v>0.26</c:v>
                </c:pt>
                <c:pt idx="7">
                  <c:v>0</c:v>
                </c:pt>
                <c:pt idx="8">
                  <c:v>1.85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67-4DF9-BCA0-A2286951A6A3}"/>
            </c:ext>
          </c:extLst>
        </c:ser>
        <c:ser>
          <c:idx val="3"/>
          <c:order val="3"/>
          <c:tx>
            <c:strRef>
              <c:f>'BRIDGE GP'!$F$160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'BRIDGE GP'!$A$161:$A$170</c:f>
              <c:strCache>
                <c:ptCount val="10"/>
                <c:pt idx="0">
                  <c:v>Margin Agu</c:v>
                </c:pt>
                <c:pt idx="1">
                  <c:v>Harga jual rata-rata</c:v>
                </c:pt>
                <c:pt idx="2">
                  <c:v>Volume, mix &amp; persediaan</c:v>
                </c:pt>
                <c:pt idx="3">
                  <c:v>Material FCC</c:v>
                </c:pt>
                <c:pt idx="4">
                  <c:v>Konversi variabel</c:v>
                </c:pt>
                <c:pt idx="5">
                  <c:v>Tetap: efek volume</c:v>
                </c:pt>
                <c:pt idx="6">
                  <c:v>Tetap: belanja</c:v>
                </c:pt>
                <c:pt idx="7">
                  <c:v>GL lain</c:v>
                </c:pt>
                <c:pt idx="8">
                  <c:v>Waktu pencatatan</c:v>
                </c:pt>
                <c:pt idx="9">
                  <c:v>Margin Sep</c:v>
                </c:pt>
              </c:strCache>
            </c:strRef>
          </c:cat>
          <c:val>
            <c:numRef>
              <c:f>'BRIDGE GP'!$F$161:$F$170</c:f>
              <c:numCache>
                <c:formatCode>0.00;\(0.00\);\-</c:formatCode>
                <c:ptCount val="10"/>
                <c:pt idx="0">
                  <c:v>19.920000000000002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67-4DF9-BCA0-A2286951A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7690292"/>
        <c:axId val="11711623"/>
      </c:barChart>
      <c:catAx>
        <c:axId val="37690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11623"/>
        <c:crosses val="autoZero"/>
        <c:auto val="1"/>
        <c:lblAlgn val="ctr"/>
        <c:lblOffset val="100"/>
        <c:noMultiLvlLbl val="0"/>
      </c:catAx>
      <c:valAx>
        <c:axId val="11711623"/>
        <c:scaling>
          <c:orientation val="minMax"/>
          <c:min val="1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\(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6902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104</xdr:row>
      <xdr:rowOff>0</xdr:rowOff>
    </xdr:from>
    <xdr:to>
      <xdr:col>17</xdr:col>
      <xdr:colOff>364680</xdr:colOff>
      <xdr:row>120</xdr:row>
      <xdr:rowOff>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showGridLines="0" zoomScaleNormal="100" workbookViewId="0">
      <selection activeCell="A37" sqref="A37"/>
    </sheetView>
  </sheetViews>
  <sheetFormatPr defaultColWidth="8.6328125" defaultRowHeight="14.5" x14ac:dyDescent="0.35"/>
  <cols>
    <col min="1" max="1" width="64" customWidth="1"/>
    <col min="2" max="8" width="14" customWidth="1"/>
    <col min="9" max="9" width="10" customWidth="1"/>
    <col min="10" max="10" width="80" customWidth="1"/>
  </cols>
  <sheetData>
    <row r="1" spans="1:9" ht="16.5" customHeight="1" x14ac:dyDescent="0.35">
      <c r="A1" s="4" t="s">
        <v>0</v>
      </c>
    </row>
    <row r="2" spans="1:9" ht="14.25" customHeight="1" x14ac:dyDescent="0.35">
      <c r="A2" s="5"/>
    </row>
    <row r="3" spans="1:9" ht="14.25" customHeight="1" x14ac:dyDescent="0.35">
      <c r="A3" s="6" t="s">
        <v>1</v>
      </c>
      <c r="C3" s="7" t="str">
        <f>IF(AND('REKON &amp; KONTROL'!$D$69="LULUS",$I$50="LULUS"),"LULUS","GAGAL")</f>
        <v>LULUS</v>
      </c>
    </row>
    <row r="4" spans="1:9" ht="14.25" customHeight="1" x14ac:dyDescent="0.35">
      <c r="A4" s="8" t="s">
        <v>2</v>
      </c>
      <c r="C4" s="6" t="str">
        <f>$I$50</f>
        <v>LULUS</v>
      </c>
    </row>
    <row r="5" spans="1:9" ht="14.25" customHeight="1" x14ac:dyDescent="0.35">
      <c r="A5" s="9" t="s">
        <v>3</v>
      </c>
      <c r="B5" s="10"/>
      <c r="C5" s="10"/>
      <c r="D5" s="10"/>
      <c r="E5" s="10"/>
      <c r="F5" s="10"/>
      <c r="G5" s="10"/>
      <c r="H5" s="10"/>
      <c r="I5" s="10"/>
    </row>
    <row r="6" spans="1:9" ht="24" customHeight="1" x14ac:dyDescent="0.35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</row>
    <row r="7" spans="1:9" ht="14.25" customHeight="1" x14ac:dyDescent="0.35">
      <c r="A7" s="12" t="s">
        <v>10</v>
      </c>
      <c r="B7" s="13">
        <f>'REKON &amp; KONTROL'!B6</f>
        <v>236923</v>
      </c>
      <c r="C7" s="13">
        <f>'REKON &amp; KONTROL'!C6</f>
        <v>467.5</v>
      </c>
      <c r="D7" s="13">
        <f>'REKON &amp; KONTROL'!D6</f>
        <v>6715.5</v>
      </c>
      <c r="E7" s="13">
        <f>'REKON &amp; KONTROL'!E6</f>
        <v>45653.42</v>
      </c>
      <c r="F7" s="13">
        <f>'REKON &amp; KONTROL'!F6</f>
        <v>289759.42</v>
      </c>
    </row>
    <row r="8" spans="1:9" ht="14.25" customHeight="1" x14ac:dyDescent="0.35">
      <c r="A8" s="6" t="s">
        <v>11</v>
      </c>
      <c r="B8" s="14">
        <f>'REKON &amp; KONTROL'!B12</f>
        <v>5562.5684659577255</v>
      </c>
      <c r="C8" s="14">
        <f>'REKON &amp; KONTROL'!C12</f>
        <v>18.227720753086338</v>
      </c>
      <c r="D8" s="14">
        <f>'REKON &amp; KONTROL'!D12</f>
        <v>252.56660257611577</v>
      </c>
      <c r="E8" s="14">
        <f>'REKON &amp; KONTROL'!E12</f>
        <v>870.97807767200266</v>
      </c>
      <c r="F8" s="14">
        <f>'REKON &amp; KONTROL'!F12</f>
        <v>6704.3408669589317</v>
      </c>
    </row>
    <row r="9" spans="1:9" ht="14.25" customHeight="1" x14ac:dyDescent="0.35">
      <c r="A9" s="12" t="s">
        <v>12</v>
      </c>
      <c r="B9" s="13">
        <f>'REKON &amp; KONTROL'!B13</f>
        <v>23478.381018127093</v>
      </c>
      <c r="C9" s="13">
        <f>'REKON &amp; KONTROL'!C13</f>
        <v>38989.777011949387</v>
      </c>
      <c r="D9" s="13">
        <f>'REKON &amp; KONTROL'!D13</f>
        <v>37609.500793107851</v>
      </c>
      <c r="E9" s="13">
        <f>'REKON &amp; KONTROL'!E13</f>
        <v>19078.046675846032</v>
      </c>
      <c r="F9" s="13">
        <f>'REKON &amp; KONTROL'!F13</f>
        <v>23137.611425916479</v>
      </c>
    </row>
    <row r="10" spans="1:9" ht="14.25" customHeight="1" x14ac:dyDescent="0.35">
      <c r="A10" s="6" t="s">
        <v>13</v>
      </c>
      <c r="B10" s="14">
        <f>'REKON &amp; KONTROL'!B14</f>
        <v>5106.3121482576789</v>
      </c>
      <c r="C10" s="14">
        <f>'REKON &amp; KONTROL'!C14</f>
        <v>232.70641734778275</v>
      </c>
      <c r="D10" s="14">
        <f>'REKON &amp; KONTROL'!D14</f>
        <v>252.56660257611577</v>
      </c>
      <c r="E10" s="14">
        <f>'REKON &amp; KONTROL'!E14</f>
        <v>871.58172560754679</v>
      </c>
      <c r="F10" s="14">
        <f>'REKON &amp; KONTROL'!F14</f>
        <v>6463.1668937891245</v>
      </c>
    </row>
    <row r="11" spans="1:9" ht="14.25" customHeight="1" x14ac:dyDescent="0.35">
      <c r="A11" s="12" t="s">
        <v>14</v>
      </c>
      <c r="B11" s="15">
        <f>'REKON &amp; KONTROL'!B15</f>
        <v>5901.3131420700001</v>
      </c>
      <c r="C11" s="15">
        <f>'REKON &amp; KONTROL'!C15</f>
        <v>321.70049999999998</v>
      </c>
      <c r="D11" s="15">
        <f>'REKON &amp; KONTROL'!D15</f>
        <v>321.67245000000003</v>
      </c>
      <c r="E11" s="15">
        <f>'REKON &amp; KONTROL'!E15</f>
        <v>917.67406059000007</v>
      </c>
      <c r="F11" s="15">
        <f>'REKON &amp; KONTROL'!F15</f>
        <v>7462.3601526600005</v>
      </c>
    </row>
    <row r="12" spans="1:9" ht="14.25" customHeight="1" x14ac:dyDescent="0.35">
      <c r="A12" s="12" t="s">
        <v>15</v>
      </c>
      <c r="B12" s="16">
        <f>'REKON &amp; KONTROL'!B16</f>
        <v>0.13471594790400485</v>
      </c>
      <c r="C12" s="16">
        <f>'REKON &amp; KONTROL'!C16</f>
        <v>0.2766364449300428</v>
      </c>
      <c r="D12" s="16">
        <f>'REKON &amp; KONTROL'!D16</f>
        <v>0.21483296882864619</v>
      </c>
      <c r="E12" s="16">
        <f>'REKON &amp; KONTROL'!E16</f>
        <v>5.0227348643612245E-2</v>
      </c>
      <c r="F12" s="16">
        <f>'REKON &amp; KONTROL'!F16</f>
        <v>0.13389775331531109</v>
      </c>
    </row>
    <row r="14" spans="1:9" ht="14.25" customHeight="1" x14ac:dyDescent="0.35">
      <c r="A14" s="9" t="s">
        <v>16</v>
      </c>
      <c r="B14" s="10"/>
      <c r="C14" s="10"/>
      <c r="D14" s="10"/>
      <c r="E14" s="10"/>
      <c r="F14" s="10"/>
      <c r="G14" s="10"/>
      <c r="H14" s="10"/>
      <c r="I14" s="10"/>
    </row>
    <row r="15" spans="1:9" ht="30" customHeight="1" x14ac:dyDescent="0.35">
      <c r="A15" s="11" t="s">
        <v>17</v>
      </c>
      <c r="B15" s="11" t="s">
        <v>18</v>
      </c>
      <c r="C15" s="11" t="s">
        <v>19</v>
      </c>
      <c r="D15" s="11" t="s">
        <v>20</v>
      </c>
      <c r="E15" s="11" t="s">
        <v>21</v>
      </c>
      <c r="F15" s="11" t="s">
        <v>22</v>
      </c>
      <c r="G15" s="11" t="s">
        <v>23</v>
      </c>
      <c r="H15" s="11" t="s">
        <v>24</v>
      </c>
      <c r="I15" s="11" t="s">
        <v>25</v>
      </c>
    </row>
    <row r="16" spans="1:9" ht="14.25" customHeight="1" x14ac:dyDescent="0.35">
      <c r="A16" s="12" t="s">
        <v>5</v>
      </c>
      <c r="B16" s="13">
        <f>FCC!F133</f>
        <v>23301.541011036181</v>
      </c>
      <c r="C16" s="13">
        <f>FCC!G133</f>
        <v>0</v>
      </c>
      <c r="D16" s="13">
        <f>FCC!H133</f>
        <v>23301.541011036181</v>
      </c>
      <c r="E16" s="13">
        <f>FCC!I133</f>
        <v>23958.869329838977</v>
      </c>
      <c r="F16" s="13">
        <f>FCC!J133</f>
        <v>40.796405917867119</v>
      </c>
      <c r="G16" s="13">
        <f>FCC!K133</f>
        <v>0</v>
      </c>
      <c r="H16" s="13">
        <f>FCC!L133</f>
        <v>-698.12472472066247</v>
      </c>
      <c r="I16" s="17" t="str">
        <f>FCC!$C$5</f>
        <v>Sep-26</v>
      </c>
    </row>
    <row r="17" spans="1:9" ht="14.25" customHeight="1" x14ac:dyDescent="0.35">
      <c r="A17" s="12" t="s">
        <v>26</v>
      </c>
      <c r="B17" s="13">
        <f>UU!F126</f>
        <v>38989.777011949387</v>
      </c>
      <c r="C17" s="13">
        <f>UU!G126</f>
        <v>0</v>
      </c>
      <c r="D17" s="13">
        <f>UU!H126</f>
        <v>38989.777011949387</v>
      </c>
      <c r="E17" s="13">
        <f>UU!I126</f>
        <v>32383.525494079207</v>
      </c>
      <c r="F17" s="13">
        <f>UU!J126</f>
        <v>74.749812960465292</v>
      </c>
      <c r="G17" s="13">
        <f>UU!K126</f>
        <v>0</v>
      </c>
      <c r="H17" s="13">
        <f>UU!L126</f>
        <v>6531.5017049097114</v>
      </c>
      <c r="I17" s="17" t="str">
        <f>UU!$C$5</f>
        <v>Sep-26</v>
      </c>
    </row>
    <row r="18" spans="1:9" ht="14.25" customHeight="1" x14ac:dyDescent="0.35">
      <c r="A18" s="12" t="s">
        <v>27</v>
      </c>
      <c r="B18" s="13">
        <f>UO!F122</f>
        <v>37609.500793107858</v>
      </c>
      <c r="C18" s="13">
        <f>UO!G122</f>
        <v>0</v>
      </c>
      <c r="D18" s="13">
        <f>UO!H122</f>
        <v>37609.500793107858</v>
      </c>
      <c r="E18" s="13">
        <f>UO!I122</f>
        <v>31682.571212191277</v>
      </c>
      <c r="F18" s="13">
        <f>UO!J122</f>
        <v>49.472883779758838</v>
      </c>
      <c r="G18" s="13">
        <f>UO!K122</f>
        <v>0</v>
      </c>
      <c r="H18" s="13">
        <f>UO!L122</f>
        <v>5877.4566971368167</v>
      </c>
      <c r="I18" s="17" t="str">
        <f>UO!$C$3</f>
        <v>Sep-26</v>
      </c>
    </row>
    <row r="19" spans="1:9" ht="14.25" customHeight="1" x14ac:dyDescent="0.35">
      <c r="A19" s="5"/>
    </row>
    <row r="21" spans="1:9" ht="14.25" customHeight="1" x14ac:dyDescent="0.35">
      <c r="A21" s="9" t="s">
        <v>28</v>
      </c>
      <c r="B21" s="10"/>
      <c r="C21" s="10"/>
      <c r="D21" s="10"/>
      <c r="E21" s="10"/>
      <c r="F21" s="10"/>
      <c r="G21" s="10"/>
      <c r="H21" s="10"/>
      <c r="I21" s="10"/>
    </row>
    <row r="22" spans="1:9" ht="19.5" customHeight="1" x14ac:dyDescent="0.35">
      <c r="A22" s="11" t="s">
        <v>4</v>
      </c>
      <c r="B22" s="11" t="s">
        <v>5</v>
      </c>
      <c r="C22" s="11" t="s">
        <v>6</v>
      </c>
      <c r="D22" s="11" t="s">
        <v>7</v>
      </c>
      <c r="E22" s="11"/>
      <c r="F22" s="11" t="s">
        <v>29</v>
      </c>
    </row>
    <row r="23" spans="1:9" ht="14.25" customHeight="1" x14ac:dyDescent="0.35">
      <c r="A23" s="12" t="s">
        <v>30</v>
      </c>
      <c r="B23" s="15">
        <f>FCC!$B$23</f>
        <v>155.53504963916546</v>
      </c>
      <c r="C23" s="15">
        <f>UU!$B$23</f>
        <v>0</v>
      </c>
      <c r="D23" s="15">
        <f>UO!$B$21</f>
        <v>0</v>
      </c>
      <c r="F23" s="5"/>
    </row>
    <row r="24" spans="1:9" ht="14.25" customHeight="1" x14ac:dyDescent="0.35">
      <c r="A24" s="12" t="s">
        <v>31</v>
      </c>
      <c r="B24" s="15">
        <f>FCC!$B$24</f>
        <v>74.121492822318984</v>
      </c>
      <c r="C24" s="15">
        <f>UU!$B$24</f>
        <v>0</v>
      </c>
      <c r="D24" s="15">
        <f>UO!$B$22</f>
        <v>0</v>
      </c>
      <c r="F24" s="5"/>
    </row>
    <row r="25" spans="1:9" ht="14.25" customHeight="1" x14ac:dyDescent="0.35">
      <c r="A25" s="12" t="s">
        <v>32</v>
      </c>
      <c r="B25" s="15">
        <f>(FCC!$E$79+FCC!$E$92-FCC!$E$72-FCC!$E$86)/10^6</f>
        <v>-111.45709958263851</v>
      </c>
      <c r="C25" s="15">
        <f>UU!$B$25</f>
        <v>-214.4786965946964</v>
      </c>
      <c r="D25" s="15">
        <f>(UO!$E$73+UO!$E$85-UO!$E$66-UO!$E$80)/10^6</f>
        <v>0</v>
      </c>
      <c r="F25" s="5"/>
    </row>
    <row r="26" spans="1:9" ht="14.25" customHeight="1" x14ac:dyDescent="0.35">
      <c r="A26" s="12" t="s">
        <v>33</v>
      </c>
      <c r="B26" s="15">
        <f>'BIAYA BERSAMA'!$C$109/10^6</f>
        <v>61.594632854149303</v>
      </c>
      <c r="C26" s="16">
        <f>'BIAYA BERSAMA'!$D$107</f>
        <v>0.13124381498072207</v>
      </c>
      <c r="F26" s="5"/>
    </row>
    <row r="28" spans="1:9" ht="14.25" customHeight="1" x14ac:dyDescent="0.35">
      <c r="A28" s="9" t="s">
        <v>34</v>
      </c>
      <c r="B28" s="10"/>
      <c r="C28" s="10"/>
      <c r="D28" s="10"/>
      <c r="E28" s="10"/>
      <c r="F28" s="10"/>
      <c r="G28" s="10"/>
      <c r="H28" s="10"/>
      <c r="I28" s="10"/>
    </row>
    <row r="29" spans="1:9" ht="14.25" customHeight="1" x14ac:dyDescent="0.35">
      <c r="A29" s="12" t="s">
        <v>35</v>
      </c>
      <c r="B29" s="15">
        <f>'REKON &amp; KONTROL'!$C$37</f>
        <v>6463.1668937891245</v>
      </c>
    </row>
    <row r="30" spans="1:9" ht="14.25" customHeight="1" x14ac:dyDescent="0.35">
      <c r="A30" s="12" t="s">
        <v>36</v>
      </c>
      <c r="B30" s="15">
        <f>'REKON &amp; KONTROL'!$C$38</f>
        <v>-121.14819029890805</v>
      </c>
    </row>
    <row r="31" spans="1:9" ht="14.25" customHeight="1" x14ac:dyDescent="0.35">
      <c r="A31" s="12" t="s">
        <v>37</v>
      </c>
      <c r="B31" s="15">
        <f>'REKON &amp; KONTROL'!$C$47</f>
        <v>82.766046787122036</v>
      </c>
    </row>
    <row r="32" spans="1:9" ht="14.25" customHeight="1" x14ac:dyDescent="0.35">
      <c r="A32" s="12" t="s">
        <v>38</v>
      </c>
      <c r="B32" s="15">
        <f>'REKON &amp; KONTROL'!$C$41</f>
        <v>-25.596895951567248</v>
      </c>
    </row>
    <row r="33" spans="1:10" ht="14.25" customHeight="1" x14ac:dyDescent="0.35">
      <c r="A33" s="12" t="s">
        <v>39</v>
      </c>
      <c r="B33" s="15">
        <f>'REKON &amp; KONTROL'!$C$43</f>
        <v>0</v>
      </c>
    </row>
    <row r="34" spans="1:10" ht="14.25" customHeight="1" x14ac:dyDescent="0.35">
      <c r="A34" s="6" t="s">
        <v>40</v>
      </c>
      <c r="B34" s="14">
        <f>'REKON &amp; KONTROL'!$C$45</f>
        <v>6375.4123043700001</v>
      </c>
    </row>
    <row r="35" spans="1:10" ht="14.25" customHeight="1" x14ac:dyDescent="0.35">
      <c r="A35" s="6" t="s">
        <v>41</v>
      </c>
      <c r="B35" s="14">
        <f>'REKON &amp; KONTROL'!$C$46</f>
        <v>7.2142292992793955E-6</v>
      </c>
    </row>
    <row r="37" spans="1:10" ht="14.25" customHeight="1" x14ac:dyDescent="0.35">
      <c r="A37" s="18" t="s">
        <v>42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25.5" customHeight="1" x14ac:dyDescent="0.35">
      <c r="A38" s="19" t="s">
        <v>4</v>
      </c>
      <c r="B38" s="20" t="s">
        <v>43</v>
      </c>
      <c r="C38" s="20" t="s">
        <v>44</v>
      </c>
      <c r="D38" s="20" t="s">
        <v>45</v>
      </c>
      <c r="E38" s="20" t="s">
        <v>46</v>
      </c>
      <c r="F38" s="20" t="s">
        <v>47</v>
      </c>
      <c r="G38" s="20" t="s">
        <v>48</v>
      </c>
      <c r="H38" s="20" t="s">
        <v>49</v>
      </c>
      <c r="I38" s="20" t="s">
        <v>50</v>
      </c>
      <c r="J38" s="19" t="s">
        <v>51</v>
      </c>
    </row>
    <row r="39" spans="1:10" ht="14.25" customHeight="1" x14ac:dyDescent="0.35">
      <c r="A39" s="21" t="s">
        <v>52</v>
      </c>
      <c r="B39" s="22"/>
      <c r="C39" s="22"/>
      <c r="D39" s="22"/>
      <c r="E39" s="22"/>
      <c r="F39" s="22"/>
      <c r="G39" s="22"/>
      <c r="H39" s="22"/>
      <c r="I39" s="22"/>
      <c r="J39" s="22"/>
    </row>
    <row r="40" spans="1:10" ht="33.75" customHeight="1" x14ac:dyDescent="0.35">
      <c r="A40" s="8" t="s">
        <v>53</v>
      </c>
      <c r="B40" s="23">
        <f>'REKON &amp; KONTROL'!$F$15</f>
        <v>7462.3601526600005</v>
      </c>
      <c r="C40" s="23">
        <f>'REKON &amp; KONTROL'!$C$73/10^6</f>
        <v>7462.3601526599996</v>
      </c>
      <c r="D40" s="24">
        <f>$B$58/10^6</f>
        <v>7462.3601526599996</v>
      </c>
      <c r="E40" s="24">
        <f>B40-C40</f>
        <v>0</v>
      </c>
      <c r="F40" s="24">
        <v>0</v>
      </c>
      <c r="G40" s="24">
        <f>E40-F40</f>
        <v>0</v>
      </c>
      <c r="H40" s="24">
        <f>C40-D40</f>
        <v>0</v>
      </c>
      <c r="I40" s="25" t="str">
        <f>IF(OR(ISERROR(G40),ISERROR(H40)),"GAGAL",IF(AND(ABS(G40)&lt;=0.001,ABS(H40)&lt;=0.001),"LULUS","GAGAL"))</f>
        <v>LULUS</v>
      </c>
      <c r="J40" s="26" t="s">
        <v>54</v>
      </c>
    </row>
    <row r="41" spans="1:10" ht="33.75" customHeight="1" x14ac:dyDescent="0.35">
      <c r="A41" s="8" t="s">
        <v>55</v>
      </c>
      <c r="B41" s="23">
        <f>'REKON &amp; KONTROL'!$B$28</f>
        <v>4496.366351534678</v>
      </c>
      <c r="C41" s="23">
        <f>'REKON MATERIAL'!$C$69/10^6</f>
        <v>4375.2181684500001</v>
      </c>
      <c r="D41" s="24">
        <f>$B$59/10^6</f>
        <v>4375.21816124</v>
      </c>
      <c r="E41" s="24">
        <f>B41-C41</f>
        <v>121.14818308467784</v>
      </c>
      <c r="F41" s="23">
        <f>-'REKON &amp; KONTROL'!$B$30</f>
        <v>121.14819029890805</v>
      </c>
      <c r="G41" s="24">
        <f>E41-F41</f>
        <v>-7.2142302087740973E-6</v>
      </c>
      <c r="H41" s="24">
        <f>C41-D41</f>
        <v>7.2100001489161514E-6</v>
      </c>
      <c r="I41" s="25" t="str">
        <f>IF(OR(ISERROR(G41),ISERROR(H41)),"GAGAL",IF(AND(ABS(G41)&lt;=0.001,ABS(H41)&lt;=0.001),"LULUS","GAGAL"))</f>
        <v>LULUS</v>
      </c>
      <c r="J41" s="26" t="s">
        <v>56</v>
      </c>
    </row>
    <row r="42" spans="1:10" ht="33.75" customHeight="1" x14ac:dyDescent="0.35">
      <c r="A42" s="8" t="s">
        <v>57</v>
      </c>
      <c r="B42" s="23">
        <f>'REKON &amp; KONTROL'!$F$9+'REKON &amp; KONTROL'!$F$10+'REKON &amp; KONTROL'!$F$11+'BIAYA BERSAMA'!$C$111/10^6</f>
        <v>1572.7667371900002</v>
      </c>
      <c r="C42" s="23">
        <f>'BIAYA BERSAMA'!$C$23/10^6</f>
        <v>1590.88864502</v>
      </c>
      <c r="D42" s="24">
        <f>$B$60/10^6</f>
        <v>1590.88864502</v>
      </c>
      <c r="E42" s="24">
        <f>B42-C42</f>
        <v>-18.121907829999827</v>
      </c>
      <c r="F42" s="23">
        <f>('BIAYA BERSAMA'!$C$157+'BIAYA BERSAMA'!$C$158)/10^6</f>
        <v>-18.121907829999998</v>
      </c>
      <c r="G42" s="24">
        <f>E42-F42</f>
        <v>1.7053025658242404E-13</v>
      </c>
      <c r="H42" s="24">
        <f>C42-D42</f>
        <v>0</v>
      </c>
      <c r="I42" s="25" t="str">
        <f>IF(OR(ISERROR(G42),ISERROR(H42)),"GAGAL",IF(AND(ABS(G42)&lt;=0.001,ABS(H42)&lt;=0.001),"LULUS","GAGAL"))</f>
        <v>LULUS</v>
      </c>
      <c r="J42" s="26" t="s">
        <v>58</v>
      </c>
    </row>
    <row r="43" spans="1:10" ht="33.75" customHeight="1" x14ac:dyDescent="0.35">
      <c r="A43" s="8" t="s">
        <v>13</v>
      </c>
      <c r="B43" s="23">
        <f>'REKON &amp; KONTROL'!$F$14</f>
        <v>6463.1668937891245</v>
      </c>
      <c r="C43" s="23">
        <f>'REKON &amp; KONTROL'!$C$45</f>
        <v>6375.4123043700001</v>
      </c>
      <c r="D43" s="24">
        <f>$B$61/10^6</f>
        <v>6375.4123043700001</v>
      </c>
      <c r="E43" s="24">
        <f>B43-C43</f>
        <v>87.754589419124386</v>
      </c>
      <c r="F43" s="23">
        <f>-SUM('REKON &amp; KONTROL'!$C$38:$C$43)</f>
        <v>87.754596633353273</v>
      </c>
      <c r="G43" s="24">
        <f>E43-F43</f>
        <v>-7.2142288871646088E-6</v>
      </c>
      <c r="H43" s="24">
        <f>C43-D43</f>
        <v>0</v>
      </c>
      <c r="I43" s="25" t="str">
        <f>IF(OR(ISERROR(G43),ISERROR(H43)),"GAGAL",IF(AND(ABS(G43)&lt;=0.001,ABS(H43)&lt;=0.001),"LULUS","GAGAL"))</f>
        <v>LULUS</v>
      </c>
      <c r="J43" s="26" t="s">
        <v>59</v>
      </c>
    </row>
    <row r="44" spans="1:10" ht="33.75" customHeight="1" x14ac:dyDescent="0.35">
      <c r="A44" s="8" t="s">
        <v>60</v>
      </c>
      <c r="B44" s="23">
        <f>'REKON &amp; KONTROL'!$F$15-'REKON &amp; KONTROL'!$F$14</f>
        <v>999.19325887087598</v>
      </c>
      <c r="C44" s="23">
        <f>'REKON &amp; KONTROL'!$C$73/10^6-'REKON &amp; KONTROL'!$C$45</f>
        <v>1086.9478482899995</v>
      </c>
      <c r="D44" s="24">
        <f>$B$58/10^6-$B$61/10^6</f>
        <v>1086.9478482899995</v>
      </c>
      <c r="E44" s="24">
        <f>B44-C44</f>
        <v>-87.754589419123477</v>
      </c>
      <c r="F44" s="23">
        <f>SUM('REKON &amp; KONTROL'!$C$38:$C$43)</f>
        <v>-87.754596633353273</v>
      </c>
      <c r="G44" s="24">
        <f>E44-F44</f>
        <v>7.2142297966593105E-6</v>
      </c>
      <c r="H44" s="24">
        <f>C44-D44</f>
        <v>0</v>
      </c>
      <c r="I44" s="25" t="str">
        <f>IF(OR(ISERROR(G44),ISERROR(H44)),"GAGAL",IF(AND(ABS(G44)&lt;=0.001,ABS(H44)&lt;=0.001),"LULUS","GAGAL"))</f>
        <v>LULUS</v>
      </c>
      <c r="J44" s="26" t="s">
        <v>61</v>
      </c>
    </row>
    <row r="45" spans="1:10" ht="14.25" customHeight="1" x14ac:dyDescent="0.35">
      <c r="A45" s="21" t="s">
        <v>62</v>
      </c>
      <c r="B45" s="22"/>
      <c r="C45" s="22"/>
      <c r="D45" s="22"/>
      <c r="E45" s="22"/>
      <c r="F45" s="22"/>
      <c r="G45" s="22"/>
      <c r="H45" s="22"/>
      <c r="I45" s="22"/>
      <c r="J45" s="22"/>
    </row>
    <row r="46" spans="1:10" ht="33.75" customHeight="1" x14ac:dyDescent="0.35">
      <c r="A46" s="8" t="s">
        <v>63</v>
      </c>
      <c r="B46" s="23">
        <f>'REKON MATERIAL'!$N$62/10^6</f>
        <v>826.03127561999963</v>
      </c>
      <c r="C46" s="23">
        <f>'REKON MATERIAL'!$C$70/10^6</f>
        <v>947.1794586900005</v>
      </c>
      <c r="D46" s="24">
        <f>$B$62/10^6</f>
        <v>947.17940289000001</v>
      </c>
      <c r="E46" s="24">
        <f>B46-C46</f>
        <v>-121.14818307000087</v>
      </c>
      <c r="F46" s="23">
        <f>'REKON &amp; KONTROL'!$B$30</f>
        <v>-121.14819029890805</v>
      </c>
      <c r="G46" s="24">
        <f>E46-F46</f>
        <v>7.2289071795239579E-6</v>
      </c>
      <c r="H46" s="24">
        <f>C46-D46</f>
        <v>5.5800000495764834E-5</v>
      </c>
      <c r="I46" s="25" t="str">
        <f>IF(OR(ISERROR(G46),ISERROR(H46)),"GAGAL",IF(AND(ABS(G46)&lt;=0.001,ABS(H46)&lt;=0.001),"LULUS","GAGAL"))</f>
        <v>LULUS</v>
      </c>
      <c r="J46" s="26" t="s">
        <v>64</v>
      </c>
    </row>
    <row r="47" spans="1:10" ht="33.75" customHeight="1" x14ac:dyDescent="0.35">
      <c r="A47" s="8" t="s">
        <v>65</v>
      </c>
      <c r="B47" s="23">
        <f>(FCC!$E$79+UU!$E$77+UO!$E$73)/10^6</f>
        <v>51.984599283244151</v>
      </c>
      <c r="C47" s="23">
        <f>$B$63/10^6+'REKON &amp; KONTROL'!$C$75/10^6</f>
        <v>297.85070621999995</v>
      </c>
      <c r="D47" s="24">
        <f>$B$64/10^6</f>
        <v>297.85070622000001</v>
      </c>
      <c r="E47" s="24">
        <f>B47-C47</f>
        <v>-245.86610693675578</v>
      </c>
      <c r="F47" s="27">
        <f>'REKON PERSEDIAAN'!$D$23/10^6</f>
        <v>-245.8661069367561</v>
      </c>
      <c r="G47" s="24">
        <f>E47-F47</f>
        <v>3.1263880373444408E-13</v>
      </c>
      <c r="H47" s="24">
        <f>C47-D47</f>
        <v>0</v>
      </c>
      <c r="I47" s="25" t="str">
        <f>IF(OR(ISERROR(G47),ISERROR(H47)),"GAGAL",IF(AND(ABS(G47)&lt;=0.001,ABS(H47)&lt;=0.001,'REKON PERSEDIAAN'!$C$3="LULUS"),"LULUS","GAGAL"))</f>
        <v>LULUS</v>
      </c>
      <c r="J47" s="26" t="s">
        <v>66</v>
      </c>
    </row>
    <row r="48" spans="1:10" ht="33.75" customHeight="1" x14ac:dyDescent="0.35">
      <c r="A48" s="8" t="s">
        <v>67</v>
      </c>
      <c r="B48" s="23">
        <f>(FCC!$E$92+UU!$E$89+UO!$E$85+'LAIN-LAIN'!$F$93)/10^6</f>
        <v>14.171280852956015</v>
      </c>
      <c r="C48" s="23">
        <f>$B$65/10^6+'REKON &amp; KONTROL'!$C$76/10^6</f>
        <v>286.53663963999907</v>
      </c>
      <c r="D48" s="24">
        <f>$B$66/10^6</f>
        <v>286.53663963999998</v>
      </c>
      <c r="E48" s="24">
        <f>B48-C48</f>
        <v>-272.36535878704308</v>
      </c>
      <c r="F48" s="27">
        <f>'REKON PERSEDIAAN'!$G$23/10^6</f>
        <v>-272.36535878704404</v>
      </c>
      <c r="G48" s="24">
        <f>E48-F48</f>
        <v>9.6633812063373625E-13</v>
      </c>
      <c r="H48" s="24">
        <f>C48-D48</f>
        <v>-9.0949470177292824E-13</v>
      </c>
      <c r="I48" s="25" t="str">
        <f>IF(OR(ISERROR(G48),ISERROR(H48)),"GAGAL",IF(AND(ABS(G48)&lt;=0.001,ABS(H48)&lt;=0.001,'REKON PERSEDIAAN'!$C$3="LULUS"),"LULUS","GAGAL"))</f>
        <v>LULUS</v>
      </c>
      <c r="J48" s="26" t="s">
        <v>68</v>
      </c>
    </row>
    <row r="49" spans="1:10" ht="33.75" customHeight="1" x14ac:dyDescent="0.35">
      <c r="A49" s="8" t="s">
        <v>69</v>
      </c>
      <c r="B49" s="23">
        <f>'REKON &amp; KONTROL'!$C$39</f>
        <v>-326.53944411287893</v>
      </c>
      <c r="C49" s="23">
        <f>-'REKON &amp; KONTROL'!$C$40</f>
        <v>-409.30549090000096</v>
      </c>
      <c r="D49" s="24">
        <f>$B$64/10^6+$B$66/10^6-$B$63/10^6-$B$65/10^6</f>
        <v>-409.3054909</v>
      </c>
      <c r="E49" s="24">
        <f>B49-C49</f>
        <v>82.766046787122036</v>
      </c>
      <c r="F49" s="23">
        <f>'REKON &amp; KONTROL'!$C$47</f>
        <v>82.766046787122036</v>
      </c>
      <c r="G49" s="24">
        <f>E49-F49</f>
        <v>0</v>
      </c>
      <c r="H49" s="24">
        <f>C49-D49</f>
        <v>-9.6633812063373625E-13</v>
      </c>
      <c r="I49" s="25" t="str">
        <f>IF(OR(ISERROR(G49),ISERROR(H49)),"GAGAL",IF(AND(ABS(G49)&lt;=0.001,ABS(H49)&lt;=0.001),"LULUS","GAGAL"))</f>
        <v>LULUS</v>
      </c>
      <c r="J49" s="26" t="s">
        <v>70</v>
      </c>
    </row>
    <row r="50" spans="1:10" ht="14.25" customHeight="1" x14ac:dyDescent="0.35">
      <c r="A50" s="28" t="s">
        <v>71</v>
      </c>
      <c r="B50" s="29"/>
      <c r="C50" s="29"/>
      <c r="D50" s="29"/>
      <c r="E50" s="29"/>
      <c r="F50" s="29"/>
      <c r="G50" s="29"/>
      <c r="H50" s="29"/>
      <c r="I50" s="30" t="str">
        <f>IF(COUNTIF(I39:I49,"GAGAL")=0,"LULUS","GAGAL")</f>
        <v>LULUS</v>
      </c>
      <c r="J50" s="29"/>
    </row>
    <row r="56" spans="1:10" ht="14.25" customHeight="1" x14ac:dyDescent="0.35">
      <c r="A56" s="18" t="s">
        <v>72</v>
      </c>
      <c r="B56" s="10"/>
      <c r="C56" s="10"/>
      <c r="D56" s="10"/>
      <c r="E56" s="10"/>
      <c r="F56" s="10"/>
      <c r="G56" s="10"/>
      <c r="H56" s="10"/>
      <c r="I56" s="10"/>
      <c r="J56" s="10"/>
    </row>
    <row r="57" spans="1:10" ht="14.25" customHeight="1" x14ac:dyDescent="0.35">
      <c r="A57" s="31" t="s">
        <v>4</v>
      </c>
      <c r="B57" s="31" t="s">
        <v>73</v>
      </c>
      <c r="C57" s="31" t="s">
        <v>74</v>
      </c>
      <c r="D57" s="32"/>
      <c r="E57" s="32"/>
      <c r="F57" s="32"/>
      <c r="G57" s="32"/>
      <c r="H57" s="32"/>
      <c r="I57" s="32"/>
      <c r="J57" s="32"/>
    </row>
    <row r="58" spans="1:10" ht="14.25" customHeight="1" x14ac:dyDescent="0.35">
      <c r="A58" s="8" t="s">
        <v>75</v>
      </c>
      <c r="B58" s="33">
        <v>7462360152.6599998</v>
      </c>
      <c r="C58" s="34" t="s">
        <v>76</v>
      </c>
    </row>
    <row r="59" spans="1:10" ht="14.25" customHeight="1" x14ac:dyDescent="0.35">
      <c r="A59" s="8" t="s">
        <v>77</v>
      </c>
      <c r="B59" s="33">
        <v>4375218161.2399998</v>
      </c>
      <c r="C59" s="34" t="s">
        <v>78</v>
      </c>
    </row>
    <row r="60" spans="1:10" ht="14.25" customHeight="1" x14ac:dyDescent="0.35">
      <c r="A60" s="8" t="s">
        <v>79</v>
      </c>
      <c r="B60" s="33">
        <v>1590888645.02</v>
      </c>
      <c r="C60" s="34" t="s">
        <v>80</v>
      </c>
    </row>
    <row r="61" spans="1:10" ht="14.25" customHeight="1" x14ac:dyDescent="0.35">
      <c r="A61" s="8" t="s">
        <v>81</v>
      </c>
      <c r="B61" s="33">
        <v>6375412304.3699999</v>
      </c>
      <c r="C61" s="34" t="s">
        <v>82</v>
      </c>
    </row>
    <row r="62" spans="1:10" ht="14.25" customHeight="1" x14ac:dyDescent="0.35">
      <c r="A62" s="8" t="s">
        <v>83</v>
      </c>
      <c r="B62" s="33">
        <v>947179402.88999999</v>
      </c>
      <c r="C62" s="34" t="s">
        <v>84</v>
      </c>
    </row>
    <row r="63" spans="1:10" ht="14.25" customHeight="1" x14ac:dyDescent="0.35">
      <c r="A63" s="8" t="s">
        <v>85</v>
      </c>
      <c r="B63" s="33">
        <v>494002773.02999997</v>
      </c>
      <c r="C63" s="34" t="s">
        <v>86</v>
      </c>
    </row>
    <row r="64" spans="1:10" ht="14.25" customHeight="1" x14ac:dyDescent="0.35">
      <c r="A64" s="8" t="s">
        <v>87</v>
      </c>
      <c r="B64" s="33">
        <v>297850706.22000003</v>
      </c>
      <c r="C64" s="34" t="s">
        <v>88</v>
      </c>
    </row>
    <row r="65" spans="1:3" ht="14.25" customHeight="1" x14ac:dyDescent="0.35">
      <c r="A65" s="8" t="s">
        <v>89</v>
      </c>
      <c r="B65" s="33">
        <v>499690063.73000002</v>
      </c>
      <c r="C65" s="34" t="s">
        <v>90</v>
      </c>
    </row>
    <row r="66" spans="1:3" ht="14.25" customHeight="1" x14ac:dyDescent="0.35">
      <c r="A66" s="8" t="s">
        <v>91</v>
      </c>
      <c r="B66" s="33">
        <v>286536639.63999999</v>
      </c>
      <c r="C66" s="34" t="s">
        <v>92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39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16" sqref="D16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customHeight="1" x14ac:dyDescent="0.35">
      <c r="A1" s="4" t="s">
        <v>93</v>
      </c>
    </row>
    <row r="2" spans="1:13" ht="14.25" customHeight="1" x14ac:dyDescent="0.35">
      <c r="A2" s="5"/>
    </row>
    <row r="3" spans="1:13" ht="14.25" customHeight="1" x14ac:dyDescent="0.35">
      <c r="A3" s="5"/>
    </row>
    <row r="5" spans="1:13" ht="14.25" customHeight="1" x14ac:dyDescent="0.35">
      <c r="A5" s="6" t="s">
        <v>94</v>
      </c>
      <c r="C5" s="35" t="s">
        <v>95</v>
      </c>
      <c r="D5" s="36" t="s">
        <v>96</v>
      </c>
      <c r="E5" s="37">
        <f>MATCH(C5,BUDGET!$C$4:$R$4,0)</f>
        <v>1</v>
      </c>
    </row>
    <row r="6" spans="1:13" ht="14.25" customHeight="1" x14ac:dyDescent="0.35">
      <c r="A6" s="6" t="s">
        <v>97</v>
      </c>
      <c r="C6" s="7" t="str">
        <f>IF(COUNTIF(D159:D169,"GAGAL")=0,"LULUS","GAGAL")</f>
        <v>LULUS</v>
      </c>
    </row>
    <row r="8" spans="1:13" ht="14.25" customHeight="1" x14ac:dyDescent="0.35">
      <c r="A8" s="9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30" customHeight="1" x14ac:dyDescent="0.35">
      <c r="A9" s="11" t="s">
        <v>99</v>
      </c>
      <c r="B9" s="11" t="s">
        <v>100</v>
      </c>
      <c r="C9" s="11" t="s">
        <v>101</v>
      </c>
      <c r="D9" s="11" t="s">
        <v>102</v>
      </c>
      <c r="E9" s="11" t="s">
        <v>103</v>
      </c>
      <c r="F9" s="11" t="s">
        <v>21</v>
      </c>
      <c r="G9" s="11" t="s">
        <v>22</v>
      </c>
      <c r="H9" s="11" t="s">
        <v>23</v>
      </c>
      <c r="I9" s="11" t="s">
        <v>24</v>
      </c>
    </row>
    <row r="10" spans="1:13" ht="14.25" customHeight="1" x14ac:dyDescent="0.35">
      <c r="A10" s="12" t="s">
        <v>104</v>
      </c>
      <c r="B10" s="38">
        <f>E44/10^6</f>
        <v>2351.8730380717798</v>
      </c>
      <c r="C10" s="39">
        <f>F44</f>
        <v>9926.7400719718207</v>
      </c>
      <c r="D10" s="39">
        <f t="shared" ref="D10:I10" si="0">G112</f>
        <v>0</v>
      </c>
      <c r="E10" s="39">
        <f t="shared" si="0"/>
        <v>9749.9000648809088</v>
      </c>
      <c r="F10" s="39">
        <f t="shared" si="0"/>
        <v>9749.9000648809088</v>
      </c>
      <c r="G10" s="39">
        <f t="shared" si="0"/>
        <v>0</v>
      </c>
      <c r="H10" s="39">
        <f t="shared" si="0"/>
        <v>0</v>
      </c>
      <c r="I10" s="39">
        <f t="shared" si="0"/>
        <v>0</v>
      </c>
    </row>
    <row r="11" spans="1:13" ht="14.25" customHeight="1" x14ac:dyDescent="0.35">
      <c r="A11" s="12" t="s">
        <v>105</v>
      </c>
      <c r="B11" s="38">
        <f>E46/10^6</f>
        <v>1013.4280919558713</v>
      </c>
      <c r="C11" s="39">
        <f>F46</f>
        <v>4277.4576210662171</v>
      </c>
      <c r="D11" s="39">
        <f t="shared" ref="D11:I11" si="1">G114</f>
        <v>0</v>
      </c>
      <c r="E11" s="39">
        <f t="shared" si="1"/>
        <v>4277.4576210662171</v>
      </c>
      <c r="F11" s="39">
        <f t="shared" si="1"/>
        <v>4277.4576210662171</v>
      </c>
      <c r="G11" s="39">
        <f t="shared" si="1"/>
        <v>0</v>
      </c>
      <c r="H11" s="39">
        <f t="shared" si="1"/>
        <v>0</v>
      </c>
      <c r="I11" s="39">
        <f t="shared" si="1"/>
        <v>0</v>
      </c>
    </row>
    <row r="12" spans="1:13" ht="14.25" customHeight="1" x14ac:dyDescent="0.35">
      <c r="A12" s="12" t="s">
        <v>106</v>
      </c>
      <c r="B12" s="38">
        <f>E47/10^6</f>
        <v>774.66225861136786</v>
      </c>
      <c r="C12" s="39">
        <f>F47</f>
        <v>3269.6794258529894</v>
      </c>
      <c r="D12" s="39">
        <f t="shared" ref="D12:I12" si="2">G116</f>
        <v>0</v>
      </c>
      <c r="E12" s="39">
        <f t="shared" si="2"/>
        <v>3269.6794258529894</v>
      </c>
      <c r="F12" s="39">
        <f t="shared" si="2"/>
        <v>3269.6794258529894</v>
      </c>
      <c r="G12" s="39">
        <f t="shared" si="2"/>
        <v>0</v>
      </c>
      <c r="H12" s="39">
        <f t="shared" si="2"/>
        <v>0</v>
      </c>
      <c r="I12" s="39">
        <f t="shared" si="2"/>
        <v>0</v>
      </c>
    </row>
    <row r="13" spans="1:13" ht="14.25" customHeight="1" x14ac:dyDescent="0.35">
      <c r="A13" s="12" t="s">
        <v>107</v>
      </c>
      <c r="B13" s="38">
        <f>E55/10^6</f>
        <v>135.57865782042484</v>
      </c>
      <c r="C13" s="39">
        <f>F55</f>
        <v>572.24776750431499</v>
      </c>
      <c r="D13" s="39">
        <f t="shared" ref="D13:I13" si="3">G123</f>
        <v>0</v>
      </c>
      <c r="E13" s="39">
        <f t="shared" si="3"/>
        <v>572.24776750431488</v>
      </c>
      <c r="F13" s="39">
        <f t="shared" si="3"/>
        <v>531.45136158644777</v>
      </c>
      <c r="G13" s="39">
        <f t="shared" si="3"/>
        <v>40.796405917867119</v>
      </c>
      <c r="H13" s="39">
        <f t="shared" si="3"/>
        <v>0</v>
      </c>
      <c r="I13" s="39">
        <f t="shared" si="3"/>
        <v>0</v>
      </c>
    </row>
    <row r="14" spans="1:13" ht="14.25" customHeight="1" x14ac:dyDescent="0.35">
      <c r="A14" s="12" t="s">
        <v>108</v>
      </c>
      <c r="B14" s="38">
        <f>E58/10^6</f>
        <v>53.598624961089982</v>
      </c>
      <c r="C14" s="39">
        <f>F58</f>
        <v>226.22803594876811</v>
      </c>
      <c r="D14" s="39">
        <f t="shared" ref="D14:I14" si="4">G125</f>
        <v>0</v>
      </c>
      <c r="E14" s="39">
        <f t="shared" si="4"/>
        <v>226.22803594876811</v>
      </c>
      <c r="F14" s="39">
        <f t="shared" si="4"/>
        <v>226.22803594876811</v>
      </c>
      <c r="G14" s="39">
        <f t="shared" si="4"/>
        <v>0</v>
      </c>
      <c r="H14" s="39">
        <f t="shared" si="4"/>
        <v>0</v>
      </c>
      <c r="I14" s="39">
        <f t="shared" si="4"/>
        <v>0</v>
      </c>
    </row>
    <row r="15" spans="1:13" ht="14.25" customHeight="1" x14ac:dyDescent="0.35">
      <c r="A15" s="12" t="s">
        <v>109</v>
      </c>
      <c r="B15" s="38">
        <f>E59/10^6</f>
        <v>384.85654920023592</v>
      </c>
      <c r="C15" s="39">
        <f>F59</f>
        <v>1624.3950532461429</v>
      </c>
      <c r="D15" s="39">
        <f t="shared" ref="D15:I15" si="5">G127</f>
        <v>0</v>
      </c>
      <c r="E15" s="39">
        <f t="shared" si="5"/>
        <v>1624.3950532461429</v>
      </c>
      <c r="F15" s="39">
        <f t="shared" si="5"/>
        <v>1922.5850931653881</v>
      </c>
      <c r="G15" s="39">
        <f t="shared" si="5"/>
        <v>0</v>
      </c>
      <c r="H15" s="39">
        <f t="shared" si="5"/>
        <v>0</v>
      </c>
      <c r="I15" s="39">
        <f t="shared" si="5"/>
        <v>-298.19003991924524</v>
      </c>
    </row>
    <row r="16" spans="1:13" ht="14.25" customHeight="1" x14ac:dyDescent="0.35">
      <c r="A16" s="12" t="s">
        <v>110</v>
      </c>
      <c r="B16" s="38">
        <f>E64/10^6</f>
        <v>848.57124533695651</v>
      </c>
      <c r="C16" s="39">
        <f>F64</f>
        <v>3581.6330425368433</v>
      </c>
      <c r="D16" s="39">
        <f t="shared" ref="D16:I17" si="6">G132</f>
        <v>0</v>
      </c>
      <c r="E16" s="39">
        <f t="shared" si="6"/>
        <v>3581.6330425368433</v>
      </c>
      <c r="F16" s="39">
        <f t="shared" si="6"/>
        <v>3981.5677273382598</v>
      </c>
      <c r="G16" s="39">
        <f t="shared" si="6"/>
        <v>0</v>
      </c>
      <c r="H16" s="39">
        <f t="shared" si="6"/>
        <v>0</v>
      </c>
      <c r="I16" s="39">
        <f t="shared" si="6"/>
        <v>-399.93468480141723</v>
      </c>
    </row>
    <row r="17" spans="1:13" ht="14.25" customHeight="1" x14ac:dyDescent="0.35">
      <c r="A17" s="40" t="s">
        <v>11</v>
      </c>
      <c r="B17" s="41">
        <f>E66/10^6</f>
        <v>5562.5684659577255</v>
      </c>
      <c r="C17" s="42">
        <f>F66</f>
        <v>23478.381018127093</v>
      </c>
      <c r="D17" s="42">
        <f t="shared" si="6"/>
        <v>0</v>
      </c>
      <c r="E17" s="42">
        <f t="shared" si="6"/>
        <v>23301.541011036181</v>
      </c>
      <c r="F17" s="42">
        <f t="shared" si="6"/>
        <v>23958.869329838977</v>
      </c>
      <c r="G17" s="42">
        <f t="shared" si="6"/>
        <v>40.796405917867119</v>
      </c>
      <c r="H17" s="42">
        <f t="shared" si="6"/>
        <v>0</v>
      </c>
      <c r="I17" s="42">
        <f t="shared" si="6"/>
        <v>-698.12472472066247</v>
      </c>
    </row>
    <row r="18" spans="1:13" ht="14.25" customHeight="1" x14ac:dyDescent="0.35">
      <c r="A18" s="12" t="s">
        <v>111</v>
      </c>
      <c r="C18" s="39">
        <f>$B$30</f>
        <v>236923</v>
      </c>
      <c r="D18" s="39">
        <f>$D$30</f>
        <v>0</v>
      </c>
    </row>
    <row r="19" spans="1:13" ht="14.25" customHeight="1" x14ac:dyDescent="0.35">
      <c r="A19" s="12" t="s">
        <v>112</v>
      </c>
      <c r="C19" s="39">
        <f>F65</f>
        <v>5432.2561317317541</v>
      </c>
      <c r="D19" s="39">
        <f>G125+G127+G132</f>
        <v>0</v>
      </c>
    </row>
    <row r="20" spans="1:13" ht="14.25" customHeight="1" x14ac:dyDescent="0.35">
      <c r="A20" s="12" t="s">
        <v>113</v>
      </c>
      <c r="B20" s="38">
        <f>E104/10^6</f>
        <v>5106.3121482576789</v>
      </c>
      <c r="C20" s="39">
        <f>D105</f>
        <v>24631.838777230889</v>
      </c>
      <c r="D20" s="39">
        <f>F105</f>
        <v>0</v>
      </c>
    </row>
    <row r="21" spans="1:13" ht="14.25" customHeight="1" x14ac:dyDescent="0.35">
      <c r="A21" s="12" t="s">
        <v>114</v>
      </c>
      <c r="B21" s="38">
        <f>$C$211/10^6</f>
        <v>5901.3131420700001</v>
      </c>
      <c r="F21" s="5"/>
    </row>
    <row r="22" spans="1:13" ht="14.25" customHeight="1" x14ac:dyDescent="0.35">
      <c r="A22" s="12" t="s">
        <v>115</v>
      </c>
      <c r="B22" s="38">
        <f>B21-B20</f>
        <v>795.00099381232121</v>
      </c>
      <c r="C22" s="43">
        <f>IF(B21=0,0,B22/B21)</f>
        <v>0.13471594790400485</v>
      </c>
    </row>
    <row r="23" spans="1:13" ht="14.25" customHeight="1" x14ac:dyDescent="0.35">
      <c r="A23" s="5" t="s">
        <v>116</v>
      </c>
      <c r="B23" s="38">
        <f>E78/10^6</f>
        <v>155.53504963916546</v>
      </c>
      <c r="C23" s="43">
        <f>IF(E66=0,0,E78/E66)</f>
        <v>2.7961013080741736E-2</v>
      </c>
    </row>
    <row r="24" spans="1:13" ht="14.25" customHeight="1" x14ac:dyDescent="0.35">
      <c r="A24" s="5" t="s">
        <v>31</v>
      </c>
      <c r="B24" s="38">
        <f>-E74/10^6</f>
        <v>74.121492822318984</v>
      </c>
    </row>
    <row r="26" spans="1:13" ht="14.25" customHeight="1" x14ac:dyDescent="0.35">
      <c r="A26" s="9" t="s">
        <v>117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4.25" customHeight="1" x14ac:dyDescent="0.35">
      <c r="A27" s="6" t="s">
        <v>118</v>
      </c>
    </row>
    <row r="28" spans="1:13" ht="24" customHeight="1" x14ac:dyDescent="0.35">
      <c r="A28" s="11" t="s">
        <v>4</v>
      </c>
      <c r="B28" s="11" t="s">
        <v>119</v>
      </c>
      <c r="C28" s="11" t="s">
        <v>120</v>
      </c>
      <c r="D28" s="11" t="s">
        <v>121</v>
      </c>
      <c r="E28" s="11" t="s">
        <v>122</v>
      </c>
    </row>
    <row r="29" spans="1:13" ht="14.25" customHeight="1" x14ac:dyDescent="0.35">
      <c r="A29" s="12" t="s">
        <v>123</v>
      </c>
      <c r="B29" s="38">
        <f>$C$191</f>
        <v>357.5</v>
      </c>
    </row>
    <row r="30" spans="1:13" ht="14.25" customHeight="1" x14ac:dyDescent="0.35">
      <c r="A30" s="6" t="s">
        <v>124</v>
      </c>
      <c r="B30" s="44">
        <f>$C$192</f>
        <v>236923</v>
      </c>
      <c r="D30" s="44">
        <f>INDEX(BUDGET!$C$14:$R$14,$E$5)</f>
        <v>0</v>
      </c>
    </row>
    <row r="31" spans="1:13" ht="14.25" customHeight="1" x14ac:dyDescent="0.35">
      <c r="A31" s="40" t="s">
        <v>125</v>
      </c>
      <c r="B31" s="41">
        <f>B29+B30</f>
        <v>237280.5</v>
      </c>
      <c r="C31" s="45"/>
      <c r="D31" s="45"/>
      <c r="E31" s="45"/>
    </row>
    <row r="32" spans="1:13" ht="14.25" customHeight="1" x14ac:dyDescent="0.35">
      <c r="A32" s="12" t="s">
        <v>126</v>
      </c>
      <c r="B32" s="38">
        <f>B31-B33-B34-B35</f>
        <v>221027</v>
      </c>
      <c r="C32" s="43">
        <f>IF(B30=0,0,B32/B30)</f>
        <v>0.93290647172288044</v>
      </c>
      <c r="D32" s="38">
        <f>INDEX(BUDGET!$C$10:$R$10,$E$5)</f>
        <v>0</v>
      </c>
      <c r="E32" s="43">
        <f>IF(D30=0,0,D32/D30)</f>
        <v>0</v>
      </c>
    </row>
    <row r="33" spans="1:6" ht="14.25" customHeight="1" x14ac:dyDescent="0.35">
      <c r="A33" s="12" t="s">
        <v>127</v>
      </c>
      <c r="B33" s="38">
        <f>$C$194</f>
        <v>7581</v>
      </c>
      <c r="C33" s="43">
        <f>IF(B30=0,0,B33/B30)</f>
        <v>3.1997737661603139E-2</v>
      </c>
      <c r="D33" s="38">
        <f>INDEX(BUDGET!$C$11:$R$11,$E$5)</f>
        <v>0</v>
      </c>
      <c r="E33" s="43">
        <f>IF(D30=0,0,D33/D30)</f>
        <v>0</v>
      </c>
    </row>
    <row r="34" spans="1:6" ht="14.25" customHeight="1" x14ac:dyDescent="0.35">
      <c r="A34" s="12" t="s">
        <v>128</v>
      </c>
      <c r="B34" s="38">
        <f>$C$195</f>
        <v>6500</v>
      </c>
      <c r="C34" s="43">
        <f>IF(B30=0,0,B34/B30)</f>
        <v>2.7435073842556442E-2</v>
      </c>
      <c r="D34" s="38">
        <f>INDEX(BUDGET!$C$12:$R$12,$E$5)</f>
        <v>0</v>
      </c>
      <c r="E34" s="43">
        <f>IF(D30=0,0,D34/D30)</f>
        <v>0</v>
      </c>
    </row>
    <row r="35" spans="1:6" ht="14.25" customHeight="1" x14ac:dyDescent="0.35">
      <c r="A35" s="12" t="s">
        <v>129</v>
      </c>
      <c r="B35" s="38">
        <f>$C$193</f>
        <v>2172.5</v>
      </c>
      <c r="C35" s="43">
        <f>IF(B30=0,0,B35/B30)</f>
        <v>9.1696458343005962E-3</v>
      </c>
      <c r="D35" s="38">
        <f>INDEX(BUDGET!$C$13:$R$13,$E$5)</f>
        <v>0</v>
      </c>
      <c r="E35" s="43">
        <f>IF(D30=0,0,D35/D30)</f>
        <v>0</v>
      </c>
    </row>
    <row r="36" spans="1:6" ht="14.25" customHeight="1" x14ac:dyDescent="0.35">
      <c r="A36" s="40" t="s">
        <v>130</v>
      </c>
      <c r="B36" s="41">
        <f>SUM(B32:B35)</f>
        <v>237280.5</v>
      </c>
      <c r="C36" s="45"/>
      <c r="D36" s="45"/>
      <c r="E36" s="45"/>
    </row>
    <row r="38" spans="1:6" ht="14.25" customHeight="1" x14ac:dyDescent="0.35">
      <c r="A38" s="6" t="s">
        <v>131</v>
      </c>
    </row>
    <row r="39" spans="1:6" ht="24" customHeight="1" x14ac:dyDescent="0.35">
      <c r="A39" s="11" t="s">
        <v>99</v>
      </c>
      <c r="B39" s="11" t="s">
        <v>132</v>
      </c>
      <c r="C39" s="11" t="s">
        <v>133</v>
      </c>
      <c r="D39" s="11" t="s">
        <v>134</v>
      </c>
      <c r="E39" s="11" t="s">
        <v>73</v>
      </c>
      <c r="F39" s="11" t="s">
        <v>135</v>
      </c>
    </row>
    <row r="40" spans="1:6" ht="14.25" customHeight="1" x14ac:dyDescent="0.35">
      <c r="A40" s="6" t="s">
        <v>104</v>
      </c>
    </row>
    <row r="41" spans="1:6" ht="14.25" customHeight="1" x14ac:dyDescent="0.35">
      <c r="A41" s="12" t="s">
        <v>136</v>
      </c>
      <c r="B41" s="38">
        <f>D215</f>
        <v>347092.25714285701</v>
      </c>
      <c r="C41" s="12" t="s">
        <v>137</v>
      </c>
      <c r="D41" s="46">
        <f>F215</f>
        <v>2942.83019010527</v>
      </c>
      <c r="E41" s="39">
        <f>G215</f>
        <v>1021433573.0717812</v>
      </c>
      <c r="F41" s="39">
        <f>IF($B$30=0,0,E41/$B$30)</f>
        <v>4311.2470003831677</v>
      </c>
    </row>
    <row r="42" spans="1:6" ht="14.25" customHeight="1" x14ac:dyDescent="0.35">
      <c r="A42" s="12" t="s">
        <v>138</v>
      </c>
      <c r="B42" s="38">
        <f>D216</f>
        <v>280280</v>
      </c>
      <c r="C42" s="12" t="s">
        <v>137</v>
      </c>
      <c r="D42" s="46">
        <f>F216</f>
        <v>4597.3383759097997</v>
      </c>
      <c r="E42" s="39">
        <f>G216</f>
        <v>1288541999.9999986</v>
      </c>
      <c r="F42" s="39">
        <f>IF($B$30=0,0,E42/$B$30)</f>
        <v>5438.653064497742</v>
      </c>
    </row>
    <row r="43" spans="1:6" ht="14.25" customHeight="1" x14ac:dyDescent="0.35">
      <c r="A43" s="12" t="s">
        <v>139</v>
      </c>
      <c r="B43" s="38"/>
      <c r="C43" s="12" t="s">
        <v>140</v>
      </c>
      <c r="D43" s="46"/>
      <c r="E43" s="47">
        <f>'BIAYA BERSAMA'!$C$159</f>
        <v>41897465</v>
      </c>
      <c r="F43" s="39">
        <f>IF($B$30=0,0,E43/$B$30)</f>
        <v>176.8400070909114</v>
      </c>
    </row>
    <row r="44" spans="1:6" ht="14.25" customHeight="1" x14ac:dyDescent="0.35">
      <c r="A44" s="40" t="s">
        <v>141</v>
      </c>
      <c r="B44" s="45"/>
      <c r="C44" s="45"/>
      <c r="D44" s="45"/>
      <c r="E44" s="42">
        <f>E41+E42+E43</f>
        <v>2351873038.0717797</v>
      </c>
      <c r="F44" s="42">
        <f>IF($B$30=0,0,E44/$B$30)</f>
        <v>9926.7400719718207</v>
      </c>
    </row>
    <row r="45" spans="1:6" ht="14.25" customHeight="1" x14ac:dyDescent="0.35">
      <c r="A45" s="6" t="s">
        <v>142</v>
      </c>
    </row>
    <row r="46" spans="1:6" ht="14.25" customHeight="1" x14ac:dyDescent="0.35">
      <c r="A46" s="12" t="s">
        <v>143</v>
      </c>
      <c r="B46" s="38">
        <f>D217</f>
        <v>57870</v>
      </c>
      <c r="C46" s="12" t="s">
        <v>137</v>
      </c>
      <c r="D46" s="46">
        <f>F217</f>
        <v>17512.1495067543</v>
      </c>
      <c r="E46" s="39">
        <f>G217</f>
        <v>1013428091.9558713</v>
      </c>
      <c r="F46" s="39">
        <f>IF($B$30=0,0,E46/$B$30)</f>
        <v>4277.4576210662171</v>
      </c>
    </row>
    <row r="47" spans="1:6" ht="14.25" customHeight="1" x14ac:dyDescent="0.35">
      <c r="A47" s="12" t="s">
        <v>144</v>
      </c>
      <c r="B47" s="38">
        <f>D218/$C$210</f>
        <v>3425.0221039060084</v>
      </c>
      <c r="C47" s="12" t="s">
        <v>145</v>
      </c>
      <c r="D47" s="46">
        <f>IF(B47=0,0,E47/B47)</f>
        <v>226177.30195899098</v>
      </c>
      <c r="E47" s="39">
        <f>G218</f>
        <v>774662258.61136782</v>
      </c>
      <c r="F47" s="39">
        <f>IF($B$30=0,0,E47/$B$30)</f>
        <v>3269.6794258529894</v>
      </c>
    </row>
    <row r="48" spans="1:6" ht="14.25" customHeight="1" x14ac:dyDescent="0.35">
      <c r="A48" s="6" t="s">
        <v>107</v>
      </c>
    </row>
    <row r="49" spans="1:6" ht="14.25" customHeight="1" x14ac:dyDescent="0.35">
      <c r="A49" s="12" t="s">
        <v>146</v>
      </c>
      <c r="B49" s="38">
        <f>D219</f>
        <v>1700</v>
      </c>
      <c r="C49" s="12" t="s">
        <v>137</v>
      </c>
      <c r="D49" s="46">
        <f t="shared" ref="D49:E53" si="7">F219</f>
        <v>4638.58661997322</v>
      </c>
      <c r="E49" s="39">
        <f t="shared" si="7"/>
        <v>7885597.2539544739</v>
      </c>
      <c r="F49" s="39">
        <f t="shared" ref="F49:F56" si="8">IF($B$30=0,0,E49/$B$30)</f>
        <v>33.283375839215587</v>
      </c>
    </row>
    <row r="50" spans="1:6" ht="14.25" customHeight="1" x14ac:dyDescent="0.35">
      <c r="A50" s="12" t="s">
        <v>147</v>
      </c>
      <c r="B50" s="38">
        <f>D220</f>
        <v>252.7</v>
      </c>
      <c r="C50" s="12" t="s">
        <v>137</v>
      </c>
      <c r="D50" s="46">
        <f t="shared" si="7"/>
        <v>32673.742396272301</v>
      </c>
      <c r="E50" s="39">
        <f t="shared" si="7"/>
        <v>8256654.7035380099</v>
      </c>
      <c r="F50" s="39">
        <f t="shared" si="8"/>
        <v>34.849527920624041</v>
      </c>
    </row>
    <row r="51" spans="1:6" ht="14.25" customHeight="1" x14ac:dyDescent="0.35">
      <c r="A51" s="12" t="s">
        <v>148</v>
      </c>
      <c r="B51" s="38">
        <f>D221</f>
        <v>1861</v>
      </c>
      <c r="C51" s="12" t="s">
        <v>137</v>
      </c>
      <c r="D51" s="46">
        <f t="shared" si="7"/>
        <v>34380.541482824701</v>
      </c>
      <c r="E51" s="39">
        <f t="shared" si="7"/>
        <v>63982187.699536771</v>
      </c>
      <c r="F51" s="39">
        <f t="shared" si="8"/>
        <v>270.05477602232276</v>
      </c>
    </row>
    <row r="52" spans="1:6" ht="14.25" customHeight="1" x14ac:dyDescent="0.35">
      <c r="A52" s="12" t="s">
        <v>149</v>
      </c>
      <c r="B52" s="38">
        <f>D222</f>
        <v>1374</v>
      </c>
      <c r="C52" s="12" t="s">
        <v>137</v>
      </c>
      <c r="D52" s="46">
        <f t="shared" si="7"/>
        <v>32614.581205548398</v>
      </c>
      <c r="E52" s="39">
        <f t="shared" si="7"/>
        <v>44812434.576423496</v>
      </c>
      <c r="F52" s="39">
        <f t="shared" si="8"/>
        <v>189.14345410290895</v>
      </c>
    </row>
    <row r="53" spans="1:6" ht="14.25" customHeight="1" x14ac:dyDescent="0.35">
      <c r="A53" s="12" t="s">
        <v>150</v>
      </c>
      <c r="B53" s="38">
        <f>D223</f>
        <v>100</v>
      </c>
      <c r="C53" s="12" t="s">
        <v>151</v>
      </c>
      <c r="D53" s="46">
        <f t="shared" si="7"/>
        <v>9761.7670769323595</v>
      </c>
      <c r="E53" s="39">
        <f t="shared" si="7"/>
        <v>976176.70769323595</v>
      </c>
      <c r="F53" s="39">
        <f t="shared" si="8"/>
        <v>4.1202277013765487</v>
      </c>
    </row>
    <row r="54" spans="1:6" ht="14.25" customHeight="1" x14ac:dyDescent="0.35">
      <c r="A54" s="12" t="s">
        <v>152</v>
      </c>
      <c r="C54" s="12" t="s">
        <v>140</v>
      </c>
      <c r="E54" s="39">
        <f>SUMIF($C$215:$C$228,"Other cost",$G$215:$G$228)</f>
        <v>9665606.8792788312</v>
      </c>
      <c r="F54" s="39">
        <f t="shared" si="8"/>
        <v>40.796405917867119</v>
      </c>
    </row>
    <row r="55" spans="1:6" ht="14.25" customHeight="1" x14ac:dyDescent="0.35">
      <c r="A55" s="40" t="s">
        <v>153</v>
      </c>
      <c r="B55" s="45"/>
      <c r="C55" s="45"/>
      <c r="D55" s="45"/>
      <c r="E55" s="42">
        <f>E49+E50+E51+E52+E53+E54</f>
        <v>135578657.82042482</v>
      </c>
      <c r="F55" s="42">
        <f t="shared" si="8"/>
        <v>572.24776750431499</v>
      </c>
    </row>
    <row r="56" spans="1:6" ht="14.25" customHeight="1" x14ac:dyDescent="0.35">
      <c r="A56" s="40" t="s">
        <v>154</v>
      </c>
      <c r="B56" s="45"/>
      <c r="C56" s="45"/>
      <c r="D56" s="45"/>
      <c r="E56" s="42">
        <f>E44+E46+E47+E55</f>
        <v>4275542046.4594436</v>
      </c>
      <c r="F56" s="42">
        <f t="shared" si="8"/>
        <v>18046.124886395341</v>
      </c>
    </row>
    <row r="57" spans="1:6" ht="14.25" customHeight="1" x14ac:dyDescent="0.35">
      <c r="A57" s="6" t="s">
        <v>155</v>
      </c>
    </row>
    <row r="58" spans="1:6" ht="14.25" customHeight="1" x14ac:dyDescent="0.35">
      <c r="A58" s="12" t="s">
        <v>156</v>
      </c>
      <c r="B58" s="38">
        <f>$C$198</f>
        <v>215224</v>
      </c>
      <c r="C58" s="12" t="s">
        <v>157</v>
      </c>
      <c r="D58" s="46">
        <f>IF(B58=0,0,E58/B58)</f>
        <v>249.03646880036607</v>
      </c>
      <c r="E58" s="13">
        <f>'BIAYA BERSAMA'!C116</f>
        <v>53598624.961089984</v>
      </c>
      <c r="F58" s="39">
        <f t="shared" ref="F58:F66" si="9">IF($B$30=0,0,E58/$B$30)</f>
        <v>226.22803594876811</v>
      </c>
    </row>
    <row r="59" spans="1:6" ht="14.25" customHeight="1" x14ac:dyDescent="0.35">
      <c r="A59" s="12" t="s">
        <v>158</v>
      </c>
      <c r="C59" s="12"/>
      <c r="E59" s="13">
        <f>'BIAYA BERSAMA'!C115</f>
        <v>384856549.2002359</v>
      </c>
      <c r="F59" s="39">
        <f t="shared" si="9"/>
        <v>1624.3950532461429</v>
      </c>
    </row>
    <row r="60" spans="1:6" ht="14.25" customHeight="1" x14ac:dyDescent="0.35">
      <c r="A60" s="12" t="s">
        <v>159</v>
      </c>
      <c r="C60" s="12"/>
      <c r="E60" s="13">
        <f>'BIAYA BERSAMA'!C117</f>
        <v>344061754.61614561</v>
      </c>
      <c r="F60" s="39">
        <f t="shared" si="9"/>
        <v>1452.2091760451522</v>
      </c>
    </row>
    <row r="61" spans="1:6" ht="14.25" customHeight="1" x14ac:dyDescent="0.35">
      <c r="A61" s="12" t="s">
        <v>160</v>
      </c>
      <c r="C61" s="12"/>
      <c r="E61" s="13">
        <f>'BIAYA BERSAMA'!C118</f>
        <v>35253314.069039188</v>
      </c>
      <c r="F61" s="39">
        <f t="shared" si="9"/>
        <v>148.79650379675755</v>
      </c>
    </row>
    <row r="62" spans="1:6" ht="14.25" customHeight="1" x14ac:dyDescent="0.35">
      <c r="A62" s="12" t="s">
        <v>161</v>
      </c>
      <c r="C62" s="12"/>
      <c r="E62" s="13">
        <f>'BIAYA BERSAMA'!C119</f>
        <v>214972608.09768781</v>
      </c>
      <c r="F62" s="39">
        <f t="shared" si="9"/>
        <v>907.3522118903096</v>
      </c>
    </row>
    <row r="63" spans="1:6" ht="14.25" customHeight="1" x14ac:dyDescent="0.35">
      <c r="A63" s="12" t="s">
        <v>162</v>
      </c>
      <c r="C63" s="12"/>
      <c r="E63" s="13">
        <f>'BIAYA BERSAMA'!C120</f>
        <v>254283568.55408388</v>
      </c>
      <c r="F63" s="39">
        <f t="shared" si="9"/>
        <v>1073.2751508046238</v>
      </c>
    </row>
    <row r="64" spans="1:6" ht="14.25" customHeight="1" x14ac:dyDescent="0.35">
      <c r="A64" s="40" t="s">
        <v>163</v>
      </c>
      <c r="B64" s="45"/>
      <c r="C64" s="45"/>
      <c r="D64" s="45"/>
      <c r="E64" s="42">
        <f>E60+E61+E62+E63</f>
        <v>848571245.3369565</v>
      </c>
      <c r="F64" s="42">
        <f t="shared" si="9"/>
        <v>3581.6330425368433</v>
      </c>
    </row>
    <row r="65" spans="1:6" ht="14.25" customHeight="1" x14ac:dyDescent="0.35">
      <c r="A65" s="40" t="s">
        <v>164</v>
      </c>
      <c r="B65" s="45"/>
      <c r="C65" s="45"/>
      <c r="D65" s="45"/>
      <c r="E65" s="42">
        <f>E58+E59+E64</f>
        <v>1287026419.4982824</v>
      </c>
      <c r="F65" s="42">
        <f t="shared" si="9"/>
        <v>5432.2561317317541</v>
      </c>
    </row>
    <row r="66" spans="1:6" ht="14.25" customHeight="1" x14ac:dyDescent="0.35">
      <c r="A66" s="40" t="s">
        <v>165</v>
      </c>
      <c r="B66" s="45"/>
      <c r="C66" s="45"/>
      <c r="D66" s="45"/>
      <c r="E66" s="42">
        <f>E56+E65</f>
        <v>5562568465.9577255</v>
      </c>
      <c r="F66" s="42">
        <f t="shared" si="9"/>
        <v>23478.381018127093</v>
      </c>
    </row>
    <row r="67" spans="1:6" ht="14.25" customHeight="1" x14ac:dyDescent="0.35">
      <c r="A67" s="5" t="s">
        <v>166</v>
      </c>
      <c r="B67" s="48">
        <f>IF($B$30=0,0,(B41+IF($D$230=0,0,B42/$D$230))/$B$30)</f>
        <v>3.3728277978590691</v>
      </c>
      <c r="C67" s="12" t="s">
        <v>167</v>
      </c>
      <c r="D67" s="36" t="s">
        <v>168</v>
      </c>
      <c r="E67" s="48">
        <f>INDEX(BUDGET!$C$15:$R$15,$E$5)</f>
        <v>0</v>
      </c>
    </row>
    <row r="68" spans="1:6" ht="14.25" customHeight="1" x14ac:dyDescent="0.35">
      <c r="A68" s="5" t="s">
        <v>169</v>
      </c>
      <c r="B68" s="43">
        <f>IF(B67*$B$30=0,0,IF($D$230=0,0,B42/$D$230)/(B67*$B$30))</f>
        <v>0.56564629145274303</v>
      </c>
      <c r="D68" s="36" t="s">
        <v>168</v>
      </c>
      <c r="E68" s="43">
        <f>INDEX(BUDGET!$C$21:$R$21,$E$5)</f>
        <v>0</v>
      </c>
    </row>
    <row r="70" spans="1:6" ht="14.25" customHeight="1" x14ac:dyDescent="0.35">
      <c r="A70" s="6" t="s">
        <v>170</v>
      </c>
    </row>
    <row r="71" spans="1:6" ht="24" customHeight="1" x14ac:dyDescent="0.35">
      <c r="A71" s="11" t="s">
        <v>4</v>
      </c>
      <c r="B71" s="11" t="s">
        <v>171</v>
      </c>
      <c r="C71" s="11"/>
      <c r="D71" s="11" t="s">
        <v>135</v>
      </c>
      <c r="E71" s="11" t="s">
        <v>73</v>
      </c>
      <c r="F71" s="11" t="s">
        <v>102</v>
      </c>
    </row>
    <row r="72" spans="1:6" ht="14.25" customHeight="1" x14ac:dyDescent="0.35">
      <c r="A72" s="12" t="s">
        <v>123</v>
      </c>
      <c r="B72" s="38">
        <f>B29</f>
        <v>357.5</v>
      </c>
      <c r="E72" s="39">
        <f>$C$196</f>
        <v>7910432.1863606405</v>
      </c>
    </row>
    <row r="73" spans="1:6" ht="14.25" customHeight="1" x14ac:dyDescent="0.35">
      <c r="A73" s="12" t="s">
        <v>172</v>
      </c>
      <c r="B73" s="38">
        <f>B30</f>
        <v>236923</v>
      </c>
      <c r="E73" s="39">
        <f>E66</f>
        <v>5562568465.9577255</v>
      </c>
    </row>
    <row r="74" spans="1:6" ht="14.25" customHeight="1" x14ac:dyDescent="0.35">
      <c r="A74" s="12" t="s">
        <v>173</v>
      </c>
      <c r="B74" s="38">
        <f>-B33</f>
        <v>-7581</v>
      </c>
      <c r="D74" s="46">
        <f>$C$209</f>
        <v>9777.2711808889308</v>
      </c>
      <c r="E74" s="39">
        <f>-B33*$C$209</f>
        <v>-74121492.822318986</v>
      </c>
    </row>
    <row r="75" spans="1:6" ht="14.25" customHeight="1" x14ac:dyDescent="0.35">
      <c r="A75" s="40" t="s">
        <v>174</v>
      </c>
      <c r="B75" s="41">
        <f>SUM(B72:B74)</f>
        <v>229699.5</v>
      </c>
      <c r="C75" s="45"/>
      <c r="D75" s="45"/>
      <c r="E75" s="42">
        <f>SUM(E72:E74)</f>
        <v>5496357405.3217669</v>
      </c>
      <c r="F75" s="45"/>
    </row>
    <row r="76" spans="1:6" ht="14.25" customHeight="1" x14ac:dyDescent="0.35">
      <c r="A76" s="6" t="s">
        <v>175</v>
      </c>
      <c r="D76" s="49">
        <f>IF(B75=0,0,E75/B75)</f>
        <v>23928.469175256225</v>
      </c>
      <c r="F76" s="46">
        <f>INDEX(BUDGET!$C$80:$R$80,$E$5)</f>
        <v>0</v>
      </c>
    </row>
    <row r="77" spans="1:6" ht="14.25" customHeight="1" x14ac:dyDescent="0.35">
      <c r="A77" s="12" t="s">
        <v>126</v>
      </c>
      <c r="B77" s="38">
        <f>B32</f>
        <v>221027</v>
      </c>
      <c r="E77" s="39">
        <f>B77*$D$76</f>
        <v>5288837756.3993578</v>
      </c>
    </row>
    <row r="78" spans="1:6" ht="14.25" customHeight="1" x14ac:dyDescent="0.35">
      <c r="A78" s="12" t="s">
        <v>176</v>
      </c>
      <c r="B78" s="38">
        <f>B34</f>
        <v>6500</v>
      </c>
      <c r="E78" s="39">
        <f>B78*$D$76</f>
        <v>155535049.63916546</v>
      </c>
    </row>
    <row r="79" spans="1:6" ht="14.25" customHeight="1" x14ac:dyDescent="0.35">
      <c r="A79" s="12" t="s">
        <v>129</v>
      </c>
      <c r="B79" s="38">
        <f>B35</f>
        <v>2172.5</v>
      </c>
      <c r="E79" s="39">
        <f>B79*$D$76</f>
        <v>51984599.283244148</v>
      </c>
    </row>
    <row r="80" spans="1:6" ht="14.25" customHeight="1" x14ac:dyDescent="0.35">
      <c r="A80" s="40" t="s">
        <v>177</v>
      </c>
      <c r="B80" s="41">
        <f>SUM(B77:B79)</f>
        <v>229699.5</v>
      </c>
      <c r="C80" s="45"/>
      <c r="D80" s="45"/>
      <c r="E80" s="42">
        <f>SUM(E77:E79)</f>
        <v>5496357405.3217678</v>
      </c>
      <c r="F80" s="45"/>
    </row>
    <row r="81" spans="1:13" ht="14.25" customHeight="1" x14ac:dyDescent="0.35">
      <c r="A81" s="5"/>
      <c r="B81" s="38">
        <f>B75-B80</f>
        <v>0</v>
      </c>
      <c r="E81" s="39">
        <f>E75-E80</f>
        <v>0</v>
      </c>
    </row>
    <row r="82" spans="1:13" ht="14.25" customHeight="1" x14ac:dyDescent="0.35">
      <c r="A82" s="5"/>
      <c r="E82" s="39"/>
    </row>
    <row r="84" spans="1:13" ht="14.25" customHeight="1" x14ac:dyDescent="0.35">
      <c r="A84" s="9" t="s">
        <v>178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ht="24" customHeight="1" x14ac:dyDescent="0.35">
      <c r="A85" s="11" t="s">
        <v>4</v>
      </c>
      <c r="B85" s="11" t="s">
        <v>171</v>
      </c>
      <c r="C85" s="11"/>
      <c r="D85" s="11" t="s">
        <v>135</v>
      </c>
      <c r="E85" s="11" t="s">
        <v>73</v>
      </c>
      <c r="F85" s="11" t="s">
        <v>102</v>
      </c>
    </row>
    <row r="86" spans="1:13" ht="14.25" customHeight="1" x14ac:dyDescent="0.35">
      <c r="A86" s="12" t="s">
        <v>179</v>
      </c>
      <c r="B86" s="38">
        <f>$C$201</f>
        <v>7029</v>
      </c>
      <c r="E86" s="39">
        <f>IF($C$201=0,0,$C$202)</f>
        <v>155531266.67952201</v>
      </c>
    </row>
    <row r="87" spans="1:13" ht="14.25" customHeight="1" x14ac:dyDescent="0.35">
      <c r="A87" s="12" t="s">
        <v>180</v>
      </c>
      <c r="B87" s="38">
        <f>B77</f>
        <v>221027</v>
      </c>
      <c r="E87" s="39">
        <f>E77</f>
        <v>5288837756.3993578</v>
      </c>
    </row>
    <row r="88" spans="1:13" ht="14.25" customHeight="1" x14ac:dyDescent="0.35">
      <c r="A88" s="40" t="s">
        <v>181</v>
      </c>
      <c r="B88" s="41">
        <f>B86+B87</f>
        <v>228056</v>
      </c>
      <c r="C88" s="45"/>
      <c r="D88" s="45"/>
      <c r="E88" s="42">
        <f>E86+E87</f>
        <v>5444369023.0788794</v>
      </c>
      <c r="F88" s="45"/>
    </row>
    <row r="89" spans="1:13" ht="14.25" customHeight="1" x14ac:dyDescent="0.35">
      <c r="A89" s="6" t="s">
        <v>175</v>
      </c>
      <c r="D89" s="49">
        <f>IF(B88=0,0,E88/B88)</f>
        <v>23872.94797365068</v>
      </c>
      <c r="F89" s="46">
        <f>INDEX(BUDGET!$C$81:$R$81,$E$5)</f>
        <v>0</v>
      </c>
    </row>
    <row r="90" spans="1:13" ht="14.25" customHeight="1" x14ac:dyDescent="0.35">
      <c r="A90" s="12" t="s">
        <v>182</v>
      </c>
      <c r="B90" s="38">
        <f>$C$203</f>
        <v>204950.5</v>
      </c>
      <c r="E90" s="39">
        <f>B90*$D$89</f>
        <v>4892772623.6736937</v>
      </c>
    </row>
    <row r="91" spans="1:13" ht="14.25" customHeight="1" x14ac:dyDescent="0.35">
      <c r="A91" s="12" t="s">
        <v>183</v>
      </c>
      <c r="B91" s="38">
        <f>'LAIN-LAIN'!$D$43</f>
        <v>23115.5</v>
      </c>
      <c r="E91" s="39">
        <f>B91*$D$89</f>
        <v>551835128.88492227</v>
      </c>
    </row>
    <row r="92" spans="1:13" ht="14.25" customHeight="1" x14ac:dyDescent="0.35">
      <c r="A92" s="12" t="s">
        <v>184</v>
      </c>
      <c r="B92" s="38">
        <f>$C$204</f>
        <v>0</v>
      </c>
      <c r="E92" s="39">
        <f>B92*$D$89</f>
        <v>0</v>
      </c>
    </row>
    <row r="93" spans="1:13" ht="14.25" customHeight="1" x14ac:dyDescent="0.35">
      <c r="A93" s="12" t="s">
        <v>185</v>
      </c>
      <c r="B93" s="38">
        <f>B88-B90-B91-B92</f>
        <v>-10</v>
      </c>
      <c r="E93" s="39">
        <f>B93*$D$89</f>
        <v>-238729.47973650679</v>
      </c>
    </row>
    <row r="94" spans="1:13" ht="14.25" customHeight="1" x14ac:dyDescent="0.35">
      <c r="A94" s="5" t="s">
        <v>186</v>
      </c>
      <c r="E94" s="39">
        <f>$C$205</f>
        <v>-17.84</v>
      </c>
    </row>
    <row r="95" spans="1:13" ht="14.25" customHeight="1" x14ac:dyDescent="0.35">
      <c r="A95" s="5" t="s">
        <v>187</v>
      </c>
      <c r="E95" s="39">
        <f>$C$202-E86</f>
        <v>0</v>
      </c>
    </row>
    <row r="96" spans="1:13" ht="14.25" customHeight="1" x14ac:dyDescent="0.35">
      <c r="A96" s="5" t="s">
        <v>188</v>
      </c>
      <c r="B96" s="38">
        <f>$C$206-B87</f>
        <v>-9047.5</v>
      </c>
    </row>
    <row r="97" spans="1:13" ht="14.25" customHeight="1" x14ac:dyDescent="0.35">
      <c r="A97" s="5" t="s">
        <v>189</v>
      </c>
      <c r="B97" s="38">
        <f>$C$207-B91</f>
        <v>-9057.5</v>
      </c>
    </row>
    <row r="99" spans="1:13" ht="14.25" customHeight="1" x14ac:dyDescent="0.35">
      <c r="A99" s="6" t="s">
        <v>13</v>
      </c>
    </row>
    <row r="100" spans="1:13" ht="14.25" customHeight="1" x14ac:dyDescent="0.35">
      <c r="A100" s="12" t="s">
        <v>190</v>
      </c>
      <c r="E100" s="39">
        <f>E90</f>
        <v>4892772623.6736937</v>
      </c>
    </row>
    <row r="101" spans="1:13" ht="14.25" customHeight="1" x14ac:dyDescent="0.35">
      <c r="A101" s="12" t="s">
        <v>191</v>
      </c>
      <c r="E101" s="39">
        <f>E78</f>
        <v>155535049.63916546</v>
      </c>
    </row>
    <row r="102" spans="1:13" ht="14.25" customHeight="1" x14ac:dyDescent="0.35">
      <c r="A102" s="12" t="s">
        <v>192</v>
      </c>
      <c r="E102" s="39">
        <f>E93</f>
        <v>-238729.47973650679</v>
      </c>
    </row>
    <row r="103" spans="1:13" ht="14.25" customHeight="1" x14ac:dyDescent="0.35">
      <c r="A103" s="12" t="s">
        <v>193</v>
      </c>
      <c r="B103" s="38">
        <f>$C$208</f>
        <v>5957</v>
      </c>
      <c r="D103" s="46">
        <f>$C$209</f>
        <v>9777.2711808889308</v>
      </c>
      <c r="E103" s="39">
        <f>B103*$C$209</f>
        <v>58243204.424555361</v>
      </c>
    </row>
    <row r="104" spans="1:13" ht="14.25" customHeight="1" x14ac:dyDescent="0.35">
      <c r="A104" s="40" t="s">
        <v>194</v>
      </c>
      <c r="B104" s="45"/>
      <c r="C104" s="45"/>
      <c r="D104" s="45"/>
      <c r="E104" s="42">
        <f>E100+E101+E102+E103</f>
        <v>5106312148.257679</v>
      </c>
      <c r="F104" s="45"/>
    </row>
    <row r="105" spans="1:13" ht="14.25" customHeight="1" x14ac:dyDescent="0.35">
      <c r="A105" s="6" t="s">
        <v>195</v>
      </c>
      <c r="D105" s="49">
        <f>IF(B90=0,0,(E100+E101)/B90)</f>
        <v>24631.838777230889</v>
      </c>
      <c r="F105" s="46">
        <f>IF(INDEX(BUDGET!$C$10:$R$10,$E$5)=0,0,INDEX(BUDGET!$C$84:$R$84,$E$5)/INDEX(BUDGET!$C$10:$R$10,$E$5))</f>
        <v>0</v>
      </c>
    </row>
    <row r="106" spans="1:13" ht="14.25" customHeight="1" x14ac:dyDescent="0.35">
      <c r="A106" s="5" t="s">
        <v>196</v>
      </c>
      <c r="E106" s="39">
        <f>INDEX(BUDGET!$C$84:$R$84,$E$5)</f>
        <v>0</v>
      </c>
    </row>
    <row r="108" spans="1:13" ht="14.25" customHeight="1" x14ac:dyDescent="0.35">
      <c r="A108" s="9" t="s">
        <v>197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1:13" ht="30" customHeight="1" x14ac:dyDescent="0.35">
      <c r="A109" s="11" t="s">
        <v>99</v>
      </c>
      <c r="B109" s="11" t="s">
        <v>198</v>
      </c>
      <c r="C109" s="11" t="s">
        <v>199</v>
      </c>
      <c r="D109" s="11" t="s">
        <v>200</v>
      </c>
      <c r="E109" s="11" t="s">
        <v>201</v>
      </c>
      <c r="F109" s="11" t="s">
        <v>18</v>
      </c>
      <c r="G109" s="11" t="s">
        <v>19</v>
      </c>
      <c r="H109" s="11" t="s">
        <v>20</v>
      </c>
      <c r="I109" s="11" t="s">
        <v>21</v>
      </c>
      <c r="J109" s="11" t="s">
        <v>22</v>
      </c>
      <c r="K109" s="11" t="s">
        <v>23</v>
      </c>
      <c r="L109" s="11" t="s">
        <v>24</v>
      </c>
      <c r="M109" s="11" t="s">
        <v>202</v>
      </c>
    </row>
    <row r="110" spans="1:13" ht="14.25" customHeight="1" x14ac:dyDescent="0.35">
      <c r="A110" s="12" t="s">
        <v>136</v>
      </c>
      <c r="B110" s="48">
        <f>IF($B$30=0,0,B41/$B$30)</f>
        <v>1.4650002622913647</v>
      </c>
      <c r="C110" s="48">
        <f>IF($D$30=0,0,INDEX(BUDGET!$C$18:$R$18,$E$5)/$D$30)</f>
        <v>0</v>
      </c>
      <c r="D110" s="46">
        <f>D41</f>
        <v>2942.83019010527</v>
      </c>
      <c r="E110" s="46">
        <f>IF(INDEX(BUDGET!$C$18:$R$18,$E$5)=0,0,INDEX(BUDGET!$C$20:$R$20,$E$5)/INDEX(BUDGET!$C$18:$R$18,$E$5))</f>
        <v>0</v>
      </c>
      <c r="F110" s="39">
        <f>F41</f>
        <v>4311.2470003831677</v>
      </c>
      <c r="G110" s="39">
        <f>IF($D$30=0,0,INDEX(BUDGET!$C$20:$R$20,$E$5)/$D$30)</f>
        <v>0</v>
      </c>
      <c r="H110" s="39">
        <f>F110-G110</f>
        <v>4311.2470003831677</v>
      </c>
      <c r="I110" s="39">
        <f>(D110-E110)*B110</f>
        <v>4311.2470003831677</v>
      </c>
      <c r="J110" s="39">
        <f>(B110-C110)*E110</f>
        <v>0</v>
      </c>
      <c r="K110" s="39">
        <v>0</v>
      </c>
      <c r="L110" s="39">
        <v>0</v>
      </c>
      <c r="M110" s="39">
        <f>H110-I110-J110-K110-L110</f>
        <v>0</v>
      </c>
    </row>
    <row r="111" spans="1:13" ht="14.25" customHeight="1" x14ac:dyDescent="0.35">
      <c r="A111" s="12" t="s">
        <v>138</v>
      </c>
      <c r="B111" s="48">
        <f>IF($B$30=0,0,B42/$B$30)</f>
        <v>1.1830003840910337</v>
      </c>
      <c r="C111" s="48">
        <f>IF($D$30=0,0,INDEX(BUDGET!$C$22:$R$22,$E$5)/$D$30)</f>
        <v>0</v>
      </c>
      <c r="D111" s="46">
        <f>D42</f>
        <v>4597.3383759097997</v>
      </c>
      <c r="E111" s="46">
        <f>IF(INDEX(BUDGET!$C$22:$R$22,$E$5)=0,0,INDEX(BUDGET!$C$24:$R$24,$E$5)/INDEX(BUDGET!$C$22:$R$22,$E$5))</f>
        <v>0</v>
      </c>
      <c r="F111" s="39">
        <f>F42</f>
        <v>5438.653064497742</v>
      </c>
      <c r="G111" s="39">
        <f>IF($D$30=0,0,INDEX(BUDGET!$C$24:$R$24,$E$5)/$D$30)</f>
        <v>0</v>
      </c>
      <c r="H111" s="39">
        <f>F111-G111</f>
        <v>5438.653064497742</v>
      </c>
      <c r="I111" s="39">
        <f>(D111-E111)*B111</f>
        <v>5438.653064497742</v>
      </c>
      <c r="J111" s="39">
        <f>(B111-C111)*E111</f>
        <v>0</v>
      </c>
      <c r="K111" s="39">
        <v>0</v>
      </c>
      <c r="L111" s="39">
        <v>0</v>
      </c>
      <c r="M111" s="39">
        <f>H111-I111-J111-K111-L111</f>
        <v>0</v>
      </c>
    </row>
    <row r="112" spans="1:13" ht="14.25" customHeight="1" x14ac:dyDescent="0.35">
      <c r="A112" s="40" t="s">
        <v>104</v>
      </c>
      <c r="B112" s="45"/>
      <c r="C112" s="45"/>
      <c r="D112" s="45"/>
      <c r="E112" s="45"/>
      <c r="F112" s="42">
        <f t="shared" ref="F112:M112" si="10">F110+F111</f>
        <v>9749.9000648809088</v>
      </c>
      <c r="G112" s="42">
        <f t="shared" si="10"/>
        <v>0</v>
      </c>
      <c r="H112" s="42">
        <f t="shared" si="10"/>
        <v>9749.9000648809088</v>
      </c>
      <c r="I112" s="42">
        <f t="shared" si="10"/>
        <v>9749.9000648809088</v>
      </c>
      <c r="J112" s="42">
        <f t="shared" si="10"/>
        <v>0</v>
      </c>
      <c r="K112" s="42">
        <f t="shared" si="10"/>
        <v>0</v>
      </c>
      <c r="L112" s="42">
        <f t="shared" si="10"/>
        <v>0</v>
      </c>
      <c r="M112" s="42">
        <f t="shared" si="10"/>
        <v>0</v>
      </c>
    </row>
    <row r="113" spans="1:13" ht="14.25" customHeight="1" x14ac:dyDescent="0.35">
      <c r="A113" s="12" t="s">
        <v>143</v>
      </c>
      <c r="B113" s="48">
        <f>IF($B$30=0,0,B46/$B$30)</f>
        <v>0.24425657281057558</v>
      </c>
      <c r="C113" s="48">
        <f>IF($D$30=0,0,INDEX(BUDGET!$C$27:$R$27,$E$5)/$D$30)</f>
        <v>0</v>
      </c>
      <c r="D113" s="46">
        <f>D46</f>
        <v>17512.1495067543</v>
      </c>
      <c r="E113" s="46">
        <f>IF(INDEX(BUDGET!$C$27:$R$27,$E$5)=0,0,INDEX(BUDGET!$C$29:$R$29,$E$5)/INDEX(BUDGET!$C$27:$R$27,$E$5))</f>
        <v>0</v>
      </c>
      <c r="F113" s="39">
        <f>F46</f>
        <v>4277.4576210662171</v>
      </c>
      <c r="G113" s="39">
        <f>IF($D$30=0,0,INDEX(BUDGET!$C$29:$R$29,$E$5)/$D$30)</f>
        <v>0</v>
      </c>
      <c r="H113" s="39">
        <f>F113-G113</f>
        <v>4277.4576210662171</v>
      </c>
      <c r="I113" s="39">
        <f>(D113-E113)*B113</f>
        <v>4277.4576210662171</v>
      </c>
      <c r="J113" s="39">
        <f>(B113-C113)*E113</f>
        <v>0</v>
      </c>
      <c r="K113" s="39">
        <v>0</v>
      </c>
      <c r="L113" s="39">
        <v>0</v>
      </c>
      <c r="M113" s="39">
        <f>H113-I113-J113-K113-L113</f>
        <v>0</v>
      </c>
    </row>
    <row r="114" spans="1:13" ht="14.25" customHeight="1" x14ac:dyDescent="0.35">
      <c r="A114" s="40" t="s">
        <v>105</v>
      </c>
      <c r="B114" s="45"/>
      <c r="C114" s="45"/>
      <c r="D114" s="45"/>
      <c r="E114" s="45"/>
      <c r="F114" s="42">
        <f t="shared" ref="F114:M114" si="11">F113</f>
        <v>4277.4576210662171</v>
      </c>
      <c r="G114" s="42">
        <f t="shared" si="11"/>
        <v>0</v>
      </c>
      <c r="H114" s="42">
        <f t="shared" si="11"/>
        <v>4277.4576210662171</v>
      </c>
      <c r="I114" s="42">
        <f t="shared" si="11"/>
        <v>4277.4576210662171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>
        <f t="shared" si="11"/>
        <v>0</v>
      </c>
    </row>
    <row r="115" spans="1:13" ht="14.25" customHeight="1" x14ac:dyDescent="0.35">
      <c r="A115" s="12" t="s">
        <v>203</v>
      </c>
      <c r="B115" s="48">
        <f>IF($B$30=0,0,B47/$B$30)</f>
        <v>1.4456266820469132E-2</v>
      </c>
      <c r="C115" s="48">
        <f>IF($D$30=0,0,INDEX(BUDGET!$C$31:$R$31,$E$5)/$D$30)</f>
        <v>0</v>
      </c>
      <c r="D115" s="46">
        <f>D47</f>
        <v>226177.30195899098</v>
      </c>
      <c r="E115" s="46">
        <f>IF(INDEX(BUDGET!$C$31:$R$31,$E$5)=0,0,INDEX(BUDGET!$C$32:$R$32,$E$5)/INDEX(BUDGET!$C$31:$R$31,$E$5))</f>
        <v>0</v>
      </c>
      <c r="F115" s="39">
        <f>F47</f>
        <v>3269.6794258529894</v>
      </c>
      <c r="G115" s="39">
        <f>IF($D$30=0,0,INDEX(BUDGET!$C$32:$R$32,$E$5)/$D$30)</f>
        <v>0</v>
      </c>
      <c r="H115" s="39">
        <f>F115-G115</f>
        <v>3269.6794258529894</v>
      </c>
      <c r="I115" s="39">
        <f>(D115-E115)*B115</f>
        <v>3269.6794258529894</v>
      </c>
      <c r="J115" s="39">
        <f>(B115-C115)*E115</f>
        <v>0</v>
      </c>
      <c r="K115" s="39">
        <v>0</v>
      </c>
      <c r="L115" s="39">
        <v>0</v>
      </c>
      <c r="M115" s="39">
        <f>H115-I115-J115-K115-L115</f>
        <v>0</v>
      </c>
    </row>
    <row r="116" spans="1:13" ht="14.25" customHeight="1" x14ac:dyDescent="0.35">
      <c r="A116" s="40" t="s">
        <v>106</v>
      </c>
      <c r="B116" s="45"/>
      <c r="C116" s="45"/>
      <c r="D116" s="45"/>
      <c r="E116" s="45"/>
      <c r="F116" s="42">
        <f t="shared" ref="F116:M116" si="12">F115</f>
        <v>3269.6794258529894</v>
      </c>
      <c r="G116" s="42">
        <f t="shared" si="12"/>
        <v>0</v>
      </c>
      <c r="H116" s="42">
        <f t="shared" si="12"/>
        <v>3269.6794258529894</v>
      </c>
      <c r="I116" s="42">
        <f t="shared" si="12"/>
        <v>3269.6794258529894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>
        <f t="shared" si="12"/>
        <v>0</v>
      </c>
    </row>
    <row r="117" spans="1:13" ht="14.25" customHeight="1" x14ac:dyDescent="0.35">
      <c r="A117" s="12" t="s">
        <v>146</v>
      </c>
      <c r="B117" s="48">
        <f>IF($B$30=0,0,B49/$B$30)</f>
        <v>7.1753270049763002E-3</v>
      </c>
      <c r="C117" s="48">
        <f>IF($D$30=0,0,INDEX(BUDGET!$C$33:$R$33,$E$5)/$D$30)</f>
        <v>0</v>
      </c>
      <c r="D117" s="46">
        <f>D49</f>
        <v>4638.58661997322</v>
      </c>
      <c r="E117" s="46">
        <f>IF(INDEX(BUDGET!$C$33:$R$33,$E$5)=0,0,INDEX(BUDGET!$C$35:$R$35,$E$5)/INDEX(BUDGET!$C$33:$R$33,$E$5))</f>
        <v>0</v>
      </c>
      <c r="F117" s="39">
        <f t="shared" ref="F117:F122" si="13">F49</f>
        <v>33.283375839215587</v>
      </c>
      <c r="G117" s="39">
        <f>IF($D$30=0,0,INDEX(BUDGET!$C$35:$R$35,$E$5)/$D$30)</f>
        <v>0</v>
      </c>
      <c r="H117" s="39">
        <f t="shared" ref="H117:H122" si="14">F117-G117</f>
        <v>33.283375839215587</v>
      </c>
      <c r="I117" s="39">
        <f>(D117-E117)*B117</f>
        <v>33.283375839215587</v>
      </c>
      <c r="J117" s="39">
        <f>(B117-C117)*E117</f>
        <v>0</v>
      </c>
      <c r="K117" s="39">
        <v>0</v>
      </c>
      <c r="L117" s="39">
        <v>0</v>
      </c>
      <c r="M117" s="39">
        <f t="shared" ref="M117:M122" si="15">H117-I117-J117-K117-L117</f>
        <v>0</v>
      </c>
    </row>
    <row r="118" spans="1:13" ht="14.25" customHeight="1" x14ac:dyDescent="0.35">
      <c r="A118" s="12" t="s">
        <v>147</v>
      </c>
      <c r="B118" s="48">
        <f>IF($B$30=0,0,B50/$B$30)</f>
        <v>1.0665912553867712E-3</v>
      </c>
      <c r="C118" s="48">
        <f>IF($D$30=0,0,INDEX(BUDGET!$C$36:$R$36,$E$5)/$D$30)</f>
        <v>0</v>
      </c>
      <c r="D118" s="46">
        <f>D50</f>
        <v>32673.742396272301</v>
      </c>
      <c r="E118" s="46">
        <f>IF(INDEX(BUDGET!$C$36:$R$36,$E$5)=0,0,INDEX(BUDGET!$C$38:$R$38,$E$5)/INDEX(BUDGET!$C$36:$R$36,$E$5))</f>
        <v>0</v>
      </c>
      <c r="F118" s="39">
        <f t="shared" si="13"/>
        <v>34.849527920624041</v>
      </c>
      <c r="G118" s="39">
        <f>IF($D$30=0,0,INDEX(BUDGET!$C$38:$R$38,$E$5)/$D$30)</f>
        <v>0</v>
      </c>
      <c r="H118" s="39">
        <f t="shared" si="14"/>
        <v>34.849527920624041</v>
      </c>
      <c r="I118" s="39">
        <f>(D118-E118)*B118</f>
        <v>34.849527920624041</v>
      </c>
      <c r="J118" s="39">
        <f>(B118-C118)*E118</f>
        <v>0</v>
      </c>
      <c r="K118" s="39">
        <v>0</v>
      </c>
      <c r="L118" s="39">
        <v>0</v>
      </c>
      <c r="M118" s="39">
        <f t="shared" si="15"/>
        <v>0</v>
      </c>
    </row>
    <row r="119" spans="1:13" ht="14.25" customHeight="1" x14ac:dyDescent="0.35">
      <c r="A119" s="12" t="s">
        <v>148</v>
      </c>
      <c r="B119" s="48">
        <f>IF($B$30=0,0,B51/$B$30)</f>
        <v>7.8548726801534671E-3</v>
      </c>
      <c r="C119" s="48">
        <f>IF($D$30=0,0,INDEX(BUDGET!$C$39:$R$39,$E$5)/$D$30)</f>
        <v>0</v>
      </c>
      <c r="D119" s="46">
        <f>D51</f>
        <v>34380.541482824701</v>
      </c>
      <c r="E119" s="46">
        <f>IF(INDEX(BUDGET!$C$39:$R$39,$E$5)=0,0,INDEX(BUDGET!$C$41:$R$41,$E$5)/INDEX(BUDGET!$C$39:$R$39,$E$5))</f>
        <v>0</v>
      </c>
      <c r="F119" s="39">
        <f t="shared" si="13"/>
        <v>270.05477602232276</v>
      </c>
      <c r="G119" s="39">
        <f>IF($D$30=0,0,INDEX(BUDGET!$C$41:$R$41,$E$5)/$D$30)</f>
        <v>0</v>
      </c>
      <c r="H119" s="39">
        <f t="shared" si="14"/>
        <v>270.05477602232276</v>
      </c>
      <c r="I119" s="39">
        <f>(D119-E119)*B119</f>
        <v>270.0547760223227</v>
      </c>
      <c r="J119" s="39">
        <f>(B119-C119)*E119</f>
        <v>0</v>
      </c>
      <c r="K119" s="39">
        <v>0</v>
      </c>
      <c r="L119" s="39">
        <v>0</v>
      </c>
      <c r="M119" s="39">
        <f t="shared" si="15"/>
        <v>5.6843418860808015E-14</v>
      </c>
    </row>
    <row r="120" spans="1:13" ht="14.25" customHeight="1" x14ac:dyDescent="0.35">
      <c r="A120" s="12" t="s">
        <v>149</v>
      </c>
      <c r="B120" s="48">
        <f>IF($B$30=0,0,B52/$B$30)</f>
        <v>5.7993525322573153E-3</v>
      </c>
      <c r="C120" s="48">
        <f>IF($D$30=0,0,INDEX(BUDGET!$C$42:$R$42,$E$5)/$D$30)</f>
        <v>0</v>
      </c>
      <c r="D120" s="46">
        <f>D52</f>
        <v>32614.581205548398</v>
      </c>
      <c r="E120" s="46">
        <f>IF(INDEX(BUDGET!$C$42:$R$42,$E$5)=0,0,INDEX(BUDGET!$C$44:$R$44,$E$5)/INDEX(BUDGET!$C$42:$R$42,$E$5))</f>
        <v>0</v>
      </c>
      <c r="F120" s="39">
        <f t="shared" si="13"/>
        <v>189.14345410290895</v>
      </c>
      <c r="G120" s="39">
        <f>IF($D$30=0,0,INDEX(BUDGET!$C$44:$R$44,$E$5)/$D$30)</f>
        <v>0</v>
      </c>
      <c r="H120" s="39">
        <f t="shared" si="14"/>
        <v>189.14345410290895</v>
      </c>
      <c r="I120" s="39">
        <f>(D120-E120)*B120</f>
        <v>189.14345410290895</v>
      </c>
      <c r="J120" s="39">
        <f>(B120-C120)*E120</f>
        <v>0</v>
      </c>
      <c r="K120" s="39">
        <v>0</v>
      </c>
      <c r="L120" s="39">
        <v>0</v>
      </c>
      <c r="M120" s="39">
        <f t="shared" si="15"/>
        <v>0</v>
      </c>
    </row>
    <row r="121" spans="1:13" ht="14.25" customHeight="1" x14ac:dyDescent="0.35">
      <c r="A121" s="12" t="s">
        <v>150</v>
      </c>
      <c r="B121" s="48">
        <f>IF($B$30=0,0,B53/$B$30)</f>
        <v>4.2207805911625296E-4</v>
      </c>
      <c r="C121" s="48">
        <f>IF($D$30=0,0,INDEX(BUDGET!$C$45:$R$45,$E$5)/$D$30)</f>
        <v>0</v>
      </c>
      <c r="D121" s="46">
        <f>D53</f>
        <v>9761.7670769323595</v>
      </c>
      <c r="E121" s="46">
        <f>IF(INDEX(BUDGET!$C$45:$R$45,$E$5)=0,0,INDEX(BUDGET!$C$47:$R$47,$E$5)/INDEX(BUDGET!$C$45:$R$45,$E$5))</f>
        <v>0</v>
      </c>
      <c r="F121" s="39">
        <f t="shared" si="13"/>
        <v>4.1202277013765487</v>
      </c>
      <c r="G121" s="39">
        <f>IF($D$30=0,0,INDEX(BUDGET!$C$47:$R$47,$E$5)/$D$30)</f>
        <v>0</v>
      </c>
      <c r="H121" s="39">
        <f t="shared" si="14"/>
        <v>4.1202277013765487</v>
      </c>
      <c r="I121" s="39">
        <f>(D121-E121)*B121</f>
        <v>4.1202277013765478</v>
      </c>
      <c r="J121" s="39">
        <f>(B121-C121)*E121</f>
        <v>0</v>
      </c>
      <c r="K121" s="39">
        <v>0</v>
      </c>
      <c r="L121" s="39">
        <v>0</v>
      </c>
      <c r="M121" s="39">
        <f t="shared" si="15"/>
        <v>8.8817841970012523E-16</v>
      </c>
    </row>
    <row r="122" spans="1:13" ht="14.25" customHeight="1" x14ac:dyDescent="0.35">
      <c r="A122" s="12" t="s">
        <v>204</v>
      </c>
      <c r="F122" s="39">
        <f t="shared" si="13"/>
        <v>40.796405917867119</v>
      </c>
      <c r="G122" s="39">
        <f>IF($D$30=0,0,INDEX(BUDGET!$C$48:$R$48,$E$5)/$D$30)</f>
        <v>0</v>
      </c>
      <c r="H122" s="39">
        <f t="shared" si="14"/>
        <v>40.796405917867119</v>
      </c>
      <c r="I122" s="39">
        <v>0</v>
      </c>
      <c r="J122" s="39">
        <f>H122</f>
        <v>40.796405917867119</v>
      </c>
      <c r="K122" s="39">
        <v>0</v>
      </c>
      <c r="L122" s="39">
        <v>0</v>
      </c>
      <c r="M122" s="39">
        <f t="shared" si="15"/>
        <v>0</v>
      </c>
    </row>
    <row r="123" spans="1:13" ht="14.25" customHeight="1" x14ac:dyDescent="0.35">
      <c r="A123" s="40" t="s">
        <v>107</v>
      </c>
      <c r="B123" s="45"/>
      <c r="C123" s="45"/>
      <c r="D123" s="45"/>
      <c r="E123" s="45"/>
      <c r="F123" s="42">
        <f t="shared" ref="F123:M123" si="16">F117+F118+F119+F120+F121+F122</f>
        <v>572.24776750431488</v>
      </c>
      <c r="G123" s="42">
        <f t="shared" si="16"/>
        <v>0</v>
      </c>
      <c r="H123" s="42">
        <f t="shared" si="16"/>
        <v>572.24776750431488</v>
      </c>
      <c r="I123" s="42">
        <f t="shared" si="16"/>
        <v>531.45136158644777</v>
      </c>
      <c r="J123" s="42">
        <f t="shared" si="16"/>
        <v>40.796405917867119</v>
      </c>
      <c r="K123" s="42">
        <f t="shared" si="16"/>
        <v>0</v>
      </c>
      <c r="L123" s="42">
        <f t="shared" si="16"/>
        <v>0</v>
      </c>
      <c r="M123" s="42">
        <f t="shared" si="16"/>
        <v>5.773159728050814E-14</v>
      </c>
    </row>
    <row r="124" spans="1:13" ht="14.25" customHeight="1" x14ac:dyDescent="0.35">
      <c r="A124" s="12" t="s">
        <v>205</v>
      </c>
      <c r="B124" s="48">
        <f>IF($B$30=0,0,B58/$B$30)</f>
        <v>0.90841328195236426</v>
      </c>
      <c r="C124" s="48">
        <f>IF($D$30=0,0,INDEX(BUDGET!$C$51:$R$51,$E$5)/$D$30)</f>
        <v>0</v>
      </c>
      <c r="D124" s="46">
        <f>D58</f>
        <v>249.03646880036607</v>
      </c>
      <c r="E124" s="46">
        <f>IF(INDEX(BUDGET!$C$51:$R$51,$E$5)=0,0,INDEX(BUDGET!$C$53:$R$53,$E$5)/INDEX(BUDGET!$C$51:$R$51,$E$5))</f>
        <v>0</v>
      </c>
      <c r="F124" s="39">
        <f>F58</f>
        <v>226.22803594876811</v>
      </c>
      <c r="G124" s="39">
        <f>IF($D$30=0,0,INDEX(BUDGET!$C$53:$R$53,$E$5)/$D$30)</f>
        <v>0</v>
      </c>
      <c r="H124" s="39">
        <f>F124-G124</f>
        <v>226.22803594876811</v>
      </c>
      <c r="I124" s="39">
        <f>(D124-E124)*B124</f>
        <v>226.22803594876811</v>
      </c>
      <c r="J124" s="39">
        <f>(B124-C124)*E124</f>
        <v>0</v>
      </c>
      <c r="K124" s="39">
        <v>0</v>
      </c>
      <c r="L124" s="39">
        <v>0</v>
      </c>
      <c r="M124" s="39">
        <f>H124-I124-J124-K124-L124</f>
        <v>0</v>
      </c>
    </row>
    <row r="125" spans="1:13" ht="14.25" customHeight="1" x14ac:dyDescent="0.35">
      <c r="A125" s="40" t="s">
        <v>108</v>
      </c>
      <c r="B125" s="45"/>
      <c r="C125" s="45"/>
      <c r="D125" s="45"/>
      <c r="E125" s="45"/>
      <c r="F125" s="42">
        <f t="shared" ref="F125:M125" si="17">F124</f>
        <v>226.22803594876811</v>
      </c>
      <c r="G125" s="42">
        <f t="shared" si="17"/>
        <v>0</v>
      </c>
      <c r="H125" s="42">
        <f t="shared" si="17"/>
        <v>226.22803594876811</v>
      </c>
      <c r="I125" s="42">
        <f t="shared" si="17"/>
        <v>226.22803594876811</v>
      </c>
      <c r="J125" s="42">
        <f t="shared" si="17"/>
        <v>0</v>
      </c>
      <c r="K125" s="42">
        <f t="shared" si="17"/>
        <v>0</v>
      </c>
      <c r="L125" s="42">
        <f t="shared" si="17"/>
        <v>0</v>
      </c>
      <c r="M125" s="42">
        <f t="shared" si="17"/>
        <v>0</v>
      </c>
    </row>
    <row r="126" spans="1:13" ht="14.25" customHeight="1" x14ac:dyDescent="0.35">
      <c r="A126" s="12" t="s">
        <v>158</v>
      </c>
      <c r="F126" s="39">
        <f>F59</f>
        <v>1624.3950532461429</v>
      </c>
      <c r="G126" s="39">
        <f>IF($D$30=0,0,INDEX(BUDGET!$C$87:$R$87,$E$5)/$D$30)</f>
        <v>0</v>
      </c>
      <c r="H126" s="39">
        <f>F126-G126</f>
        <v>1624.3950532461429</v>
      </c>
      <c r="I126" s="39">
        <f>IF($B$30=0,0,('BIAYA BERSAMA'!$C$125-INDEX(BUDGET!$C$87:$R$87,$E$5))/$B$30)</f>
        <v>1922.5850931653881</v>
      </c>
      <c r="J126" s="39">
        <v>0</v>
      </c>
      <c r="K126" s="39">
        <f>IF($B$30=0,0,INDEX(BUDGET!$C$87:$R$87,$E$5)/$B$30)-G126</f>
        <v>0</v>
      </c>
      <c r="L126" s="39">
        <f>IF($B$30=0,0,(E59-'BIAYA BERSAMA'!$C$125)/$B$30)</f>
        <v>-298.19003991924524</v>
      </c>
      <c r="M126" s="39">
        <f>H126-I126-J126-K126-L126</f>
        <v>0</v>
      </c>
    </row>
    <row r="127" spans="1:13" ht="14.25" customHeight="1" x14ac:dyDescent="0.35">
      <c r="A127" s="40" t="s">
        <v>206</v>
      </c>
      <c r="B127" s="45"/>
      <c r="C127" s="45"/>
      <c r="D127" s="45"/>
      <c r="E127" s="45"/>
      <c r="F127" s="42">
        <f t="shared" ref="F127:M127" si="18">F126</f>
        <v>1624.3950532461429</v>
      </c>
      <c r="G127" s="42">
        <f t="shared" si="18"/>
        <v>0</v>
      </c>
      <c r="H127" s="42">
        <f t="shared" si="18"/>
        <v>1624.3950532461429</v>
      </c>
      <c r="I127" s="42">
        <f t="shared" si="18"/>
        <v>1922.5850931653881</v>
      </c>
      <c r="J127" s="42">
        <f t="shared" si="18"/>
        <v>0</v>
      </c>
      <c r="K127" s="42">
        <f t="shared" si="18"/>
        <v>0</v>
      </c>
      <c r="L127" s="42">
        <f t="shared" si="18"/>
        <v>-298.19003991924524</v>
      </c>
      <c r="M127" s="42">
        <f t="shared" si="18"/>
        <v>0</v>
      </c>
    </row>
    <row r="128" spans="1:13" ht="14.25" customHeight="1" x14ac:dyDescent="0.35">
      <c r="A128" s="12" t="s">
        <v>207</v>
      </c>
      <c r="F128" s="39">
        <f>F60</f>
        <v>1452.2091760451522</v>
      </c>
      <c r="G128" s="39">
        <f>IF($D$30=0,0,INDEX(BUDGET!$C$88:$R$88,$E$5)/$D$30)</f>
        <v>0</v>
      </c>
      <c r="H128" s="39">
        <f>F128-G128</f>
        <v>1452.2091760451522</v>
      </c>
      <c r="I128" s="39">
        <f>IF($B$30=0,0,('BIAYA BERSAMA'!$C$127-INDEX(BUDGET!$C$88:$R$88,$E$5))/$B$30)</f>
        <v>1718.7910714471573</v>
      </c>
      <c r="J128" s="39">
        <v>0</v>
      </c>
      <c r="K128" s="39">
        <f>IF($B$30=0,0,INDEX(BUDGET!$C$88:$R$88,$E$5)/$B$30)-G128</f>
        <v>0</v>
      </c>
      <c r="L128" s="39">
        <f>IF($B$30=0,0,(E60-'BIAYA BERSAMA'!$C$127)/$B$30)</f>
        <v>-266.58189540200505</v>
      </c>
      <c r="M128" s="39">
        <f>H128-I128-J128-K128-L128</f>
        <v>0</v>
      </c>
    </row>
    <row r="129" spans="1:13" ht="14.25" customHeight="1" x14ac:dyDescent="0.35">
      <c r="A129" s="12" t="s">
        <v>160</v>
      </c>
      <c r="F129" s="39">
        <f>F61</f>
        <v>148.79650379675755</v>
      </c>
      <c r="G129" s="39">
        <f>IF($D$30=0,0,INDEX(BUDGET!$C$56:$R$56,$E$5)/$D$30)</f>
        <v>0</v>
      </c>
      <c r="H129" s="39">
        <f>F129-G129</f>
        <v>148.79650379675755</v>
      </c>
      <c r="I129" s="39">
        <f>IF($B$30=0,0,('BIAYA BERSAMA'!$C$128-INDEX(BUDGET!$C$56:$R$56,$E$5))/$B$30)</f>
        <v>191.46297100439972</v>
      </c>
      <c r="J129" s="39">
        <v>0</v>
      </c>
      <c r="K129" s="39">
        <f>IF($B$30=0,0,INDEX(BUDGET!$C$56:$R$56,$E$5)/$B$30)-G129</f>
        <v>0</v>
      </c>
      <c r="L129" s="39">
        <f>IF($B$30=0,0,(E61-'BIAYA BERSAMA'!$C$128)/$B$30)</f>
        <v>-42.666467207642185</v>
      </c>
      <c r="M129" s="39">
        <f>H129-I129-J129-K129-L129</f>
        <v>0</v>
      </c>
    </row>
    <row r="130" spans="1:13" ht="14.25" customHeight="1" x14ac:dyDescent="0.35">
      <c r="A130" s="12" t="s">
        <v>208</v>
      </c>
      <c r="F130" s="39">
        <f>F62</f>
        <v>907.3522118903096</v>
      </c>
      <c r="G130" s="39">
        <f>IF($D$30=0,0,INDEX(BUDGET!$C$57:$R$57,$E$5)/$D$30)</f>
        <v>0</v>
      </c>
      <c r="H130" s="39">
        <f>F130-G130</f>
        <v>907.3522118903096</v>
      </c>
      <c r="I130" s="39">
        <f>IF($B$30=0,0,('BIAYA BERSAMA'!$C$129-INDEX(BUDGET!$C$57:$R$57,$E$5))/$B$30)</f>
        <v>998.03853408207954</v>
      </c>
      <c r="J130" s="39">
        <v>0</v>
      </c>
      <c r="K130" s="39">
        <f>IF($B$30=0,0,INDEX(BUDGET!$C$57:$R$57,$E$5)/$B$30)-G130</f>
        <v>0</v>
      </c>
      <c r="L130" s="39">
        <f>IF($B$30=0,0,(E62-'BIAYA BERSAMA'!$C$129)/$B$30)</f>
        <v>-90.68632219176996</v>
      </c>
      <c r="M130" s="39">
        <f>H130-I130-J130-K130-L130</f>
        <v>0</v>
      </c>
    </row>
    <row r="131" spans="1:13" ht="14.25" customHeight="1" x14ac:dyDescent="0.35">
      <c r="A131" s="12" t="s">
        <v>209</v>
      </c>
      <c r="F131" s="39">
        <f>F63</f>
        <v>1073.2751508046238</v>
      </c>
      <c r="G131" s="39">
        <f>IF($D$30=0,0,INDEX(BUDGET!$C$58:$R$58,$E$5)/$D$30)</f>
        <v>0</v>
      </c>
      <c r="H131" s="39">
        <f>F131-G131</f>
        <v>1073.2751508046238</v>
      </c>
      <c r="I131" s="39">
        <f>IF($B$30=0,0,('BIAYA BERSAMA'!$C$130-INDEX(BUDGET!$C$58:$R$58,$E$5))/$B$30)</f>
        <v>1073.2751508046238</v>
      </c>
      <c r="J131" s="39">
        <v>0</v>
      </c>
      <c r="K131" s="39">
        <f>IF($B$30=0,0,INDEX(BUDGET!$C$58:$R$58,$E$5)/$B$30)-G131</f>
        <v>0</v>
      </c>
      <c r="L131" s="39">
        <f>IF($B$30=0,0,(E63-'BIAYA BERSAMA'!$C$130)/$B$30)</f>
        <v>0</v>
      </c>
      <c r="M131" s="39">
        <f>H131-I131-J131-K131-L131</f>
        <v>0</v>
      </c>
    </row>
    <row r="132" spans="1:13" ht="14.25" customHeight="1" x14ac:dyDescent="0.35">
      <c r="A132" s="40" t="s">
        <v>210</v>
      </c>
      <c r="B132" s="45"/>
      <c r="C132" s="45"/>
      <c r="D132" s="45"/>
      <c r="E132" s="45"/>
      <c r="F132" s="42">
        <f t="shared" ref="F132:M132" si="19">F128+F129+F130+F131</f>
        <v>3581.6330425368433</v>
      </c>
      <c r="G132" s="42">
        <f t="shared" si="19"/>
        <v>0</v>
      </c>
      <c r="H132" s="42">
        <f t="shared" si="19"/>
        <v>3581.6330425368433</v>
      </c>
      <c r="I132" s="42">
        <f t="shared" si="19"/>
        <v>3981.5677273382598</v>
      </c>
      <c r="J132" s="42">
        <f t="shared" si="19"/>
        <v>0</v>
      </c>
      <c r="K132" s="42">
        <f t="shared" si="19"/>
        <v>0</v>
      </c>
      <c r="L132" s="42">
        <f t="shared" si="19"/>
        <v>-399.93468480141723</v>
      </c>
      <c r="M132" s="42">
        <f t="shared" si="19"/>
        <v>0</v>
      </c>
    </row>
    <row r="133" spans="1:13" ht="14.25" customHeight="1" x14ac:dyDescent="0.35">
      <c r="A133" s="40" t="s">
        <v>211</v>
      </c>
      <c r="B133" s="45"/>
      <c r="C133" s="45"/>
      <c r="D133" s="45"/>
      <c r="E133" s="45"/>
      <c r="F133" s="42">
        <f t="shared" ref="F133:M133" si="20">F112+F114+F116+F123+F125+F127+F132</f>
        <v>23301.541011036181</v>
      </c>
      <c r="G133" s="42">
        <f t="shared" si="20"/>
        <v>0</v>
      </c>
      <c r="H133" s="42">
        <f t="shared" si="20"/>
        <v>23301.541011036181</v>
      </c>
      <c r="I133" s="42">
        <f t="shared" si="20"/>
        <v>23958.869329838977</v>
      </c>
      <c r="J133" s="42">
        <f t="shared" si="20"/>
        <v>40.796405917867119</v>
      </c>
      <c r="K133" s="42">
        <f t="shared" si="20"/>
        <v>0</v>
      </c>
      <c r="L133" s="42">
        <f t="shared" si="20"/>
        <v>-698.12472472066247</v>
      </c>
      <c r="M133" s="42">
        <f t="shared" si="20"/>
        <v>5.773159728050814E-14</v>
      </c>
    </row>
    <row r="134" spans="1:13" ht="14.25" customHeight="1" x14ac:dyDescent="0.35">
      <c r="A134" s="5"/>
      <c r="G134" s="39"/>
    </row>
    <row r="135" spans="1:13" ht="25.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7" spans="1:13" ht="14.25" customHeight="1" x14ac:dyDescent="0.35">
      <c r="A137" s="9" t="s">
        <v>212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spans="1:13" ht="24" customHeight="1" x14ac:dyDescent="0.35">
      <c r="A138" s="11" t="s">
        <v>4</v>
      </c>
      <c r="B138" s="11" t="s">
        <v>213</v>
      </c>
      <c r="C138" s="11" t="s">
        <v>214</v>
      </c>
      <c r="D138" s="11" t="s">
        <v>215</v>
      </c>
      <c r="E138" s="11" t="s">
        <v>20</v>
      </c>
    </row>
    <row r="139" spans="1:13" ht="14.25" customHeight="1" x14ac:dyDescent="0.35">
      <c r="A139" s="12" t="s">
        <v>216</v>
      </c>
      <c r="B139" s="50">
        <v>20</v>
      </c>
      <c r="C139" s="38">
        <f>-E44/10^6</f>
        <v>-2351.8730380717798</v>
      </c>
      <c r="D139" s="51"/>
      <c r="E139" s="38">
        <f t="shared" ref="E139:E152" si="21">C139-D139</f>
        <v>-2351.8730380717798</v>
      </c>
    </row>
    <row r="140" spans="1:13" ht="14.25" customHeight="1" x14ac:dyDescent="0.35">
      <c r="A140" s="12" t="s">
        <v>217</v>
      </c>
      <c r="B140" s="50">
        <v>21</v>
      </c>
      <c r="C140" s="38">
        <f>-E46/10^6</f>
        <v>-1013.4280919558713</v>
      </c>
      <c r="D140" s="51"/>
      <c r="E140" s="38">
        <f t="shared" si="21"/>
        <v>-1013.4280919558713</v>
      </c>
    </row>
    <row r="141" spans="1:13" ht="14.25" customHeight="1" x14ac:dyDescent="0.35">
      <c r="A141" s="12" t="s">
        <v>144</v>
      </c>
      <c r="B141" s="50">
        <v>22</v>
      </c>
      <c r="C141" s="38">
        <f>-E47/10^6</f>
        <v>-774.66225861136786</v>
      </c>
      <c r="D141" s="51"/>
      <c r="E141" s="38">
        <f t="shared" si="21"/>
        <v>-774.66225861136786</v>
      </c>
    </row>
    <row r="142" spans="1:13" ht="14.25" customHeight="1" x14ac:dyDescent="0.35">
      <c r="A142" s="12" t="s">
        <v>218</v>
      </c>
      <c r="B142" s="50">
        <v>23</v>
      </c>
      <c r="C142" s="38">
        <f>-E55/10^6</f>
        <v>-135.57865782042484</v>
      </c>
      <c r="D142" s="51"/>
      <c r="E142" s="38">
        <f t="shared" si="21"/>
        <v>-135.57865782042484</v>
      </c>
    </row>
    <row r="143" spans="1:13" ht="14.25" customHeight="1" x14ac:dyDescent="0.35">
      <c r="A143" s="12" t="s">
        <v>219</v>
      </c>
      <c r="B143" s="50">
        <v>24</v>
      </c>
      <c r="C143" s="38">
        <f>-E58/10^6</f>
        <v>-53.598624961089982</v>
      </c>
      <c r="D143" s="51"/>
      <c r="E143" s="38">
        <f t="shared" si="21"/>
        <v>-53.598624961089982</v>
      </c>
    </row>
    <row r="144" spans="1:13" ht="14.25" customHeight="1" x14ac:dyDescent="0.35">
      <c r="A144" s="12" t="s">
        <v>220</v>
      </c>
      <c r="B144" s="50">
        <v>25</v>
      </c>
      <c r="C144" s="38">
        <f>-E59/10^6</f>
        <v>-384.85654920023592</v>
      </c>
      <c r="D144" s="51"/>
      <c r="E144" s="38">
        <f t="shared" si="21"/>
        <v>-384.85654920023592</v>
      </c>
    </row>
    <row r="145" spans="1:13" ht="14.25" customHeight="1" x14ac:dyDescent="0.35">
      <c r="A145" s="12" t="s">
        <v>221</v>
      </c>
      <c r="B145" s="50">
        <v>26</v>
      </c>
      <c r="C145" s="38">
        <f>-E64/10^6</f>
        <v>-848.57124533695651</v>
      </c>
      <c r="D145" s="51"/>
      <c r="E145" s="38">
        <f t="shared" si="21"/>
        <v>-848.57124533695651</v>
      </c>
    </row>
    <row r="146" spans="1:13" ht="14.25" customHeight="1" x14ac:dyDescent="0.35">
      <c r="A146" s="12" t="s">
        <v>222</v>
      </c>
      <c r="B146" s="50">
        <v>28</v>
      </c>
      <c r="C146" s="38">
        <f>-E74/10^6</f>
        <v>74.121492822318984</v>
      </c>
      <c r="D146" s="51"/>
      <c r="E146" s="38">
        <f t="shared" si="21"/>
        <v>74.121492822318984</v>
      </c>
    </row>
    <row r="147" spans="1:13" ht="14.25" customHeight="1" x14ac:dyDescent="0.35">
      <c r="A147" s="12" t="s">
        <v>223</v>
      </c>
      <c r="B147" s="50">
        <v>28</v>
      </c>
      <c r="C147" s="38">
        <f>-E103/10^6</f>
        <v>-58.243204424555358</v>
      </c>
      <c r="D147" s="51"/>
      <c r="E147" s="38">
        <f t="shared" si="21"/>
        <v>-58.243204424555358</v>
      </c>
    </row>
    <row r="148" spans="1:13" ht="14.25" customHeight="1" x14ac:dyDescent="0.35">
      <c r="A148" s="12" t="s">
        <v>224</v>
      </c>
      <c r="B148" s="50">
        <v>28</v>
      </c>
      <c r="C148" s="38">
        <f>E91/10^6</f>
        <v>551.83512888492226</v>
      </c>
      <c r="D148" s="51"/>
      <c r="E148" s="38">
        <f t="shared" si="21"/>
        <v>551.83512888492226</v>
      </c>
    </row>
    <row r="149" spans="1:13" ht="14.25" customHeight="1" x14ac:dyDescent="0.35">
      <c r="A149" s="12" t="s">
        <v>225</v>
      </c>
      <c r="B149" s="50">
        <v>29</v>
      </c>
      <c r="C149" s="38">
        <f>-E72/10^6</f>
        <v>-7.9104321863606408</v>
      </c>
      <c r="D149" s="51"/>
      <c r="E149" s="38">
        <f t="shared" si="21"/>
        <v>-7.9104321863606408</v>
      </c>
    </row>
    <row r="150" spans="1:13" ht="14.25" customHeight="1" x14ac:dyDescent="0.35">
      <c r="A150" s="12" t="s">
        <v>226</v>
      </c>
      <c r="B150" s="50">
        <v>30</v>
      </c>
      <c r="C150" s="38">
        <f>E79/10^6</f>
        <v>51.984599283244151</v>
      </c>
      <c r="D150" s="51"/>
      <c r="E150" s="38">
        <f t="shared" si="21"/>
        <v>51.984599283244151</v>
      </c>
    </row>
    <row r="151" spans="1:13" ht="14.25" customHeight="1" x14ac:dyDescent="0.35">
      <c r="A151" s="12" t="s">
        <v>227</v>
      </c>
      <c r="B151" s="50">
        <v>31</v>
      </c>
      <c r="C151" s="38">
        <f>-E86/10^6</f>
        <v>-155.53126667952202</v>
      </c>
      <c r="D151" s="51"/>
      <c r="E151" s="38">
        <f t="shared" si="21"/>
        <v>-155.53126667952202</v>
      </c>
    </row>
    <row r="152" spans="1:13" ht="14.25" customHeight="1" x14ac:dyDescent="0.35">
      <c r="A152" s="12" t="s">
        <v>228</v>
      </c>
      <c r="B152" s="50">
        <v>32</v>
      </c>
      <c r="C152" s="38">
        <f>E92/10^6</f>
        <v>0</v>
      </c>
      <c r="D152" s="51"/>
      <c r="E152" s="38">
        <f t="shared" si="21"/>
        <v>0</v>
      </c>
    </row>
    <row r="153" spans="1:13" ht="14.25" customHeight="1" x14ac:dyDescent="0.35">
      <c r="A153" s="40" t="s">
        <v>229</v>
      </c>
      <c r="B153" s="52">
        <v>18</v>
      </c>
      <c r="C153" s="41">
        <f>SUM(C139:C152)</f>
        <v>-5106.3121482576789</v>
      </c>
      <c r="D153" s="41">
        <f>SUM(D139:D152)</f>
        <v>0</v>
      </c>
      <c r="E153" s="41">
        <f>SUM(E139:E152)</f>
        <v>-5106.3121482576789</v>
      </c>
    </row>
    <row r="154" spans="1:13" ht="24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24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7" spans="1:13" ht="14.25" customHeight="1" x14ac:dyDescent="0.35">
      <c r="A157" s="9" t="s">
        <v>230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spans="1:13" ht="14.25" customHeight="1" x14ac:dyDescent="0.35">
      <c r="A158" s="11" t="s">
        <v>202</v>
      </c>
      <c r="B158" s="11"/>
      <c r="C158" s="11" t="s">
        <v>231</v>
      </c>
      <c r="D158" s="11" t="s">
        <v>50</v>
      </c>
    </row>
    <row r="159" spans="1:13" ht="14.25" customHeight="1" x14ac:dyDescent="0.35">
      <c r="A159" s="12" t="s">
        <v>232</v>
      </c>
      <c r="C159" s="46">
        <f>B31-B36</f>
        <v>0</v>
      </c>
      <c r="D159" s="7" t="str">
        <f>IF(ISERROR(C159),"GAGAL",IF(ABS(C159)&lt;=0.01,"LULUS","GAGAL"))</f>
        <v>LULUS</v>
      </c>
    </row>
    <row r="160" spans="1:13" ht="14.25" customHeight="1" x14ac:dyDescent="0.35">
      <c r="A160" s="12" t="s">
        <v>233</v>
      </c>
      <c r="C160" s="46">
        <f>E81</f>
        <v>0</v>
      </c>
      <c r="D160" s="7" t="str">
        <f>IF(ISERROR(C160),"GAGAL",IF(ABS(C160)&lt;=1,"LULUS","GAGAL"))</f>
        <v>LULUS</v>
      </c>
    </row>
    <row r="161" spans="1:4" ht="14.25" customHeight="1" x14ac:dyDescent="0.35">
      <c r="A161" s="12" t="s">
        <v>234</v>
      </c>
      <c r="C161" s="46">
        <f>B81</f>
        <v>0</v>
      </c>
      <c r="D161" s="7" t="str">
        <f>IF(ISERROR(C161),"GAGAL",IF(ABS(C161)&lt;=0.01,"LULUS","GAGAL"))</f>
        <v>LULUS</v>
      </c>
    </row>
    <row r="162" spans="1:4" ht="14.25" customHeight="1" x14ac:dyDescent="0.35">
      <c r="A162" s="12" t="s">
        <v>235</v>
      </c>
      <c r="C162" s="46">
        <f>$G$229-C234</f>
        <v>0</v>
      </c>
      <c r="D162" s="7" t="str">
        <f>IF(ISERROR(C162),"GAGAL",IF(ABS(C162)&lt;=1,"LULUS","GAGAL"))</f>
        <v>LULUS</v>
      </c>
    </row>
    <row r="163" spans="1:4" ht="14.25" customHeight="1" x14ac:dyDescent="0.35">
      <c r="A163" s="12" t="s">
        <v>236</v>
      </c>
      <c r="C163" s="46">
        <f>C238-C239</f>
        <v>0</v>
      </c>
      <c r="D163" s="7" t="str">
        <f>IF(ISERROR(C163),"GAGAL",IF(ABS(C163)&lt;=1,"LULUS","GAGAL"))</f>
        <v>LULUS</v>
      </c>
    </row>
    <row r="164" spans="1:4" ht="14.25" customHeight="1" x14ac:dyDescent="0.35">
      <c r="A164" s="12" t="s">
        <v>237</v>
      </c>
      <c r="C164" s="46">
        <f>SUMPRODUCT(ABS(M110:M133))</f>
        <v>1.7319479184152442E-13</v>
      </c>
      <c r="D164" s="7" t="str">
        <f>IF(ISERROR(C164),"GAGAL",IF(ABS(C164)&lt;=1,"LULUS","GAGAL"))</f>
        <v>LULUS</v>
      </c>
    </row>
    <row r="165" spans="1:4" ht="14.25" customHeight="1" x14ac:dyDescent="0.35">
      <c r="A165" s="12" t="s">
        <v>238</v>
      </c>
      <c r="C165" s="46">
        <f>G134</f>
        <v>0</v>
      </c>
      <c r="D165" s="7" t="str">
        <f>IF(ISERROR(C165),"GAGAL",IF(ABS(C165)&lt;=1,"LULUS","GAGAL"))</f>
        <v>LULUS</v>
      </c>
    </row>
    <row r="166" spans="1:4" ht="14.25" customHeight="1" x14ac:dyDescent="0.35">
      <c r="A166" s="12" t="s">
        <v>239</v>
      </c>
      <c r="C166" s="46">
        <f>INDEX(BUDGET!$C$89:$R$89,$E$5)</f>
        <v>0</v>
      </c>
      <c r="D166" s="7" t="str">
        <f>IF(ISERROR(C166),"GAGAL",IF(ABS(C166)&lt;=1,"LULUS","GAGAL"))</f>
        <v>LULUS</v>
      </c>
    </row>
    <row r="167" spans="1:4" ht="14.25" customHeight="1" x14ac:dyDescent="0.35">
      <c r="A167" s="12" t="s">
        <v>240</v>
      </c>
      <c r="C167" s="46">
        <f>C153+E104/10^6</f>
        <v>0</v>
      </c>
      <c r="D167" s="7" t="str">
        <f>IF(ISERROR(C167),"GAGAL",IF(ABS(C167)&lt;=0.001,"LULUS","GAGAL"))</f>
        <v>LULUS</v>
      </c>
    </row>
    <row r="168" spans="1:4" ht="14.25" customHeight="1" x14ac:dyDescent="0.35">
      <c r="A168" s="12" t="s">
        <v>241</v>
      </c>
      <c r="C168" s="46">
        <f>SUMPRODUCT(--ISERROR(A8:M153))</f>
        <v>0</v>
      </c>
      <c r="D168" s="7" t="str">
        <f>IF(ISERROR(C168),"GAGAL",IF(ABS(C168)&lt;=0.5,"LULUS","GAGAL"))</f>
        <v>LULUS</v>
      </c>
    </row>
    <row r="169" spans="1:4" ht="14.25" customHeight="1" x14ac:dyDescent="0.35">
      <c r="A169" s="12" t="s">
        <v>242</v>
      </c>
      <c r="D169" s="7" t="str">
        <f>'BIAYA BERSAMA'!$D$139</f>
        <v>LULUS</v>
      </c>
    </row>
    <row r="189" spans="1:13" ht="14.25" customHeight="1" x14ac:dyDescent="0.35">
      <c r="A189" s="9" t="s">
        <v>243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spans="1:13" ht="24" customHeight="1" x14ac:dyDescent="0.35">
      <c r="A190" s="11" t="s">
        <v>4</v>
      </c>
      <c r="B190" s="11" t="s">
        <v>133</v>
      </c>
      <c r="C190" s="11" t="s">
        <v>231</v>
      </c>
      <c r="D190" s="11" t="s">
        <v>244</v>
      </c>
      <c r="E190" s="11" t="s">
        <v>74</v>
      </c>
    </row>
    <row r="191" spans="1:13" ht="14.25" customHeight="1" x14ac:dyDescent="0.35">
      <c r="A191" s="12" t="s">
        <v>245</v>
      </c>
      <c r="B191" s="12" t="s">
        <v>137</v>
      </c>
      <c r="C191" s="53">
        <v>357.5</v>
      </c>
      <c r="D191" s="12" t="s">
        <v>246</v>
      </c>
      <c r="E191" s="12" t="s">
        <v>247</v>
      </c>
    </row>
    <row r="192" spans="1:13" ht="14.25" customHeight="1" x14ac:dyDescent="0.35">
      <c r="A192" s="12" t="s">
        <v>124</v>
      </c>
      <c r="B192" s="12" t="s">
        <v>137</v>
      </c>
      <c r="C192" s="53">
        <v>236923</v>
      </c>
      <c r="D192" s="12" t="s">
        <v>246</v>
      </c>
      <c r="E192" s="12" t="s">
        <v>248</v>
      </c>
    </row>
    <row r="193" spans="1:5" ht="14.25" customHeight="1" x14ac:dyDescent="0.35">
      <c r="A193" s="12" t="s">
        <v>249</v>
      </c>
      <c r="B193" s="12" t="s">
        <v>137</v>
      </c>
      <c r="C193" s="53">
        <v>2172.5</v>
      </c>
      <c r="D193" s="12" t="s">
        <v>246</v>
      </c>
      <c r="E193" s="12" t="s">
        <v>250</v>
      </c>
    </row>
    <row r="194" spans="1:5" ht="14.25" customHeight="1" x14ac:dyDescent="0.35">
      <c r="A194" s="12" t="s">
        <v>251</v>
      </c>
      <c r="B194" s="12" t="s">
        <v>137</v>
      </c>
      <c r="C194" s="53">
        <v>7581</v>
      </c>
      <c r="D194" s="12" t="s">
        <v>246</v>
      </c>
      <c r="E194" s="12" t="s">
        <v>252</v>
      </c>
    </row>
    <row r="195" spans="1:5" ht="14.25" customHeight="1" x14ac:dyDescent="0.35">
      <c r="A195" s="12" t="s">
        <v>253</v>
      </c>
      <c r="B195" s="12" t="s">
        <v>137</v>
      </c>
      <c r="C195" s="53">
        <v>6500</v>
      </c>
      <c r="D195" s="12" t="s">
        <v>246</v>
      </c>
      <c r="E195" s="12" t="s">
        <v>254</v>
      </c>
    </row>
    <row r="196" spans="1:5" ht="14.25" customHeight="1" x14ac:dyDescent="0.35">
      <c r="A196" s="12" t="s">
        <v>255</v>
      </c>
      <c r="B196" s="12" t="s">
        <v>140</v>
      </c>
      <c r="C196" s="54">
        <v>7910432.1863606405</v>
      </c>
      <c r="D196" s="12" t="s">
        <v>246</v>
      </c>
      <c r="E196" s="12" t="s">
        <v>256</v>
      </c>
    </row>
    <row r="197" spans="1:5" ht="14.25" customHeight="1" x14ac:dyDescent="0.35">
      <c r="A197" s="12" t="s">
        <v>257</v>
      </c>
      <c r="B197" s="12" t="s">
        <v>140</v>
      </c>
      <c r="C197" s="33">
        <v>46681111.390000001</v>
      </c>
      <c r="D197" s="12" t="s">
        <v>246</v>
      </c>
      <c r="E197" s="12" t="s">
        <v>258</v>
      </c>
    </row>
    <row r="198" spans="1:5" ht="14.25" customHeight="1" x14ac:dyDescent="0.35">
      <c r="A198" s="12" t="s">
        <v>259</v>
      </c>
      <c r="B198" s="12" t="s">
        <v>137</v>
      </c>
      <c r="C198" s="53">
        <v>215224</v>
      </c>
      <c r="D198" s="12" t="s">
        <v>246</v>
      </c>
      <c r="E198" s="12" t="s">
        <v>260</v>
      </c>
    </row>
    <row r="199" spans="1:5" ht="14.25" customHeight="1" x14ac:dyDescent="0.35">
      <c r="A199" s="12" t="s">
        <v>261</v>
      </c>
      <c r="B199" s="12" t="s">
        <v>262</v>
      </c>
      <c r="C199" s="53">
        <v>17722</v>
      </c>
      <c r="D199" s="12" t="s">
        <v>246</v>
      </c>
      <c r="E199" s="12" t="s">
        <v>263</v>
      </c>
    </row>
    <row r="200" spans="1:5" ht="14.25" customHeight="1" x14ac:dyDescent="0.35">
      <c r="A200" s="12" t="s">
        <v>264</v>
      </c>
      <c r="B200" s="12" t="s">
        <v>265</v>
      </c>
      <c r="C200" s="53">
        <v>32546.283169066701</v>
      </c>
      <c r="D200" s="12" t="s">
        <v>246</v>
      </c>
      <c r="E200" s="12" t="s">
        <v>266</v>
      </c>
    </row>
    <row r="201" spans="1:5" ht="14.25" customHeight="1" x14ac:dyDescent="0.35">
      <c r="A201" s="12" t="s">
        <v>267</v>
      </c>
      <c r="B201" s="12" t="s">
        <v>137</v>
      </c>
      <c r="C201" s="53">
        <v>7029</v>
      </c>
      <c r="D201" s="12" t="s">
        <v>246</v>
      </c>
      <c r="E201" s="12" t="s">
        <v>268</v>
      </c>
    </row>
    <row r="202" spans="1:5" ht="14.25" customHeight="1" x14ac:dyDescent="0.35">
      <c r="A202" s="12" t="s">
        <v>269</v>
      </c>
      <c r="B202" s="12" t="s">
        <v>140</v>
      </c>
      <c r="C202" s="54">
        <v>155531266.67952201</v>
      </c>
      <c r="D202" s="12" t="s">
        <v>246</v>
      </c>
      <c r="E202" s="12" t="s">
        <v>270</v>
      </c>
    </row>
    <row r="203" spans="1:5" ht="14.25" customHeight="1" x14ac:dyDescent="0.35">
      <c r="A203" s="12" t="s">
        <v>271</v>
      </c>
      <c r="B203" s="12" t="s">
        <v>137</v>
      </c>
      <c r="C203" s="53">
        <v>204950.5</v>
      </c>
      <c r="D203" s="12" t="s">
        <v>246</v>
      </c>
      <c r="E203" s="12" t="s">
        <v>272</v>
      </c>
    </row>
    <row r="204" spans="1:5" ht="14.25" customHeight="1" x14ac:dyDescent="0.35">
      <c r="A204" s="12" t="s">
        <v>273</v>
      </c>
      <c r="B204" s="12" t="s">
        <v>137</v>
      </c>
      <c r="C204" s="55">
        <v>0</v>
      </c>
      <c r="D204" s="12" t="s">
        <v>246</v>
      </c>
      <c r="E204" s="12" t="s">
        <v>274</v>
      </c>
    </row>
    <row r="205" spans="1:5" ht="14.25" customHeight="1" x14ac:dyDescent="0.35">
      <c r="A205" s="12" t="s">
        <v>275</v>
      </c>
      <c r="B205" s="12" t="s">
        <v>140</v>
      </c>
      <c r="C205" s="33">
        <v>-17.84</v>
      </c>
      <c r="D205" s="12" t="s">
        <v>246</v>
      </c>
      <c r="E205" s="12" t="s">
        <v>276</v>
      </c>
    </row>
    <row r="206" spans="1:5" ht="14.25" customHeight="1" x14ac:dyDescent="0.35">
      <c r="A206" s="12" t="s">
        <v>277</v>
      </c>
      <c r="B206" s="12" t="s">
        <v>137</v>
      </c>
      <c r="C206" s="55">
        <v>211979.5</v>
      </c>
      <c r="D206" s="12" t="s">
        <v>246</v>
      </c>
      <c r="E206" s="12" t="s">
        <v>278</v>
      </c>
    </row>
    <row r="207" spans="1:5" ht="14.25" customHeight="1" x14ac:dyDescent="0.35">
      <c r="A207" s="12" t="s">
        <v>279</v>
      </c>
      <c r="B207" s="12" t="s">
        <v>137</v>
      </c>
      <c r="C207" s="55">
        <v>14058</v>
      </c>
      <c r="D207" s="12" t="s">
        <v>246</v>
      </c>
      <c r="E207" s="12" t="s">
        <v>280</v>
      </c>
    </row>
    <row r="208" spans="1:5" ht="14.25" customHeight="1" x14ac:dyDescent="0.35">
      <c r="A208" s="12" t="s">
        <v>281</v>
      </c>
      <c r="B208" s="12" t="s">
        <v>137</v>
      </c>
      <c r="C208" s="53">
        <v>5957</v>
      </c>
      <c r="D208" s="12" t="s">
        <v>246</v>
      </c>
      <c r="E208" s="12" t="s">
        <v>282</v>
      </c>
    </row>
    <row r="209" spans="1:13" ht="14.25" customHeight="1" x14ac:dyDescent="0.35">
      <c r="A209" s="12" t="s">
        <v>283</v>
      </c>
      <c r="B209" s="12" t="s">
        <v>135</v>
      </c>
      <c r="C209" s="56">
        <v>9777.2711808889308</v>
      </c>
      <c r="D209" s="12" t="s">
        <v>284</v>
      </c>
      <c r="E209" s="12" t="s">
        <v>285</v>
      </c>
    </row>
    <row r="210" spans="1:13" ht="14.25" customHeight="1" x14ac:dyDescent="0.35">
      <c r="A210" s="12" t="s">
        <v>286</v>
      </c>
      <c r="B210" s="12" t="s">
        <v>287</v>
      </c>
      <c r="C210" s="57">
        <v>22.296700000000001</v>
      </c>
      <c r="D210" s="12" t="s">
        <v>284</v>
      </c>
      <c r="E210" s="12" t="s">
        <v>288</v>
      </c>
    </row>
    <row r="211" spans="1:13" ht="14.25" customHeight="1" x14ac:dyDescent="0.35">
      <c r="A211" s="12" t="s">
        <v>289</v>
      </c>
      <c r="B211" s="12" t="s">
        <v>140</v>
      </c>
      <c r="C211" s="54">
        <v>5901313142.0699997</v>
      </c>
      <c r="D211" s="12" t="s">
        <v>246</v>
      </c>
      <c r="E211" s="12" t="s">
        <v>290</v>
      </c>
    </row>
    <row r="213" spans="1:13" ht="14.25" customHeight="1" x14ac:dyDescent="0.35">
      <c r="A213" s="9" t="s">
        <v>291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spans="1:13" ht="24" customHeight="1" x14ac:dyDescent="0.35">
      <c r="A214" s="11" t="s">
        <v>292</v>
      </c>
      <c r="B214" s="11" t="s">
        <v>293</v>
      </c>
      <c r="C214" s="11" t="s">
        <v>294</v>
      </c>
      <c r="D214" s="11" t="s">
        <v>132</v>
      </c>
      <c r="E214" s="11" t="s">
        <v>133</v>
      </c>
      <c r="F214" s="11" t="s">
        <v>295</v>
      </c>
      <c r="G214" s="11" t="s">
        <v>73</v>
      </c>
      <c r="H214" s="11" t="s">
        <v>244</v>
      </c>
      <c r="I214" s="11" t="s">
        <v>74</v>
      </c>
    </row>
    <row r="215" spans="1:13" ht="14.25" customHeight="1" x14ac:dyDescent="0.35">
      <c r="A215" s="12" t="s">
        <v>296</v>
      </c>
      <c r="B215" s="12" t="s">
        <v>104</v>
      </c>
      <c r="C215" s="12" t="s">
        <v>297</v>
      </c>
      <c r="D215" s="53">
        <v>347092.25714285701</v>
      </c>
      <c r="E215" s="12" t="s">
        <v>137</v>
      </c>
      <c r="F215" s="56">
        <v>2942.83019010527</v>
      </c>
      <c r="G215" s="39">
        <f t="shared" ref="G215:G228" si="22">D215*F215</f>
        <v>1021433573.0717812</v>
      </c>
      <c r="H215" s="12" t="s">
        <v>246</v>
      </c>
      <c r="I215" s="12" t="s">
        <v>298</v>
      </c>
    </row>
    <row r="216" spans="1:13" ht="14.25" customHeight="1" x14ac:dyDescent="0.35">
      <c r="A216" s="12" t="s">
        <v>299</v>
      </c>
      <c r="B216" s="12" t="s">
        <v>104</v>
      </c>
      <c r="C216" s="12" t="s">
        <v>300</v>
      </c>
      <c r="D216" s="53">
        <v>280280</v>
      </c>
      <c r="E216" s="12" t="s">
        <v>137</v>
      </c>
      <c r="F216" s="56">
        <v>4597.3383759097997</v>
      </c>
      <c r="G216" s="39">
        <f t="shared" si="22"/>
        <v>1288541999.9999986</v>
      </c>
      <c r="H216" s="12" t="s">
        <v>246</v>
      </c>
      <c r="I216" s="12" t="s">
        <v>301</v>
      </c>
    </row>
    <row r="217" spans="1:13" ht="14.25" customHeight="1" x14ac:dyDescent="0.35">
      <c r="A217" s="12" t="s">
        <v>302</v>
      </c>
      <c r="B217" s="12" t="s">
        <v>105</v>
      </c>
      <c r="C217" s="12" t="s">
        <v>303</v>
      </c>
      <c r="D217" s="53">
        <v>57870</v>
      </c>
      <c r="E217" s="12" t="s">
        <v>137</v>
      </c>
      <c r="F217" s="56">
        <v>17512.1495067543</v>
      </c>
      <c r="G217" s="39">
        <f t="shared" si="22"/>
        <v>1013428091.9558713</v>
      </c>
      <c r="H217" s="12" t="s">
        <v>246</v>
      </c>
      <c r="I217" s="12" t="s">
        <v>304</v>
      </c>
    </row>
    <row r="218" spans="1:13" ht="14.25" customHeight="1" x14ac:dyDescent="0.35">
      <c r="A218" s="12" t="s">
        <v>106</v>
      </c>
      <c r="B218" s="12" t="s">
        <v>106</v>
      </c>
      <c r="C218" s="12" t="s">
        <v>106</v>
      </c>
      <c r="D218" s="53">
        <v>76366.690344161107</v>
      </c>
      <c r="E218" s="12" t="s">
        <v>305</v>
      </c>
      <c r="F218" s="56">
        <v>10143.981035713399</v>
      </c>
      <c r="G218" s="39">
        <f t="shared" si="22"/>
        <v>774662258.61136782</v>
      </c>
      <c r="H218" s="12" t="s">
        <v>246</v>
      </c>
      <c r="I218" s="12" t="s">
        <v>306</v>
      </c>
    </row>
    <row r="219" spans="1:13" ht="14.25" customHeight="1" x14ac:dyDescent="0.35">
      <c r="A219" s="12" t="s">
        <v>307</v>
      </c>
      <c r="B219" s="12" t="s">
        <v>308</v>
      </c>
      <c r="C219" s="12" t="s">
        <v>309</v>
      </c>
      <c r="D219" s="53">
        <v>1700</v>
      </c>
      <c r="E219" s="12" t="s">
        <v>137</v>
      </c>
      <c r="F219" s="56">
        <v>4638.58661997322</v>
      </c>
      <c r="G219" s="39">
        <f t="shared" si="22"/>
        <v>7885597.2539544739</v>
      </c>
      <c r="H219" s="12" t="s">
        <v>246</v>
      </c>
      <c r="I219" s="12" t="s">
        <v>310</v>
      </c>
    </row>
    <row r="220" spans="1:13" ht="14.25" customHeight="1" x14ac:dyDescent="0.35">
      <c r="A220" s="12" t="s">
        <v>311</v>
      </c>
      <c r="B220" s="12" t="s">
        <v>308</v>
      </c>
      <c r="C220" s="12" t="s">
        <v>312</v>
      </c>
      <c r="D220" s="53">
        <v>252.7</v>
      </c>
      <c r="E220" s="12" t="s">
        <v>137</v>
      </c>
      <c r="F220" s="56">
        <v>32673.742396272301</v>
      </c>
      <c r="G220" s="39">
        <f t="shared" si="22"/>
        <v>8256654.7035380099</v>
      </c>
      <c r="H220" s="12" t="s">
        <v>246</v>
      </c>
      <c r="I220" s="12" t="s">
        <v>313</v>
      </c>
    </row>
    <row r="221" spans="1:13" ht="14.25" customHeight="1" x14ac:dyDescent="0.35">
      <c r="A221" s="12" t="s">
        <v>314</v>
      </c>
      <c r="B221" s="12" t="s">
        <v>308</v>
      </c>
      <c r="C221" s="12" t="s">
        <v>315</v>
      </c>
      <c r="D221" s="53">
        <v>1861</v>
      </c>
      <c r="E221" s="12" t="s">
        <v>137</v>
      </c>
      <c r="F221" s="56">
        <v>34380.541482824701</v>
      </c>
      <c r="G221" s="39">
        <f t="shared" si="22"/>
        <v>63982187.699536771</v>
      </c>
      <c r="H221" s="12" t="s">
        <v>246</v>
      </c>
      <c r="I221" s="12" t="s">
        <v>316</v>
      </c>
    </row>
    <row r="222" spans="1:13" ht="14.25" customHeight="1" x14ac:dyDescent="0.35">
      <c r="A222" s="12" t="s">
        <v>317</v>
      </c>
      <c r="B222" s="12" t="s">
        <v>308</v>
      </c>
      <c r="C222" s="12" t="s">
        <v>318</v>
      </c>
      <c r="D222" s="53">
        <v>1374</v>
      </c>
      <c r="E222" s="12" t="s">
        <v>137</v>
      </c>
      <c r="F222" s="56">
        <v>32614.581205548398</v>
      </c>
      <c r="G222" s="39">
        <f t="shared" si="22"/>
        <v>44812434.576423496</v>
      </c>
      <c r="H222" s="12" t="s">
        <v>246</v>
      </c>
      <c r="I222" s="12" t="s">
        <v>319</v>
      </c>
    </row>
    <row r="223" spans="1:13" ht="14.25" customHeight="1" x14ac:dyDescent="0.35">
      <c r="A223" s="12" t="s">
        <v>320</v>
      </c>
      <c r="B223" s="12" t="s">
        <v>308</v>
      </c>
      <c r="C223" s="12" t="s">
        <v>321</v>
      </c>
      <c r="D223" s="53">
        <v>100</v>
      </c>
      <c r="E223" s="12" t="s">
        <v>151</v>
      </c>
      <c r="F223" s="56">
        <v>9761.7670769323595</v>
      </c>
      <c r="G223" s="39">
        <f t="shared" si="22"/>
        <v>976176.70769323595</v>
      </c>
      <c r="H223" s="12" t="s">
        <v>246</v>
      </c>
      <c r="I223" s="12" t="s">
        <v>322</v>
      </c>
    </row>
    <row r="224" spans="1:13" ht="14.25" customHeight="1" x14ac:dyDescent="0.35">
      <c r="A224" s="12" t="s">
        <v>323</v>
      </c>
      <c r="B224" s="12" t="s">
        <v>308</v>
      </c>
      <c r="C224" s="12" t="s">
        <v>324</v>
      </c>
      <c r="D224" s="53">
        <v>0</v>
      </c>
      <c r="E224" s="12" t="s">
        <v>137</v>
      </c>
      <c r="F224" s="56">
        <v>29001.817692305802</v>
      </c>
      <c r="G224" s="39">
        <f t="shared" si="22"/>
        <v>0</v>
      </c>
      <c r="H224" s="12" t="s">
        <v>246</v>
      </c>
      <c r="I224" s="12" t="s">
        <v>325</v>
      </c>
    </row>
    <row r="225" spans="1:13" ht="14.25" customHeight="1" x14ac:dyDescent="0.35">
      <c r="A225" s="12" t="s">
        <v>326</v>
      </c>
      <c r="B225" s="12" t="s">
        <v>308</v>
      </c>
      <c r="C225" s="12" t="s">
        <v>324</v>
      </c>
      <c r="D225" s="53">
        <v>94.75</v>
      </c>
      <c r="E225" s="12" t="s">
        <v>327</v>
      </c>
      <c r="F225" s="56">
        <v>23970.250393450198</v>
      </c>
      <c r="G225" s="39">
        <f t="shared" si="22"/>
        <v>2271181.2247794061</v>
      </c>
      <c r="H225" s="12" t="s">
        <v>246</v>
      </c>
      <c r="I225" s="12" t="s">
        <v>328</v>
      </c>
    </row>
    <row r="226" spans="1:13" ht="14.25" customHeight="1" x14ac:dyDescent="0.35">
      <c r="A226" s="12" t="s">
        <v>329</v>
      </c>
      <c r="B226" s="12" t="s">
        <v>308</v>
      </c>
      <c r="C226" s="12" t="s">
        <v>324</v>
      </c>
      <c r="D226" s="53">
        <v>669</v>
      </c>
      <c r="E226" s="12" t="s">
        <v>327</v>
      </c>
      <c r="F226" s="56">
        <v>6600</v>
      </c>
      <c r="G226" s="39">
        <f t="shared" si="22"/>
        <v>4415400</v>
      </c>
      <c r="H226" s="12" t="s">
        <v>246</v>
      </c>
      <c r="I226" s="12" t="s">
        <v>330</v>
      </c>
    </row>
    <row r="227" spans="1:13" ht="14.25" customHeight="1" x14ac:dyDescent="0.35">
      <c r="A227" s="12" t="s">
        <v>331</v>
      </c>
      <c r="B227" s="12" t="s">
        <v>308</v>
      </c>
      <c r="C227" s="12" t="s">
        <v>324</v>
      </c>
      <c r="D227" s="53">
        <v>0</v>
      </c>
      <c r="E227" s="12" t="s">
        <v>327</v>
      </c>
      <c r="F227" s="56">
        <v>0</v>
      </c>
      <c r="G227" s="39">
        <f t="shared" si="22"/>
        <v>0</v>
      </c>
      <c r="H227" s="12" t="s">
        <v>246</v>
      </c>
      <c r="I227" s="12" t="s">
        <v>332</v>
      </c>
    </row>
    <row r="228" spans="1:13" ht="14.25" customHeight="1" x14ac:dyDescent="0.35">
      <c r="A228" s="12" t="s">
        <v>333</v>
      </c>
      <c r="B228" s="12" t="s">
        <v>308</v>
      </c>
      <c r="C228" s="12" t="s">
        <v>324</v>
      </c>
      <c r="D228" s="53">
        <v>39.104999999999997</v>
      </c>
      <c r="E228" s="12" t="s">
        <v>334</v>
      </c>
      <c r="F228" s="56">
        <v>76180.172727258003</v>
      </c>
      <c r="G228" s="39">
        <f t="shared" si="22"/>
        <v>2979025.6544994242</v>
      </c>
      <c r="H228" s="12" t="s">
        <v>246</v>
      </c>
      <c r="I228" s="12" t="s">
        <v>335</v>
      </c>
    </row>
    <row r="229" spans="1:13" ht="14.25" customHeight="1" x14ac:dyDescent="0.35">
      <c r="A229" s="40" t="s">
        <v>336</v>
      </c>
      <c r="B229" s="45"/>
      <c r="C229" s="45"/>
      <c r="D229" s="45"/>
      <c r="E229" s="45"/>
      <c r="F229" s="45"/>
      <c r="G229" s="42">
        <f>SUM(G215:G228)</f>
        <v>4233644581.4594436</v>
      </c>
      <c r="H229" s="45"/>
      <c r="I229" s="45"/>
    </row>
    <row r="230" spans="1:13" ht="14.25" customHeight="1" x14ac:dyDescent="0.35">
      <c r="A230" s="12" t="s">
        <v>337</v>
      </c>
      <c r="D230" s="48">
        <f>IF(D215=0,0,$C$198/D215)</f>
        <v>0.62007721454707543</v>
      </c>
    </row>
    <row r="232" spans="1:13" ht="14.25" customHeight="1" x14ac:dyDescent="0.35">
      <c r="A232" s="9" t="s">
        <v>338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spans="1:13" ht="24" customHeight="1" x14ac:dyDescent="0.35">
      <c r="A233" s="11" t="s">
        <v>99</v>
      </c>
      <c r="B233" s="11"/>
      <c r="C233" s="11" t="s">
        <v>339</v>
      </c>
      <c r="D233" s="11" t="s">
        <v>340</v>
      </c>
      <c r="E233" s="11" t="s">
        <v>341</v>
      </c>
      <c r="F233" s="11" t="s">
        <v>342</v>
      </c>
    </row>
    <row r="234" spans="1:13" ht="14.25" customHeight="1" x14ac:dyDescent="0.35">
      <c r="A234" s="12" t="s">
        <v>343</v>
      </c>
      <c r="C234" s="54">
        <v>4233644581.4594402</v>
      </c>
      <c r="D234" s="39">
        <f>E56</f>
        <v>4275542046.4594436</v>
      </c>
      <c r="E234" s="39">
        <f>D234-C234</f>
        <v>41897465.000003338</v>
      </c>
      <c r="F234" s="12" t="s">
        <v>344</v>
      </c>
    </row>
    <row r="235" spans="1:13" ht="14.25" customHeight="1" x14ac:dyDescent="0.35">
      <c r="A235" s="12" t="s">
        <v>108</v>
      </c>
      <c r="C235" s="54">
        <v>56241375</v>
      </c>
      <c r="D235" s="39">
        <f>E58</f>
        <v>53598624.961089984</v>
      </c>
      <c r="E235" s="39">
        <f>D235-C235</f>
        <v>-2642750.0389100164</v>
      </c>
      <c r="F235" s="12" t="s">
        <v>345</v>
      </c>
    </row>
    <row r="236" spans="1:13" ht="14.25" customHeight="1" x14ac:dyDescent="0.35">
      <c r="A236" s="12" t="s">
        <v>206</v>
      </c>
      <c r="C236" s="54">
        <v>317758641.32370502</v>
      </c>
      <c r="D236" s="39">
        <f>E59</f>
        <v>384856549.2002359</v>
      </c>
      <c r="E236" s="39">
        <f>D236-C236</f>
        <v>67097907.876530886</v>
      </c>
      <c r="F236" s="12" t="s">
        <v>346</v>
      </c>
    </row>
    <row r="237" spans="1:13" ht="14.25" customHeight="1" x14ac:dyDescent="0.35">
      <c r="A237" s="12" t="s">
        <v>347</v>
      </c>
      <c r="C237" s="54">
        <v>181186266.58171201</v>
      </c>
      <c r="D237" s="39">
        <f>E64</f>
        <v>848571245.3369565</v>
      </c>
      <c r="E237" s="39">
        <f>D237-C237</f>
        <v>667384978.75524449</v>
      </c>
      <c r="F237" s="12" t="s">
        <v>348</v>
      </c>
    </row>
    <row r="238" spans="1:13" ht="14.25" customHeight="1" x14ac:dyDescent="0.35">
      <c r="A238" s="40" t="s">
        <v>349</v>
      </c>
      <c r="B238" s="45"/>
      <c r="C238" s="42">
        <f>SUM(C234:C237)</f>
        <v>4788830864.3648567</v>
      </c>
      <c r="D238" s="42">
        <f>SUM(D234:D237)</f>
        <v>5562568465.9577255</v>
      </c>
      <c r="E238" s="42">
        <f>D238-C238</f>
        <v>773737601.5928688</v>
      </c>
      <c r="F238" s="45"/>
    </row>
    <row r="239" spans="1:13" ht="14.25" customHeight="1" x14ac:dyDescent="0.35">
      <c r="A239" s="5" t="s">
        <v>350</v>
      </c>
      <c r="C239" s="54">
        <v>4788830864.3648596</v>
      </c>
    </row>
  </sheetData>
  <mergeCells count="3">
    <mergeCell ref="A135:M135"/>
    <mergeCell ref="A154:M154"/>
    <mergeCell ref="A155:M155"/>
  </mergeCells>
  <dataValidations count="1">
    <dataValidation type="list" sqref="C5" xr:uid="{00000000-0002-0000-01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27"/>
  <sheetViews>
    <sheetView showGridLines="0" zoomScaleNormal="100" workbookViewId="0">
      <pane xSplit="1" ySplit="7" topLeftCell="B24" activePane="bottomRight" state="frozen"/>
      <selection pane="topRight" activeCell="B1" sqref="B1"/>
      <selection pane="bottomLeft" activeCell="A24" sqref="A24"/>
      <selection pane="bottomRight" activeCell="A145" sqref="A145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customHeight="1" x14ac:dyDescent="0.35">
      <c r="A1" s="4" t="s">
        <v>351</v>
      </c>
    </row>
    <row r="2" spans="1:13" ht="14.25" customHeight="1" x14ac:dyDescent="0.35">
      <c r="A2" s="5"/>
    </row>
    <row r="3" spans="1:13" ht="14.25" customHeight="1" x14ac:dyDescent="0.35">
      <c r="A3" s="5"/>
    </row>
    <row r="5" spans="1:13" ht="14.25" customHeight="1" x14ac:dyDescent="0.35">
      <c r="A5" s="6" t="s">
        <v>94</v>
      </c>
      <c r="C5" s="35" t="s">
        <v>95</v>
      </c>
      <c r="D5" s="36" t="s">
        <v>96</v>
      </c>
      <c r="E5" s="37">
        <f>MATCH(C5,BUDGET!$C$4:$R$4,0)</f>
        <v>1</v>
      </c>
    </row>
    <row r="6" spans="1:13" ht="14.25" customHeight="1" x14ac:dyDescent="0.35">
      <c r="A6" s="6" t="s">
        <v>97</v>
      </c>
      <c r="C6" s="7" t="str">
        <f>IF(COUNTIF(D148:D158,"GAGAL")=0,"LULUS","GAGAL")</f>
        <v>LULUS</v>
      </c>
    </row>
    <row r="8" spans="1:13" ht="14.25" customHeight="1" x14ac:dyDescent="0.35">
      <c r="A8" s="9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30" customHeight="1" x14ac:dyDescent="0.35">
      <c r="A9" s="11" t="s">
        <v>99</v>
      </c>
      <c r="B9" s="11" t="s">
        <v>100</v>
      </c>
      <c r="C9" s="11" t="s">
        <v>101</v>
      </c>
      <c r="D9" s="11" t="s">
        <v>102</v>
      </c>
      <c r="E9" s="11" t="s">
        <v>103</v>
      </c>
      <c r="F9" s="11" t="s">
        <v>21</v>
      </c>
      <c r="G9" s="11" t="s">
        <v>22</v>
      </c>
      <c r="H9" s="11" t="s">
        <v>23</v>
      </c>
      <c r="I9" s="11" t="s">
        <v>24</v>
      </c>
    </row>
    <row r="10" spans="1:13" ht="14.25" customHeight="1" x14ac:dyDescent="0.35">
      <c r="A10" s="12" t="s">
        <v>104</v>
      </c>
      <c r="B10" s="38">
        <f>E44/10^6</f>
        <v>8.4016000000000002</v>
      </c>
      <c r="C10" s="39">
        <f>F44</f>
        <v>17971.336898395723</v>
      </c>
      <c r="D10" s="39">
        <f t="shared" ref="D10:I10" si="0">G105</f>
        <v>0</v>
      </c>
      <c r="E10" s="39">
        <f t="shared" si="0"/>
        <v>17971.336898395723</v>
      </c>
      <c r="F10" s="39">
        <f t="shared" si="0"/>
        <v>17971.336898395723</v>
      </c>
      <c r="G10" s="39">
        <f t="shared" si="0"/>
        <v>0</v>
      </c>
      <c r="H10" s="39">
        <f t="shared" si="0"/>
        <v>0</v>
      </c>
      <c r="I10" s="39">
        <f t="shared" si="0"/>
        <v>0</v>
      </c>
    </row>
    <row r="11" spans="1:13" ht="14.25" customHeight="1" x14ac:dyDescent="0.35">
      <c r="A11" s="12" t="s">
        <v>105</v>
      </c>
      <c r="B11" s="38">
        <f>E46/10^6</f>
        <v>2.2415551368645503</v>
      </c>
      <c r="C11" s="39">
        <f>F46</f>
        <v>4794.7703462343325</v>
      </c>
      <c r="D11" s="39">
        <f t="shared" ref="D11:I11" si="1">G107</f>
        <v>0</v>
      </c>
      <c r="E11" s="39">
        <f t="shared" si="1"/>
        <v>4794.7703462343325</v>
      </c>
      <c r="F11" s="39">
        <f t="shared" si="1"/>
        <v>4794.7703462343325</v>
      </c>
      <c r="G11" s="39">
        <f t="shared" si="1"/>
        <v>0</v>
      </c>
      <c r="H11" s="39">
        <f t="shared" si="1"/>
        <v>0</v>
      </c>
      <c r="I11" s="39">
        <f t="shared" si="1"/>
        <v>0</v>
      </c>
    </row>
    <row r="12" spans="1:13" ht="14.25" customHeight="1" x14ac:dyDescent="0.35">
      <c r="A12" s="12" t="s">
        <v>106</v>
      </c>
      <c r="B12" s="38">
        <f>E47/10^6</f>
        <v>1.4432028767846257</v>
      </c>
      <c r="C12" s="39">
        <f>F47</f>
        <v>3087.0649770794134</v>
      </c>
      <c r="D12" s="39">
        <f t="shared" ref="D12:I12" si="2">G109</f>
        <v>0</v>
      </c>
      <c r="E12" s="39">
        <f t="shared" si="2"/>
        <v>3087.0649770794134</v>
      </c>
      <c r="F12" s="39">
        <f t="shared" si="2"/>
        <v>3087.0649770794134</v>
      </c>
      <c r="G12" s="39">
        <f t="shared" si="2"/>
        <v>0</v>
      </c>
      <c r="H12" s="39">
        <f t="shared" si="2"/>
        <v>0</v>
      </c>
      <c r="I12" s="39">
        <f t="shared" si="2"/>
        <v>0</v>
      </c>
    </row>
    <row r="13" spans="1:13" ht="14.25" customHeight="1" x14ac:dyDescent="0.35">
      <c r="A13" s="12" t="s">
        <v>107</v>
      </c>
      <c r="B13" s="38">
        <f>E55/10^6</f>
        <v>0.36109134961450151</v>
      </c>
      <c r="C13" s="39">
        <f>F55</f>
        <v>772.38791361390702</v>
      </c>
      <c r="D13" s="39">
        <f t="shared" ref="D13:I13" si="3">G116</f>
        <v>0</v>
      </c>
      <c r="E13" s="39">
        <f t="shared" si="3"/>
        <v>772.38791361390702</v>
      </c>
      <c r="F13" s="39">
        <f t="shared" si="3"/>
        <v>697.6381006534416</v>
      </c>
      <c r="G13" s="39">
        <f t="shared" si="3"/>
        <v>74.749812960465292</v>
      </c>
      <c r="H13" s="39">
        <f t="shared" si="3"/>
        <v>0</v>
      </c>
      <c r="I13" s="39">
        <f t="shared" si="3"/>
        <v>0</v>
      </c>
    </row>
    <row r="14" spans="1:13" ht="14.25" customHeight="1" x14ac:dyDescent="0.35">
      <c r="A14" s="12" t="s">
        <v>108</v>
      </c>
      <c r="B14" s="38">
        <f>E58/10^6</f>
        <v>0</v>
      </c>
      <c r="C14" s="39">
        <f>F58</f>
        <v>0</v>
      </c>
      <c r="D14" s="39">
        <f t="shared" ref="D14:I14" si="4">G118</f>
        <v>0</v>
      </c>
      <c r="E14" s="39">
        <f t="shared" si="4"/>
        <v>0</v>
      </c>
      <c r="F14" s="39">
        <f t="shared" si="4"/>
        <v>0</v>
      </c>
      <c r="G14" s="39">
        <f t="shared" si="4"/>
        <v>0</v>
      </c>
      <c r="H14" s="39">
        <f t="shared" si="4"/>
        <v>0</v>
      </c>
      <c r="I14" s="39">
        <f t="shared" si="4"/>
        <v>0</v>
      </c>
    </row>
    <row r="15" spans="1:13" ht="14.25" customHeight="1" x14ac:dyDescent="0.35">
      <c r="A15" s="12" t="s">
        <v>109</v>
      </c>
      <c r="B15" s="38">
        <f>E59/10^6</f>
        <v>1.976184740843103</v>
      </c>
      <c r="C15" s="39">
        <f>F59</f>
        <v>4227.1331354932681</v>
      </c>
      <c r="D15" s="39">
        <f t="shared" ref="D15:I15" si="5">G120</f>
        <v>0</v>
      </c>
      <c r="E15" s="39">
        <f t="shared" si="5"/>
        <v>4227.1331354932681</v>
      </c>
      <c r="F15" s="39">
        <f t="shared" si="5"/>
        <v>1922.5850931653879</v>
      </c>
      <c r="G15" s="39">
        <f t="shared" si="5"/>
        <v>0</v>
      </c>
      <c r="H15" s="39">
        <f t="shared" si="5"/>
        <v>0</v>
      </c>
      <c r="I15" s="39">
        <f t="shared" si="5"/>
        <v>2304.5480423278809</v>
      </c>
    </row>
    <row r="16" spans="1:13" ht="14.25" customHeight="1" x14ac:dyDescent="0.35">
      <c r="A16" s="12" t="s">
        <v>110</v>
      </c>
      <c r="B16" s="38">
        <f>E64/10^6</f>
        <v>3.8040866489795579</v>
      </c>
      <c r="C16" s="39">
        <f>F64</f>
        <v>8137.0837411327448</v>
      </c>
      <c r="D16" s="39">
        <f t="shared" ref="D16:I17" si="6">G125</f>
        <v>0</v>
      </c>
      <c r="E16" s="39">
        <f t="shared" si="6"/>
        <v>8137.0837411327448</v>
      </c>
      <c r="F16" s="39">
        <f t="shared" si="6"/>
        <v>3910.1300785509138</v>
      </c>
      <c r="G16" s="39">
        <f t="shared" si="6"/>
        <v>0</v>
      </c>
      <c r="H16" s="39">
        <f t="shared" si="6"/>
        <v>0</v>
      </c>
      <c r="I16" s="39">
        <f t="shared" si="6"/>
        <v>4226.9536625818309</v>
      </c>
    </row>
    <row r="17" spans="1:13" ht="14.25" customHeight="1" x14ac:dyDescent="0.35">
      <c r="A17" s="40" t="s">
        <v>11</v>
      </c>
      <c r="B17" s="41">
        <f>E66/10^6</f>
        <v>18.227720753086341</v>
      </c>
      <c r="C17" s="42">
        <f>F66</f>
        <v>38989.777011949387</v>
      </c>
      <c r="D17" s="42">
        <f t="shared" si="6"/>
        <v>0</v>
      </c>
      <c r="E17" s="42">
        <f t="shared" si="6"/>
        <v>38989.777011949387</v>
      </c>
      <c r="F17" s="42">
        <f t="shared" si="6"/>
        <v>32383.525494079207</v>
      </c>
      <c r="G17" s="42">
        <f t="shared" si="6"/>
        <v>74.749812960465292</v>
      </c>
      <c r="H17" s="42">
        <f t="shared" si="6"/>
        <v>0</v>
      </c>
      <c r="I17" s="42">
        <f t="shared" si="6"/>
        <v>6531.5017049097114</v>
      </c>
    </row>
    <row r="18" spans="1:13" ht="14.25" customHeight="1" x14ac:dyDescent="0.35">
      <c r="A18" s="12" t="s">
        <v>111</v>
      </c>
      <c r="C18" s="39">
        <f>$B$32</f>
        <v>467.5</v>
      </c>
      <c r="D18" s="39">
        <f>$D$32</f>
        <v>0</v>
      </c>
    </row>
    <row r="19" spans="1:13" ht="14.25" customHeight="1" x14ac:dyDescent="0.35">
      <c r="A19" s="12" t="s">
        <v>112</v>
      </c>
      <c r="C19" s="39">
        <f>F65</f>
        <v>12364.216876626013</v>
      </c>
      <c r="D19" s="39">
        <f>G118+G120+G125</f>
        <v>0</v>
      </c>
    </row>
    <row r="20" spans="1:13" ht="14.25" customHeight="1" x14ac:dyDescent="0.35">
      <c r="A20" s="12" t="s">
        <v>113</v>
      </c>
      <c r="B20" s="38">
        <f>E98/10^6</f>
        <v>232.70641734778275</v>
      </c>
      <c r="C20" s="39">
        <f>D99</f>
        <v>35083.132420892922</v>
      </c>
      <c r="D20" s="39">
        <f>F99</f>
        <v>0</v>
      </c>
    </row>
    <row r="21" spans="1:13" ht="14.25" customHeight="1" x14ac:dyDescent="0.35">
      <c r="A21" s="12" t="s">
        <v>114</v>
      </c>
      <c r="B21" s="38">
        <f>$C$207/10^6</f>
        <v>321.70049999999998</v>
      </c>
      <c r="F21" s="5"/>
    </row>
    <row r="22" spans="1:13" ht="14.25" customHeight="1" x14ac:dyDescent="0.35">
      <c r="A22" s="12" t="s">
        <v>115</v>
      </c>
      <c r="B22" s="38">
        <f>B21-B20</f>
        <v>88.99408265221723</v>
      </c>
      <c r="C22" s="43">
        <f>IF(B21=0,0,B22/B21)</f>
        <v>0.2766364449300428</v>
      </c>
    </row>
    <row r="23" spans="1:13" ht="14.25" customHeight="1" x14ac:dyDescent="0.35">
      <c r="A23" s="5" t="s">
        <v>116</v>
      </c>
      <c r="B23" s="38">
        <f>E76/10^6</f>
        <v>0</v>
      </c>
      <c r="C23" s="43">
        <f>IF(E66=0,0,E76/E66)</f>
        <v>0</v>
      </c>
    </row>
    <row r="24" spans="1:13" ht="14.25" customHeight="1" x14ac:dyDescent="0.35">
      <c r="A24" s="5" t="s">
        <v>31</v>
      </c>
      <c r="B24" s="38">
        <f>-E72/10^6</f>
        <v>0</v>
      </c>
    </row>
    <row r="25" spans="1:13" ht="14.25" customHeight="1" x14ac:dyDescent="0.35">
      <c r="A25" s="5" t="s">
        <v>352</v>
      </c>
      <c r="B25" s="38">
        <f>(E77+E89-E70-E84)/10^6</f>
        <v>-214.4786965946964</v>
      </c>
      <c r="C25" s="38">
        <f>IF(E66=0,0,B25*E65/E66)</f>
        <v>-68.014267414254931</v>
      </c>
      <c r="F25" s="5"/>
    </row>
    <row r="26" spans="1:13" ht="14.25" customHeight="1" x14ac:dyDescent="0.35">
      <c r="A26" s="5"/>
    </row>
    <row r="28" spans="1:13" ht="14.25" customHeight="1" x14ac:dyDescent="0.35">
      <c r="A28" s="9" t="s">
        <v>117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4.25" customHeight="1" x14ac:dyDescent="0.35">
      <c r="A29" s="6" t="s">
        <v>118</v>
      </c>
    </row>
    <row r="30" spans="1:13" ht="24" customHeight="1" x14ac:dyDescent="0.35">
      <c r="A30" s="11" t="s">
        <v>4</v>
      </c>
      <c r="B30" s="11" t="s">
        <v>119</v>
      </c>
      <c r="C30" s="11" t="s">
        <v>120</v>
      </c>
      <c r="D30" s="11" t="s">
        <v>121</v>
      </c>
      <c r="E30" s="11" t="s">
        <v>122</v>
      </c>
    </row>
    <row r="31" spans="1:13" ht="14.25" customHeight="1" x14ac:dyDescent="0.35">
      <c r="A31" s="12" t="s">
        <v>123</v>
      </c>
      <c r="B31" s="38">
        <f>$C$191</f>
        <v>4042.5</v>
      </c>
    </row>
    <row r="32" spans="1:13" ht="14.25" customHeight="1" x14ac:dyDescent="0.35">
      <c r="A32" s="6" t="s">
        <v>124</v>
      </c>
      <c r="B32" s="44">
        <f>$C$192</f>
        <v>467.5</v>
      </c>
      <c r="D32" s="44">
        <f>INDEX(BUDGET!$C$99:$R$99,$E$5)</f>
        <v>0</v>
      </c>
    </row>
    <row r="33" spans="1:6" ht="14.25" customHeight="1" x14ac:dyDescent="0.35">
      <c r="A33" s="40" t="s">
        <v>125</v>
      </c>
      <c r="B33" s="41">
        <f>B31+B32</f>
        <v>4510</v>
      </c>
      <c r="C33" s="45"/>
      <c r="D33" s="45"/>
      <c r="E33" s="45"/>
    </row>
    <row r="34" spans="1:6" ht="14.25" customHeight="1" x14ac:dyDescent="0.35">
      <c r="A34" s="12" t="s">
        <v>126</v>
      </c>
      <c r="B34" s="38">
        <f>B33-B35-B36-B37</f>
        <v>4510</v>
      </c>
      <c r="C34" s="43">
        <f>IF(B32=0,0,B34/B32)</f>
        <v>9.6470588235294112</v>
      </c>
      <c r="D34" s="38">
        <f>INDEX(BUDGET!$C$95:$R$95,$E$5)</f>
        <v>0</v>
      </c>
      <c r="E34" s="43">
        <f>IF(D32=0,0,D34/D32)</f>
        <v>0</v>
      </c>
    </row>
    <row r="35" spans="1:6" ht="14.25" customHeight="1" x14ac:dyDescent="0.35">
      <c r="A35" s="12" t="s">
        <v>127</v>
      </c>
      <c r="B35" s="38">
        <f>$C$194</f>
        <v>0</v>
      </c>
      <c r="C35" s="43">
        <f>IF(B32=0,0,B35/B32)</f>
        <v>0</v>
      </c>
      <c r="D35" s="38">
        <f>INDEX(BUDGET!$C$96:$R$96,$E$5)</f>
        <v>0</v>
      </c>
      <c r="E35" s="43">
        <f>IF(D32=0,0,D35/D32)</f>
        <v>0</v>
      </c>
    </row>
    <row r="36" spans="1:6" ht="14.25" customHeight="1" x14ac:dyDescent="0.35">
      <c r="A36" s="12" t="s">
        <v>128</v>
      </c>
      <c r="B36" s="38">
        <f>$C$195</f>
        <v>0</v>
      </c>
      <c r="C36" s="43">
        <f>IF(B32=0,0,B36/B32)</f>
        <v>0</v>
      </c>
      <c r="D36" s="38">
        <f>INDEX(BUDGET!$C$97:$R$97,$E$5)</f>
        <v>0</v>
      </c>
      <c r="E36" s="43">
        <f>IF(D32=0,0,D36/D32)</f>
        <v>0</v>
      </c>
    </row>
    <row r="37" spans="1:6" ht="14.25" customHeight="1" x14ac:dyDescent="0.35">
      <c r="A37" s="12" t="s">
        <v>129</v>
      </c>
      <c r="B37" s="38">
        <f>$C$193</f>
        <v>0</v>
      </c>
      <c r="C37" s="43">
        <f>IF(B32=0,0,B37/B32)</f>
        <v>0</v>
      </c>
      <c r="D37" s="38">
        <f>INDEX(BUDGET!$C$98:$R$98,$E$5)</f>
        <v>0</v>
      </c>
      <c r="E37" s="43">
        <f>IF(D32=0,0,D37/D32)</f>
        <v>0</v>
      </c>
    </row>
    <row r="38" spans="1:6" ht="14.25" customHeight="1" x14ac:dyDescent="0.35">
      <c r="A38" s="40" t="s">
        <v>130</v>
      </c>
      <c r="B38" s="41">
        <f>SUM(B34:B37)</f>
        <v>4510</v>
      </c>
      <c r="C38" s="45"/>
      <c r="D38" s="45"/>
      <c r="E38" s="45"/>
    </row>
    <row r="40" spans="1:6" ht="14.25" customHeight="1" x14ac:dyDescent="0.35">
      <c r="A40" s="6" t="s">
        <v>131</v>
      </c>
    </row>
    <row r="41" spans="1:6" ht="24" customHeight="1" x14ac:dyDescent="0.35">
      <c r="A41" s="11" t="s">
        <v>99</v>
      </c>
      <c r="B41" s="11" t="s">
        <v>132</v>
      </c>
      <c r="C41" s="11" t="s">
        <v>133</v>
      </c>
      <c r="D41" s="11" t="s">
        <v>134</v>
      </c>
      <c r="E41" s="11" t="s">
        <v>73</v>
      </c>
      <c r="F41" s="11" t="s">
        <v>135</v>
      </c>
    </row>
    <row r="42" spans="1:6" ht="14.25" customHeight="1" x14ac:dyDescent="0.35">
      <c r="A42" s="6" t="s">
        <v>104</v>
      </c>
    </row>
    <row r="43" spans="1:6" ht="14.25" customHeight="1" x14ac:dyDescent="0.35">
      <c r="A43" s="12" t="s">
        <v>353</v>
      </c>
      <c r="B43" s="38">
        <f>D211</f>
        <v>1424</v>
      </c>
      <c r="C43" s="12" t="s">
        <v>137</v>
      </c>
      <c r="D43" s="46">
        <f>F211</f>
        <v>5900</v>
      </c>
      <c r="E43" s="39">
        <f>G211</f>
        <v>8401600</v>
      </c>
      <c r="F43" s="39">
        <f>IF($B$32=0,0,E43/$B$32)</f>
        <v>17971.336898395723</v>
      </c>
    </row>
    <row r="44" spans="1:6" ht="14.25" customHeight="1" x14ac:dyDescent="0.35">
      <c r="A44" s="40" t="s">
        <v>141</v>
      </c>
      <c r="B44" s="45"/>
      <c r="C44" s="45"/>
      <c r="D44" s="45"/>
      <c r="E44" s="42">
        <f>E43</f>
        <v>8401600</v>
      </c>
      <c r="F44" s="42">
        <f>IF($B$32=0,0,E44/$B$32)</f>
        <v>17971.336898395723</v>
      </c>
    </row>
    <row r="45" spans="1:6" ht="14.25" customHeight="1" x14ac:dyDescent="0.35">
      <c r="A45" s="6" t="s">
        <v>142</v>
      </c>
    </row>
    <row r="46" spans="1:6" ht="14.25" customHeight="1" x14ac:dyDescent="0.35">
      <c r="A46" s="12" t="s">
        <v>143</v>
      </c>
      <c r="B46" s="38">
        <f>D212</f>
        <v>128</v>
      </c>
      <c r="C46" s="12" t="s">
        <v>137</v>
      </c>
      <c r="D46" s="46">
        <f>F212</f>
        <v>17512.1495067543</v>
      </c>
      <c r="E46" s="39">
        <f>G212</f>
        <v>2241555.1368645504</v>
      </c>
      <c r="F46" s="39">
        <f>IF($B$32=0,0,E46/$B$32)</f>
        <v>4794.7703462343325</v>
      </c>
    </row>
    <row r="47" spans="1:6" ht="14.25" customHeight="1" x14ac:dyDescent="0.35">
      <c r="A47" s="12" t="s">
        <v>144</v>
      </c>
      <c r="B47" s="38">
        <f>D213/$C$206</f>
        <v>6.3808475222075911</v>
      </c>
      <c r="C47" s="12" t="s">
        <v>145</v>
      </c>
      <c r="D47" s="46">
        <f>IF(B47=0,0,E47/B47)</f>
        <v>226177.30195899098</v>
      </c>
      <c r="E47" s="39">
        <f>G213</f>
        <v>1443202.8767846257</v>
      </c>
      <c r="F47" s="39">
        <f>IF($B$32=0,0,E47/$B$32)</f>
        <v>3087.0649770794134</v>
      </c>
    </row>
    <row r="48" spans="1:6" ht="14.25" customHeight="1" x14ac:dyDescent="0.35">
      <c r="A48" s="6" t="s">
        <v>107</v>
      </c>
    </row>
    <row r="49" spans="1:6" ht="14.25" customHeight="1" x14ac:dyDescent="0.35">
      <c r="A49" s="12" t="s">
        <v>354</v>
      </c>
      <c r="B49" s="38">
        <v>0</v>
      </c>
      <c r="C49" s="12" t="s">
        <v>137</v>
      </c>
      <c r="D49" s="46">
        <v>0</v>
      </c>
      <c r="E49" s="39">
        <v>0</v>
      </c>
      <c r="F49" s="39">
        <f t="shared" ref="F49:F56" si="7">IF($B$32=0,0,E49/$B$32)</f>
        <v>0</v>
      </c>
    </row>
    <row r="50" spans="1:6" ht="14.25" customHeight="1" x14ac:dyDescent="0.35">
      <c r="A50" s="12" t="s">
        <v>147</v>
      </c>
      <c r="B50" s="38">
        <v>0</v>
      </c>
      <c r="C50" s="12" t="s">
        <v>137</v>
      </c>
      <c r="D50" s="46">
        <v>0</v>
      </c>
      <c r="E50" s="39">
        <v>0</v>
      </c>
      <c r="F50" s="39">
        <f t="shared" si="7"/>
        <v>0</v>
      </c>
    </row>
    <row r="51" spans="1:6" ht="14.25" customHeight="1" x14ac:dyDescent="0.35">
      <c r="A51" s="12" t="s">
        <v>355</v>
      </c>
      <c r="B51" s="38">
        <v>0</v>
      </c>
      <c r="C51" s="12" t="s">
        <v>137</v>
      </c>
      <c r="D51" s="46">
        <v>0</v>
      </c>
      <c r="E51" s="39">
        <v>0</v>
      </c>
      <c r="F51" s="39">
        <f t="shared" si="7"/>
        <v>0</v>
      </c>
    </row>
    <row r="52" spans="1:6" ht="14.25" customHeight="1" x14ac:dyDescent="0.35">
      <c r="A52" s="12" t="s">
        <v>149</v>
      </c>
      <c r="B52" s="38">
        <f>D214</f>
        <v>10</v>
      </c>
      <c r="C52" s="12" t="s">
        <v>137</v>
      </c>
      <c r="D52" s="46">
        <f>F214</f>
        <v>32614.581205548398</v>
      </c>
      <c r="E52" s="39">
        <f>G214</f>
        <v>326145.81205548398</v>
      </c>
      <c r="F52" s="39">
        <f t="shared" si="7"/>
        <v>697.63810065344171</v>
      </c>
    </row>
    <row r="53" spans="1:6" ht="14.25" customHeight="1" x14ac:dyDescent="0.35">
      <c r="A53" s="12" t="s">
        <v>356</v>
      </c>
      <c r="B53" s="38">
        <v>0</v>
      </c>
      <c r="C53" s="12" t="s">
        <v>137</v>
      </c>
      <c r="D53" s="46">
        <v>0</v>
      </c>
      <c r="E53" s="39">
        <v>0</v>
      </c>
      <c r="F53" s="39">
        <f t="shared" si="7"/>
        <v>0</v>
      </c>
    </row>
    <row r="54" spans="1:6" ht="14.25" customHeight="1" x14ac:dyDescent="0.35">
      <c r="A54" s="12" t="s">
        <v>152</v>
      </c>
      <c r="C54" s="12" t="s">
        <v>140</v>
      </c>
      <c r="E54" s="39">
        <f>SUMIF($C$211:$C$217,"Other cost",$G$211:$G$217)</f>
        <v>34945.537559017524</v>
      </c>
      <c r="F54" s="39">
        <f t="shared" si="7"/>
        <v>74.749812960465292</v>
      </c>
    </row>
    <row r="55" spans="1:6" ht="14.25" customHeight="1" x14ac:dyDescent="0.35">
      <c r="A55" s="40" t="s">
        <v>153</v>
      </c>
      <c r="B55" s="45"/>
      <c r="C55" s="45"/>
      <c r="D55" s="45"/>
      <c r="E55" s="42">
        <f>E49+E50+E51+E52+E53+E54</f>
        <v>361091.34961450152</v>
      </c>
      <c r="F55" s="42">
        <f t="shared" si="7"/>
        <v>772.38791361390702</v>
      </c>
    </row>
    <row r="56" spans="1:6" ht="14.25" customHeight="1" x14ac:dyDescent="0.35">
      <c r="A56" s="40" t="s">
        <v>154</v>
      </c>
      <c r="B56" s="45"/>
      <c r="C56" s="45"/>
      <c r="D56" s="45"/>
      <c r="E56" s="42">
        <f>E44+E46+E47+E55</f>
        <v>12447449.363263678</v>
      </c>
      <c r="F56" s="42">
        <f t="shared" si="7"/>
        <v>26625.560135323376</v>
      </c>
    </row>
    <row r="57" spans="1:6" ht="14.25" customHeight="1" x14ac:dyDescent="0.35">
      <c r="A57" s="6" t="s">
        <v>155</v>
      </c>
    </row>
    <row r="58" spans="1:6" ht="14.25" customHeight="1" x14ac:dyDescent="0.35">
      <c r="A58" s="12" t="s">
        <v>156</v>
      </c>
      <c r="B58" s="38">
        <f>$C$198</f>
        <v>0</v>
      </c>
      <c r="C58" s="12" t="s">
        <v>157</v>
      </c>
      <c r="D58" s="46">
        <f>IF(B58=0,0,E58/B58)</f>
        <v>0</v>
      </c>
      <c r="E58" s="13">
        <f>'BIAYA BERSAMA'!D116</f>
        <v>0</v>
      </c>
      <c r="F58" s="39">
        <f t="shared" ref="F58:F66" si="8">IF($B$32=0,0,E58/$B$32)</f>
        <v>0</v>
      </c>
    </row>
    <row r="59" spans="1:6" ht="14.25" customHeight="1" x14ac:dyDescent="0.35">
      <c r="A59" s="12" t="s">
        <v>158</v>
      </c>
      <c r="C59" s="12"/>
      <c r="E59" s="13">
        <f>'BIAYA BERSAMA'!D115</f>
        <v>1976184.740843103</v>
      </c>
      <c r="F59" s="39">
        <f t="shared" si="8"/>
        <v>4227.1331354932681</v>
      </c>
    </row>
    <row r="60" spans="1:6" ht="14.25" customHeight="1" x14ac:dyDescent="0.35">
      <c r="A60" s="12" t="s">
        <v>159</v>
      </c>
      <c r="C60" s="12"/>
      <c r="E60" s="13">
        <f>'BIAYA BERSAMA'!D117</f>
        <v>1766709.1564196621</v>
      </c>
      <c r="F60" s="39">
        <f t="shared" si="8"/>
        <v>3779.0570190794911</v>
      </c>
    </row>
    <row r="61" spans="1:6" ht="14.25" customHeight="1" x14ac:dyDescent="0.35">
      <c r="A61" s="12" t="s">
        <v>160</v>
      </c>
      <c r="C61" s="12"/>
      <c r="E61" s="13">
        <f>'BIAYA BERSAMA'!D118</f>
        <v>27926.782660179055</v>
      </c>
      <c r="F61" s="39">
        <f t="shared" si="8"/>
        <v>59.736433497709207</v>
      </c>
    </row>
    <row r="62" spans="1:6" ht="14.25" customHeight="1" x14ac:dyDescent="0.35">
      <c r="A62" s="12" t="s">
        <v>161</v>
      </c>
      <c r="C62" s="12"/>
      <c r="E62" s="13">
        <f>'BIAYA BERSAMA'!D119</f>
        <v>1261824.927294265</v>
      </c>
      <c r="F62" s="39">
        <f t="shared" si="8"/>
        <v>2699.0907535706206</v>
      </c>
    </row>
    <row r="63" spans="1:6" ht="14.25" customHeight="1" x14ac:dyDescent="0.35">
      <c r="A63" s="12" t="s">
        <v>162</v>
      </c>
      <c r="C63" s="12"/>
      <c r="E63" s="13">
        <f>'BIAYA BERSAMA'!D120</f>
        <v>747625.78260545188</v>
      </c>
      <c r="F63" s="39">
        <f t="shared" si="8"/>
        <v>1599.1995349849237</v>
      </c>
    </row>
    <row r="64" spans="1:6" ht="14.25" customHeight="1" x14ac:dyDescent="0.35">
      <c r="A64" s="40" t="s">
        <v>163</v>
      </c>
      <c r="B64" s="45"/>
      <c r="C64" s="45"/>
      <c r="D64" s="45"/>
      <c r="E64" s="42">
        <f>E60+E61+E62+E63</f>
        <v>3804086.6489795581</v>
      </c>
      <c r="F64" s="42">
        <f t="shared" si="8"/>
        <v>8137.0837411327448</v>
      </c>
    </row>
    <row r="65" spans="1:6" ht="14.25" customHeight="1" x14ac:dyDescent="0.35">
      <c r="A65" s="40" t="s">
        <v>164</v>
      </c>
      <c r="B65" s="45"/>
      <c r="C65" s="45"/>
      <c r="D65" s="45"/>
      <c r="E65" s="42">
        <f>E58+E59+E64</f>
        <v>5780271.3898226609</v>
      </c>
      <c r="F65" s="42">
        <f t="shared" si="8"/>
        <v>12364.216876626013</v>
      </c>
    </row>
    <row r="66" spans="1:6" ht="14.25" customHeight="1" x14ac:dyDescent="0.35">
      <c r="A66" s="40" t="s">
        <v>165</v>
      </c>
      <c r="B66" s="45"/>
      <c r="C66" s="45"/>
      <c r="D66" s="45"/>
      <c r="E66" s="42">
        <f>E56+E65</f>
        <v>18227720.75308634</v>
      </c>
      <c r="F66" s="42">
        <f t="shared" si="8"/>
        <v>38989.777011949387</v>
      </c>
    </row>
    <row r="68" spans="1:6" ht="14.25" customHeight="1" x14ac:dyDescent="0.35">
      <c r="A68" s="6" t="s">
        <v>170</v>
      </c>
    </row>
    <row r="69" spans="1:6" ht="24" customHeight="1" x14ac:dyDescent="0.35">
      <c r="A69" s="11" t="s">
        <v>4</v>
      </c>
      <c r="B69" s="11" t="s">
        <v>171</v>
      </c>
      <c r="C69" s="11"/>
      <c r="D69" s="11" t="s">
        <v>135</v>
      </c>
      <c r="E69" s="11" t="s">
        <v>73</v>
      </c>
      <c r="F69" s="11" t="s">
        <v>102</v>
      </c>
    </row>
    <row r="70" spans="1:6" ht="14.25" customHeight="1" x14ac:dyDescent="0.35">
      <c r="A70" s="12" t="s">
        <v>123</v>
      </c>
      <c r="B70" s="38">
        <f>B31</f>
        <v>4042.5</v>
      </c>
      <c r="E70" s="39">
        <f>$C$196</f>
        <v>140626085.63523799</v>
      </c>
    </row>
    <row r="71" spans="1:6" ht="14.25" customHeight="1" x14ac:dyDescent="0.35">
      <c r="A71" s="12" t="s">
        <v>172</v>
      </c>
      <c r="B71" s="38">
        <f>B32</f>
        <v>467.5</v>
      </c>
      <c r="E71" s="39">
        <f>E66</f>
        <v>18227720.75308634</v>
      </c>
    </row>
    <row r="72" spans="1:6" ht="14.25" customHeight="1" x14ac:dyDescent="0.35">
      <c r="A72" s="12" t="s">
        <v>173</v>
      </c>
      <c r="B72" s="38">
        <f>-B35</f>
        <v>0</v>
      </c>
      <c r="E72" s="39">
        <v>0</v>
      </c>
    </row>
    <row r="73" spans="1:6" ht="14.25" customHeight="1" x14ac:dyDescent="0.35">
      <c r="A73" s="40" t="s">
        <v>174</v>
      </c>
      <c r="B73" s="41">
        <f>SUM(B70:B72)</f>
        <v>4510</v>
      </c>
      <c r="C73" s="45"/>
      <c r="D73" s="45"/>
      <c r="E73" s="42">
        <f>SUM(E70:E72)</f>
        <v>158853806.38832432</v>
      </c>
      <c r="F73" s="45"/>
    </row>
    <row r="74" spans="1:6" ht="14.25" customHeight="1" x14ac:dyDescent="0.35">
      <c r="A74" s="6" t="s">
        <v>175</v>
      </c>
      <c r="D74" s="49">
        <f>IF(B73=0,0,E73/B73)</f>
        <v>35222.573478564154</v>
      </c>
      <c r="F74" s="46">
        <f>INDEX(BUDGET!$C$126:$R$126,$E$5)</f>
        <v>0</v>
      </c>
    </row>
    <row r="75" spans="1:6" ht="14.25" customHeight="1" x14ac:dyDescent="0.35">
      <c r="A75" s="12" t="s">
        <v>126</v>
      </c>
      <c r="B75" s="38">
        <f>B34</f>
        <v>4510</v>
      </c>
      <c r="E75" s="39">
        <f>B75*$D$74</f>
        <v>158853806.38832435</v>
      </c>
    </row>
    <row r="76" spans="1:6" ht="14.25" customHeight="1" x14ac:dyDescent="0.35">
      <c r="A76" s="12" t="s">
        <v>176</v>
      </c>
      <c r="B76" s="38">
        <f>B36</f>
        <v>0</v>
      </c>
      <c r="E76" s="39">
        <f>B76*$D$74</f>
        <v>0</v>
      </c>
    </row>
    <row r="77" spans="1:6" ht="14.25" customHeight="1" x14ac:dyDescent="0.35">
      <c r="A77" s="12" t="s">
        <v>129</v>
      </c>
      <c r="B77" s="38">
        <f>B37</f>
        <v>0</v>
      </c>
      <c r="E77" s="39">
        <f>B77*$D$74</f>
        <v>0</v>
      </c>
    </row>
    <row r="78" spans="1:6" ht="14.25" customHeight="1" x14ac:dyDescent="0.35">
      <c r="A78" s="40" t="s">
        <v>177</v>
      </c>
      <c r="B78" s="41">
        <f>SUM(B75:B77)</f>
        <v>4510</v>
      </c>
      <c r="C78" s="45"/>
      <c r="D78" s="45"/>
      <c r="E78" s="42">
        <f>SUM(E75:E77)</f>
        <v>158853806.38832435</v>
      </c>
      <c r="F78" s="45"/>
    </row>
    <row r="79" spans="1:6" ht="14.25" customHeight="1" x14ac:dyDescent="0.35">
      <c r="A79" s="5" t="s">
        <v>357</v>
      </c>
      <c r="B79" s="38">
        <f>B73-B78</f>
        <v>0</v>
      </c>
      <c r="E79" s="39">
        <f>E73-E78</f>
        <v>0</v>
      </c>
    </row>
    <row r="80" spans="1:6" ht="14.25" customHeight="1" x14ac:dyDescent="0.35">
      <c r="A80" s="5" t="s">
        <v>358</v>
      </c>
      <c r="E80" s="39">
        <f>$C$197</f>
        <v>0.12</v>
      </c>
    </row>
    <row r="82" spans="1:13" ht="14.25" customHeight="1" x14ac:dyDescent="0.35">
      <c r="A82" s="9" t="s">
        <v>359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ht="24" customHeight="1" x14ac:dyDescent="0.35">
      <c r="A83" s="11" t="s">
        <v>4</v>
      </c>
      <c r="B83" s="11" t="s">
        <v>171</v>
      </c>
      <c r="C83" s="11"/>
      <c r="D83" s="11" t="s">
        <v>135</v>
      </c>
      <c r="E83" s="11" t="s">
        <v>73</v>
      </c>
      <c r="F83" s="11" t="s">
        <v>102</v>
      </c>
    </row>
    <row r="84" spans="1:13" ht="14.25" customHeight="1" x14ac:dyDescent="0.35">
      <c r="A84" s="12" t="s">
        <v>179</v>
      </c>
      <c r="B84" s="38">
        <f>$C$201</f>
        <v>2123</v>
      </c>
      <c r="E84" s="39">
        <f>IF($C$201=0,0,$C$202)</f>
        <v>73852610.959458396</v>
      </c>
    </row>
    <row r="85" spans="1:13" ht="14.25" customHeight="1" x14ac:dyDescent="0.35">
      <c r="A85" s="12" t="s">
        <v>180</v>
      </c>
      <c r="B85" s="38">
        <f>B75</f>
        <v>4510</v>
      </c>
      <c r="E85" s="39">
        <f>E75</f>
        <v>158853806.38832435</v>
      </c>
    </row>
    <row r="86" spans="1:13" ht="14.25" customHeight="1" x14ac:dyDescent="0.35">
      <c r="A86" s="40" t="s">
        <v>181</v>
      </c>
      <c r="B86" s="41">
        <f>B84+B85</f>
        <v>6633</v>
      </c>
      <c r="C86" s="45"/>
      <c r="D86" s="45"/>
      <c r="E86" s="42">
        <f>E84+E85</f>
        <v>232706417.34778273</v>
      </c>
      <c r="F86" s="45"/>
    </row>
    <row r="87" spans="1:13" ht="14.25" customHeight="1" x14ac:dyDescent="0.35">
      <c r="A87" s="6" t="s">
        <v>175</v>
      </c>
      <c r="D87" s="49">
        <f>IF(B86=0,0,E86/B86)</f>
        <v>35083.132420892922</v>
      </c>
      <c r="F87" s="46">
        <f>INDEX(BUDGET!$C$127:$R$127,$E$5)</f>
        <v>0</v>
      </c>
    </row>
    <row r="88" spans="1:13" ht="14.25" customHeight="1" x14ac:dyDescent="0.35">
      <c r="A88" s="12" t="s">
        <v>182</v>
      </c>
      <c r="B88" s="38">
        <f>$C$203</f>
        <v>6633</v>
      </c>
      <c r="E88" s="39">
        <f>B88*$D$87</f>
        <v>232706417.34778276</v>
      </c>
    </row>
    <row r="89" spans="1:13" ht="14.25" customHeight="1" x14ac:dyDescent="0.35">
      <c r="A89" s="12" t="s">
        <v>184</v>
      </c>
      <c r="B89" s="38">
        <f>$C$204</f>
        <v>0</v>
      </c>
      <c r="E89" s="39">
        <f>B89*$D$87</f>
        <v>0</v>
      </c>
    </row>
    <row r="90" spans="1:13" ht="14.25" customHeight="1" x14ac:dyDescent="0.35">
      <c r="A90" s="12" t="s">
        <v>185</v>
      </c>
      <c r="B90" s="38">
        <f>B86-B88-B89</f>
        <v>0</v>
      </c>
      <c r="E90" s="39">
        <f>B90*$D$87</f>
        <v>0</v>
      </c>
    </row>
    <row r="91" spans="1:13" ht="14.25" customHeight="1" x14ac:dyDescent="0.35">
      <c r="A91" s="5" t="s">
        <v>360</v>
      </c>
      <c r="E91" s="39">
        <f>$C$205</f>
        <v>1692347.24</v>
      </c>
    </row>
    <row r="92" spans="1:13" ht="14.25" customHeight="1" x14ac:dyDescent="0.35">
      <c r="A92" s="5" t="s">
        <v>361</v>
      </c>
      <c r="E92" s="39">
        <f>$C$202-E84</f>
        <v>0</v>
      </c>
    </row>
    <row r="94" spans="1:13" ht="14.25" customHeight="1" x14ac:dyDescent="0.35">
      <c r="A94" s="6" t="s">
        <v>13</v>
      </c>
    </row>
    <row r="95" spans="1:13" ht="14.25" customHeight="1" x14ac:dyDescent="0.35">
      <c r="A95" s="12" t="s">
        <v>190</v>
      </c>
      <c r="E95" s="39">
        <f>E88</f>
        <v>232706417.34778276</v>
      </c>
    </row>
    <row r="96" spans="1:13" ht="14.25" customHeight="1" x14ac:dyDescent="0.35">
      <c r="A96" s="12" t="s">
        <v>191</v>
      </c>
      <c r="E96" s="39">
        <f>E76</f>
        <v>0</v>
      </c>
    </row>
    <row r="97" spans="1:13" ht="14.25" customHeight="1" x14ac:dyDescent="0.35">
      <c r="A97" s="12" t="s">
        <v>192</v>
      </c>
      <c r="E97" s="39">
        <f>E90</f>
        <v>0</v>
      </c>
    </row>
    <row r="98" spans="1:13" ht="14.25" customHeight="1" x14ac:dyDescent="0.35">
      <c r="A98" s="40" t="s">
        <v>194</v>
      </c>
      <c r="B98" s="45"/>
      <c r="C98" s="45"/>
      <c r="D98" s="45"/>
      <c r="E98" s="42">
        <f>E95+E96+E97</f>
        <v>232706417.34778276</v>
      </c>
      <c r="F98" s="45"/>
    </row>
    <row r="99" spans="1:13" ht="14.25" customHeight="1" x14ac:dyDescent="0.35">
      <c r="A99" s="6" t="s">
        <v>195</v>
      </c>
      <c r="D99" s="49">
        <f>IF(B88=0,0,(E95+E96)/B88)</f>
        <v>35083.132420892922</v>
      </c>
      <c r="F99" s="46">
        <f>IF(INDEX(BUDGET!$C$95:$R$95,$E$5)=0,0,INDEX(BUDGET!$C$128:$R$128,$E$5)/INDEX(BUDGET!$C$95:$R$95,$E$5))</f>
        <v>0</v>
      </c>
    </row>
    <row r="100" spans="1:13" ht="14.25" customHeight="1" x14ac:dyDescent="0.35">
      <c r="A100" s="5" t="s">
        <v>196</v>
      </c>
      <c r="E100" s="39">
        <f>INDEX(BUDGET!$C$128:$R$128,$E$5)</f>
        <v>0</v>
      </c>
    </row>
    <row r="102" spans="1:13" ht="14.25" customHeight="1" x14ac:dyDescent="0.35">
      <c r="A102" s="9" t="s">
        <v>197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spans="1:13" ht="30" customHeight="1" x14ac:dyDescent="0.35">
      <c r="A103" s="11" t="s">
        <v>99</v>
      </c>
      <c r="B103" s="11" t="s">
        <v>198</v>
      </c>
      <c r="C103" s="11" t="s">
        <v>199</v>
      </c>
      <c r="D103" s="11" t="s">
        <v>200</v>
      </c>
      <c r="E103" s="11" t="s">
        <v>201</v>
      </c>
      <c r="F103" s="11" t="s">
        <v>18</v>
      </c>
      <c r="G103" s="11" t="s">
        <v>19</v>
      </c>
      <c r="H103" s="11" t="s">
        <v>20</v>
      </c>
      <c r="I103" s="11" t="s">
        <v>21</v>
      </c>
      <c r="J103" s="11" t="s">
        <v>22</v>
      </c>
      <c r="K103" s="11" t="s">
        <v>23</v>
      </c>
      <c r="L103" s="11" t="s">
        <v>24</v>
      </c>
      <c r="M103" s="11" t="s">
        <v>202</v>
      </c>
    </row>
    <row r="104" spans="1:13" ht="14.25" customHeight="1" x14ac:dyDescent="0.35">
      <c r="A104" s="12" t="s">
        <v>353</v>
      </c>
      <c r="B104" s="48">
        <f>IF($B$32=0,0,B43/$B$32)</f>
        <v>3.0459893048128341</v>
      </c>
      <c r="C104" s="48">
        <f>IF($D$32=0,0,INDEX(BUDGET!$C$101:$R$101,$E$5)/$D$32)</f>
        <v>0</v>
      </c>
      <c r="D104" s="46">
        <f>D43</f>
        <v>5900</v>
      </c>
      <c r="E104" s="46">
        <f>IF(INDEX(BUDGET!$C$101:$R$101,$E$5)=0,0,INDEX(BUDGET!$C$102:$R$102,$E$5)/INDEX(BUDGET!$C$101:$R$101,$E$5))</f>
        <v>0</v>
      </c>
      <c r="F104" s="39">
        <f>F43</f>
        <v>17971.336898395723</v>
      </c>
      <c r="G104" s="39">
        <f>IF($D$32=0,0,INDEX(BUDGET!$C$102:$R$102,$E$5)/$D$32)</f>
        <v>0</v>
      </c>
      <c r="H104" s="39">
        <f>F104-G104</f>
        <v>17971.336898395723</v>
      </c>
      <c r="I104" s="39">
        <f>(D104-E104)*B104</f>
        <v>17971.336898395723</v>
      </c>
      <c r="J104" s="39">
        <f>(B104-C104)*E104</f>
        <v>0</v>
      </c>
      <c r="K104" s="39">
        <v>0</v>
      </c>
      <c r="L104" s="39">
        <v>0</v>
      </c>
      <c r="M104" s="39">
        <f>H104-I104-J104-K104-L104</f>
        <v>0</v>
      </c>
    </row>
    <row r="105" spans="1:13" ht="14.25" customHeight="1" x14ac:dyDescent="0.35">
      <c r="A105" s="40" t="s">
        <v>104</v>
      </c>
      <c r="B105" s="45"/>
      <c r="C105" s="45"/>
      <c r="D105" s="45"/>
      <c r="E105" s="45"/>
      <c r="F105" s="42">
        <f t="shared" ref="F105:M105" si="9">F104</f>
        <v>17971.336898395723</v>
      </c>
      <c r="G105" s="42">
        <f t="shared" si="9"/>
        <v>0</v>
      </c>
      <c r="H105" s="42">
        <f t="shared" si="9"/>
        <v>17971.336898395723</v>
      </c>
      <c r="I105" s="42">
        <f t="shared" si="9"/>
        <v>17971.336898395723</v>
      </c>
      <c r="J105" s="42">
        <f t="shared" si="9"/>
        <v>0</v>
      </c>
      <c r="K105" s="42">
        <f t="shared" si="9"/>
        <v>0</v>
      </c>
      <c r="L105" s="42">
        <f t="shared" si="9"/>
        <v>0</v>
      </c>
      <c r="M105" s="42">
        <f t="shared" si="9"/>
        <v>0</v>
      </c>
    </row>
    <row r="106" spans="1:13" ht="14.25" customHeight="1" x14ac:dyDescent="0.35">
      <c r="A106" s="12" t="s">
        <v>143</v>
      </c>
      <c r="B106" s="48">
        <f>IF($B$32=0,0,B46/$B$32)</f>
        <v>0.27379679144385027</v>
      </c>
      <c r="C106" s="48">
        <f>IF($D$32=0,0,INDEX(BUDGET!$C$103:$R$103,$E$5)/$D$32)</f>
        <v>0</v>
      </c>
      <c r="D106" s="46">
        <f>D46</f>
        <v>17512.1495067543</v>
      </c>
      <c r="E106" s="46">
        <f>IF(INDEX(BUDGET!$C$103:$R$103,$E$5)=0,0,INDEX(BUDGET!$C$104:$R$104,$E$5)/INDEX(BUDGET!$C$103:$R$103,$E$5))</f>
        <v>0</v>
      </c>
      <c r="F106" s="39">
        <f>F46</f>
        <v>4794.7703462343325</v>
      </c>
      <c r="G106" s="39">
        <f>IF($D$32=0,0,INDEX(BUDGET!$C$104:$R$104,$E$5)/$D$32)</f>
        <v>0</v>
      </c>
      <c r="H106" s="39">
        <f>F106-G106</f>
        <v>4794.7703462343325</v>
      </c>
      <c r="I106" s="39">
        <f>(D106-E106)*B106</f>
        <v>4794.7703462343325</v>
      </c>
      <c r="J106" s="39">
        <f>(B106-C106)*E106</f>
        <v>0</v>
      </c>
      <c r="K106" s="39">
        <v>0</v>
      </c>
      <c r="L106" s="39">
        <v>0</v>
      </c>
      <c r="M106" s="39">
        <f>H106-I106-J106-K106-L106</f>
        <v>0</v>
      </c>
    </row>
    <row r="107" spans="1:13" ht="14.25" customHeight="1" x14ac:dyDescent="0.35">
      <c r="A107" s="40" t="s">
        <v>105</v>
      </c>
      <c r="B107" s="45"/>
      <c r="C107" s="45"/>
      <c r="D107" s="45"/>
      <c r="E107" s="45"/>
      <c r="F107" s="42">
        <f t="shared" ref="F107:M107" si="10">F106</f>
        <v>4794.7703462343325</v>
      </c>
      <c r="G107" s="42">
        <f t="shared" si="10"/>
        <v>0</v>
      </c>
      <c r="H107" s="42">
        <f t="shared" si="10"/>
        <v>4794.7703462343325</v>
      </c>
      <c r="I107" s="42">
        <f t="shared" si="10"/>
        <v>4794.7703462343325</v>
      </c>
      <c r="J107" s="42">
        <f t="shared" si="10"/>
        <v>0</v>
      </c>
      <c r="K107" s="42">
        <f t="shared" si="10"/>
        <v>0</v>
      </c>
      <c r="L107" s="42">
        <f t="shared" si="10"/>
        <v>0</v>
      </c>
      <c r="M107" s="42">
        <f t="shared" si="10"/>
        <v>0</v>
      </c>
    </row>
    <row r="108" spans="1:13" ht="14.25" customHeight="1" x14ac:dyDescent="0.35">
      <c r="A108" s="12" t="s">
        <v>203</v>
      </c>
      <c r="B108" s="48">
        <f>IF($B$32=0,0,B47/$B$32)</f>
        <v>1.3648871705256879E-2</v>
      </c>
      <c r="C108" s="48">
        <f>IF($D$32=0,0,INDEX(BUDGET!$C$105:$R$105,$E$5)/$D$32)</f>
        <v>0</v>
      </c>
      <c r="D108" s="46">
        <f>D47</f>
        <v>226177.30195899098</v>
      </c>
      <c r="E108" s="46">
        <f>IF(INDEX(BUDGET!$C$105:$R$105,$E$5)=0,0,INDEX(BUDGET!$C$106:$R$106,$E$5)/INDEX(BUDGET!$C$105:$R$105,$E$5))</f>
        <v>0</v>
      </c>
      <c r="F108" s="39">
        <f>F47</f>
        <v>3087.0649770794134</v>
      </c>
      <c r="G108" s="39">
        <f>IF($D$32=0,0,INDEX(BUDGET!$C$106:$R$106,$E$5)/$D$32)</f>
        <v>0</v>
      </c>
      <c r="H108" s="39">
        <f>F108-G108</f>
        <v>3087.0649770794134</v>
      </c>
      <c r="I108" s="39">
        <f>(D108-E108)*B108</f>
        <v>3087.0649770794134</v>
      </c>
      <c r="J108" s="39">
        <f>(B108-C108)*E108</f>
        <v>0</v>
      </c>
      <c r="K108" s="39">
        <v>0</v>
      </c>
      <c r="L108" s="39">
        <v>0</v>
      </c>
      <c r="M108" s="39">
        <f>H108-I108-J108-K108-L108</f>
        <v>0</v>
      </c>
    </row>
    <row r="109" spans="1:13" ht="14.25" customHeight="1" x14ac:dyDescent="0.35">
      <c r="A109" s="40" t="s">
        <v>106</v>
      </c>
      <c r="B109" s="45"/>
      <c r="C109" s="45"/>
      <c r="D109" s="45"/>
      <c r="E109" s="45"/>
      <c r="F109" s="42">
        <f t="shared" ref="F109:M109" si="11">F108</f>
        <v>3087.0649770794134</v>
      </c>
      <c r="G109" s="42">
        <f t="shared" si="11"/>
        <v>0</v>
      </c>
      <c r="H109" s="42">
        <f t="shared" si="11"/>
        <v>3087.0649770794134</v>
      </c>
      <c r="I109" s="42">
        <f t="shared" si="11"/>
        <v>3087.0649770794134</v>
      </c>
      <c r="J109" s="42">
        <f t="shared" si="11"/>
        <v>0</v>
      </c>
      <c r="K109" s="42">
        <f t="shared" si="11"/>
        <v>0</v>
      </c>
      <c r="L109" s="42">
        <f t="shared" si="11"/>
        <v>0</v>
      </c>
      <c r="M109" s="42">
        <f t="shared" si="11"/>
        <v>0</v>
      </c>
    </row>
    <row r="110" spans="1:13" ht="14.25" customHeight="1" x14ac:dyDescent="0.35">
      <c r="A110" s="12" t="s">
        <v>354</v>
      </c>
      <c r="B110" s="48">
        <f>IF($B$32=0,0,B49/$B$32)</f>
        <v>0</v>
      </c>
      <c r="C110" s="48">
        <f>IF($D$32=0,0,INDEX(BUDGET!$C$107:$R$107,$E$5)/$D$32)</f>
        <v>0</v>
      </c>
      <c r="D110" s="46">
        <f>D49</f>
        <v>0</v>
      </c>
      <c r="E110" s="46">
        <f>IF(INDEX(BUDGET!$C$107:$R$107,$E$5)=0,0,INDEX(BUDGET!$C$108:$R$108,$E$5)/INDEX(BUDGET!$C$107:$R$107,$E$5))</f>
        <v>0</v>
      </c>
      <c r="F110" s="39">
        <f t="shared" ref="F110:F115" si="12">F49</f>
        <v>0</v>
      </c>
      <c r="G110" s="39">
        <f>IF($D$32=0,0,INDEX(BUDGET!$C$108:$R$108,$E$5)/$D$32)</f>
        <v>0</v>
      </c>
      <c r="H110" s="39">
        <f t="shared" ref="H110:H115" si="13">F110-G110</f>
        <v>0</v>
      </c>
      <c r="I110" s="39">
        <f>(D110-E110)*B110</f>
        <v>0</v>
      </c>
      <c r="J110" s="39">
        <f>(B110-C110)*E110</f>
        <v>0</v>
      </c>
      <c r="K110" s="39">
        <v>0</v>
      </c>
      <c r="L110" s="39">
        <v>0</v>
      </c>
      <c r="M110" s="39">
        <f t="shared" ref="M110:M115" si="14">H110-I110-J110-K110-L110</f>
        <v>0</v>
      </c>
    </row>
    <row r="111" spans="1:13" ht="14.25" customHeight="1" x14ac:dyDescent="0.35">
      <c r="A111" s="12" t="s">
        <v>147</v>
      </c>
      <c r="B111" s="48">
        <f>IF($B$32=0,0,B50/$B$32)</f>
        <v>0</v>
      </c>
      <c r="C111" s="48">
        <f>IF($D$32=0,0,INDEX(BUDGET!$C$109:$R$109,$E$5)/$D$32)</f>
        <v>0</v>
      </c>
      <c r="D111" s="46">
        <f>D50</f>
        <v>0</v>
      </c>
      <c r="E111" s="46">
        <f>IF(INDEX(BUDGET!$C$109:$R$109,$E$5)=0,0,INDEX(BUDGET!$C$110:$R$110,$E$5)/INDEX(BUDGET!$C$109:$R$109,$E$5))</f>
        <v>0</v>
      </c>
      <c r="F111" s="39">
        <f t="shared" si="12"/>
        <v>0</v>
      </c>
      <c r="G111" s="39">
        <f>IF($D$32=0,0,INDEX(BUDGET!$C$110:$R$110,$E$5)/$D$32)</f>
        <v>0</v>
      </c>
      <c r="H111" s="39">
        <f t="shared" si="13"/>
        <v>0</v>
      </c>
      <c r="I111" s="39">
        <f>(D111-E111)*B111</f>
        <v>0</v>
      </c>
      <c r="J111" s="39">
        <f>(B111-C111)*E111</f>
        <v>0</v>
      </c>
      <c r="K111" s="39">
        <v>0</v>
      </c>
      <c r="L111" s="39">
        <v>0</v>
      </c>
      <c r="M111" s="39">
        <f t="shared" si="14"/>
        <v>0</v>
      </c>
    </row>
    <row r="112" spans="1:13" ht="14.25" customHeight="1" x14ac:dyDescent="0.35">
      <c r="A112" s="12" t="s">
        <v>355</v>
      </c>
      <c r="B112" s="48">
        <f>IF($B$32=0,0,B51/$B$32)</f>
        <v>0</v>
      </c>
      <c r="C112" s="48">
        <f>IF($D$32=0,0,INDEX(BUDGET!$C$111:$R$111,$E$5)/$D$32)</f>
        <v>0</v>
      </c>
      <c r="D112" s="46">
        <f>D51</f>
        <v>0</v>
      </c>
      <c r="E112" s="46">
        <f>IF(INDEX(BUDGET!$C$111:$R$111,$E$5)=0,0,INDEX(BUDGET!$C$112:$R$112,$E$5)/INDEX(BUDGET!$C$111:$R$111,$E$5))</f>
        <v>0</v>
      </c>
      <c r="F112" s="39">
        <f t="shared" si="12"/>
        <v>0</v>
      </c>
      <c r="G112" s="39">
        <f>IF($D$32=0,0,INDEX(BUDGET!$C$112:$R$112,$E$5)/$D$32)</f>
        <v>0</v>
      </c>
      <c r="H112" s="39">
        <f t="shared" si="13"/>
        <v>0</v>
      </c>
      <c r="I112" s="39">
        <f>(D112-E112)*B112</f>
        <v>0</v>
      </c>
      <c r="J112" s="39">
        <f>(B112-C112)*E112</f>
        <v>0</v>
      </c>
      <c r="K112" s="39">
        <v>0</v>
      </c>
      <c r="L112" s="39">
        <v>0</v>
      </c>
      <c r="M112" s="39">
        <f t="shared" si="14"/>
        <v>0</v>
      </c>
    </row>
    <row r="113" spans="1:13" ht="14.25" customHeight="1" x14ac:dyDescent="0.35">
      <c r="A113" s="12" t="s">
        <v>149</v>
      </c>
      <c r="B113" s="48">
        <f>IF($B$32=0,0,B52/$B$32)</f>
        <v>2.1390374331550801E-2</v>
      </c>
      <c r="C113" s="48">
        <f>IF($D$32=0,0,INDEX(BUDGET!$C$113:$R$113,$E$5)/$D$32)</f>
        <v>0</v>
      </c>
      <c r="D113" s="46">
        <f>D52</f>
        <v>32614.581205548398</v>
      </c>
      <c r="E113" s="46">
        <f>IF(INDEX(BUDGET!$C$113:$R$113,$E$5)=0,0,INDEX(BUDGET!$C$114:$R$114,$E$5)/INDEX(BUDGET!$C$113:$R$113,$E$5))</f>
        <v>0</v>
      </c>
      <c r="F113" s="39">
        <f t="shared" si="12"/>
        <v>697.63810065344171</v>
      </c>
      <c r="G113" s="39">
        <f>IF($D$32=0,0,INDEX(BUDGET!$C$114:$R$114,$E$5)/$D$32)</f>
        <v>0</v>
      </c>
      <c r="H113" s="39">
        <f t="shared" si="13"/>
        <v>697.63810065344171</v>
      </c>
      <c r="I113" s="39">
        <f>(D113-E113)*B113</f>
        <v>697.6381006534416</v>
      </c>
      <c r="J113" s="39">
        <f>(B113-C113)*E113</f>
        <v>0</v>
      </c>
      <c r="K113" s="39">
        <v>0</v>
      </c>
      <c r="L113" s="39">
        <v>0</v>
      </c>
      <c r="M113" s="39">
        <f t="shared" si="14"/>
        <v>1.1368683772161603E-13</v>
      </c>
    </row>
    <row r="114" spans="1:13" ht="14.25" customHeight="1" x14ac:dyDescent="0.35">
      <c r="A114" s="12" t="s">
        <v>356</v>
      </c>
      <c r="B114" s="48">
        <f>IF($B$32=0,0,B53/$B$32)</f>
        <v>0</v>
      </c>
      <c r="C114" s="48">
        <f>IF($D$32=0,0,INDEX(BUDGET!$C$115:$R$115,$E$5)/$D$32)</f>
        <v>0</v>
      </c>
      <c r="D114" s="46">
        <f>D53</f>
        <v>0</v>
      </c>
      <c r="E114" s="46">
        <f>IF(INDEX(BUDGET!$C$115:$R$115,$E$5)=0,0,INDEX(BUDGET!$C$116:$R$116,$E$5)/INDEX(BUDGET!$C$115:$R$115,$E$5))</f>
        <v>0</v>
      </c>
      <c r="F114" s="39">
        <f t="shared" si="12"/>
        <v>0</v>
      </c>
      <c r="G114" s="39">
        <f>IF($D$32=0,0,INDEX(BUDGET!$C$116:$R$116,$E$5)/$D$32)</f>
        <v>0</v>
      </c>
      <c r="H114" s="39">
        <f t="shared" si="13"/>
        <v>0</v>
      </c>
      <c r="I114" s="39">
        <f>(D114-E114)*B114</f>
        <v>0</v>
      </c>
      <c r="J114" s="39">
        <f>(B114-C114)*E114</f>
        <v>0</v>
      </c>
      <c r="K114" s="39">
        <v>0</v>
      </c>
      <c r="L114" s="39">
        <v>0</v>
      </c>
      <c r="M114" s="39">
        <f t="shared" si="14"/>
        <v>0</v>
      </c>
    </row>
    <row r="115" spans="1:13" ht="14.25" customHeight="1" x14ac:dyDescent="0.35">
      <c r="A115" s="12" t="s">
        <v>204</v>
      </c>
      <c r="F115" s="39">
        <f t="shared" si="12"/>
        <v>74.749812960465292</v>
      </c>
      <c r="G115" s="39">
        <f>IF($D$32=0,0,INDEX(BUDGET!$C$117:$R$117,$E$5)/$D$32)</f>
        <v>0</v>
      </c>
      <c r="H115" s="39">
        <f t="shared" si="13"/>
        <v>74.749812960465292</v>
      </c>
      <c r="I115" s="39">
        <v>0</v>
      </c>
      <c r="J115" s="39">
        <f>H115</f>
        <v>74.749812960465292</v>
      </c>
      <c r="K115" s="39">
        <v>0</v>
      </c>
      <c r="L115" s="39">
        <v>0</v>
      </c>
      <c r="M115" s="39">
        <f t="shared" si="14"/>
        <v>0</v>
      </c>
    </row>
    <row r="116" spans="1:13" ht="14.25" customHeight="1" x14ac:dyDescent="0.35">
      <c r="A116" s="40" t="s">
        <v>107</v>
      </c>
      <c r="B116" s="45"/>
      <c r="C116" s="45"/>
      <c r="D116" s="45"/>
      <c r="E116" s="45"/>
      <c r="F116" s="42">
        <f t="shared" ref="F116:M116" si="15">F110+F111+F112+F113+F114+F115</f>
        <v>772.38791361390702</v>
      </c>
      <c r="G116" s="42">
        <f t="shared" si="15"/>
        <v>0</v>
      </c>
      <c r="H116" s="42">
        <f t="shared" si="15"/>
        <v>772.38791361390702</v>
      </c>
      <c r="I116" s="42">
        <f t="shared" si="15"/>
        <v>697.6381006534416</v>
      </c>
      <c r="J116" s="42">
        <f t="shared" si="15"/>
        <v>74.749812960465292</v>
      </c>
      <c r="K116" s="42">
        <f t="shared" si="15"/>
        <v>0</v>
      </c>
      <c r="L116" s="42">
        <f t="shared" si="15"/>
        <v>0</v>
      </c>
      <c r="M116" s="42">
        <f t="shared" si="15"/>
        <v>1.1368683772161603E-13</v>
      </c>
    </row>
    <row r="117" spans="1:13" ht="14.25" customHeight="1" x14ac:dyDescent="0.35">
      <c r="A117" s="12" t="s">
        <v>205</v>
      </c>
      <c r="B117" s="48">
        <f>IF($B$32=0,0,B58/$B$32)</f>
        <v>0</v>
      </c>
      <c r="C117" s="48">
        <f>IF($D$32=0,0,INDEX(BUDGET!$C$118:$R$118,$E$5)/$D$32)</f>
        <v>0</v>
      </c>
      <c r="D117" s="46">
        <f>D58</f>
        <v>0</v>
      </c>
      <c r="E117" s="46">
        <f>IF(INDEX(BUDGET!$C$118:$R$118,$E$5)=0,0,INDEX(BUDGET!$C$119:$R$119,$E$5)/INDEX(BUDGET!$C$118:$R$118,$E$5))</f>
        <v>0</v>
      </c>
      <c r="F117" s="39">
        <f>F58</f>
        <v>0</v>
      </c>
      <c r="G117" s="39">
        <f>IF($D$32=0,0,INDEX(BUDGET!$C$119:$R$119,$E$5)/$D$32)</f>
        <v>0</v>
      </c>
      <c r="H117" s="39">
        <f>F117-G117</f>
        <v>0</v>
      </c>
      <c r="I117" s="39">
        <f>(D117-E117)*B117</f>
        <v>0</v>
      </c>
      <c r="J117" s="39">
        <f>(B117-C117)*E117</f>
        <v>0</v>
      </c>
      <c r="K117" s="39">
        <v>0</v>
      </c>
      <c r="L117" s="39">
        <v>0</v>
      </c>
      <c r="M117" s="39">
        <f>H117-I117-J117-K117-L117</f>
        <v>0</v>
      </c>
    </row>
    <row r="118" spans="1:13" ht="14.25" customHeight="1" x14ac:dyDescent="0.35">
      <c r="A118" s="40" t="s">
        <v>108</v>
      </c>
      <c r="B118" s="45"/>
      <c r="C118" s="45"/>
      <c r="D118" s="45"/>
      <c r="E118" s="45"/>
      <c r="F118" s="42">
        <f t="shared" ref="F118:M118" si="16">F117</f>
        <v>0</v>
      </c>
      <c r="G118" s="42">
        <f t="shared" si="16"/>
        <v>0</v>
      </c>
      <c r="H118" s="42">
        <f t="shared" si="16"/>
        <v>0</v>
      </c>
      <c r="I118" s="42">
        <f t="shared" si="16"/>
        <v>0</v>
      </c>
      <c r="J118" s="42">
        <f t="shared" si="16"/>
        <v>0</v>
      </c>
      <c r="K118" s="42">
        <f t="shared" si="16"/>
        <v>0</v>
      </c>
      <c r="L118" s="42">
        <f t="shared" si="16"/>
        <v>0</v>
      </c>
      <c r="M118" s="42">
        <f t="shared" si="16"/>
        <v>0</v>
      </c>
    </row>
    <row r="119" spans="1:13" ht="14.25" customHeight="1" x14ac:dyDescent="0.35">
      <c r="A119" s="12" t="s">
        <v>158</v>
      </c>
      <c r="F119" s="39">
        <f>F59</f>
        <v>4227.1331354932681</v>
      </c>
      <c r="G119" s="39">
        <f>IF($D$32=0,0,INDEX(BUDGET!$C$140:$R$140,$E$5)/$D$32)</f>
        <v>0</v>
      </c>
      <c r="H119" s="39">
        <f>F119-G119</f>
        <v>4227.1331354932681</v>
      </c>
      <c r="I119" s="39">
        <f>IF($B$32=0,0,('BIAYA BERSAMA'!$D$125-INDEX(BUDGET!$C$140:$R$140,$E$5))/$B$32)</f>
        <v>1922.5850931653879</v>
      </c>
      <c r="J119" s="39">
        <v>0</v>
      </c>
      <c r="K119" s="39">
        <f>IF($B$32=0,0,INDEX(BUDGET!$C$140:$R$140,$E$5)/$B$32)-G119</f>
        <v>0</v>
      </c>
      <c r="L119" s="39">
        <f>IF($B$32=0,0,(E59-'BIAYA BERSAMA'!$D$125)/$B$32)</f>
        <v>2304.5480423278809</v>
      </c>
      <c r="M119" s="39">
        <f>H119-I119-J119-K119-L119</f>
        <v>0</v>
      </c>
    </row>
    <row r="120" spans="1:13" ht="14.25" customHeight="1" x14ac:dyDescent="0.35">
      <c r="A120" s="40" t="s">
        <v>206</v>
      </c>
      <c r="B120" s="45"/>
      <c r="C120" s="45"/>
      <c r="D120" s="45"/>
      <c r="E120" s="45"/>
      <c r="F120" s="42">
        <f t="shared" ref="F120:M120" si="17">F119</f>
        <v>4227.1331354932681</v>
      </c>
      <c r="G120" s="42">
        <f t="shared" si="17"/>
        <v>0</v>
      </c>
      <c r="H120" s="42">
        <f t="shared" si="17"/>
        <v>4227.1331354932681</v>
      </c>
      <c r="I120" s="42">
        <f t="shared" si="17"/>
        <v>1922.5850931653879</v>
      </c>
      <c r="J120" s="42">
        <f t="shared" si="17"/>
        <v>0</v>
      </c>
      <c r="K120" s="42">
        <f t="shared" si="17"/>
        <v>0</v>
      </c>
      <c r="L120" s="42">
        <f t="shared" si="17"/>
        <v>2304.5480423278809</v>
      </c>
      <c r="M120" s="42">
        <f t="shared" si="17"/>
        <v>0</v>
      </c>
    </row>
    <row r="121" spans="1:13" ht="14.25" customHeight="1" x14ac:dyDescent="0.35">
      <c r="A121" s="12" t="s">
        <v>207</v>
      </c>
      <c r="F121" s="39">
        <f>F60</f>
        <v>3779.0570190794911</v>
      </c>
      <c r="G121" s="39">
        <f>IF($D$32=0,0,INDEX(BUDGET!$C$141:$R$141,$E$5)/$D$32)</f>
        <v>0</v>
      </c>
      <c r="H121" s="39">
        <f>F121-G121</f>
        <v>3779.0570190794911</v>
      </c>
      <c r="I121" s="39">
        <f>IF($B$32=0,0,('BIAYA BERSAMA'!$D$127-INDEX(BUDGET!$C$141:$R$141,$E$5))/$B$32)</f>
        <v>1718.7910714471573</v>
      </c>
      <c r="J121" s="39">
        <v>0</v>
      </c>
      <c r="K121" s="39">
        <f>IF($B$32=0,0,INDEX(BUDGET!$C$141:$R$141,$E$5)/$B$32)-G121</f>
        <v>0</v>
      </c>
      <c r="L121" s="39">
        <f>IF($B$32=0,0,(E60-'BIAYA BERSAMA'!$D$127)/$B$32)</f>
        <v>2060.2659476323338</v>
      </c>
      <c r="M121" s="39">
        <f>H121-I121-J121-K121-L121</f>
        <v>0</v>
      </c>
    </row>
    <row r="122" spans="1:13" ht="14.25" customHeight="1" x14ac:dyDescent="0.35">
      <c r="A122" s="12" t="s">
        <v>160</v>
      </c>
      <c r="F122" s="39">
        <f>F61</f>
        <v>59.736433497709207</v>
      </c>
      <c r="G122" s="39">
        <f>IF($D$32=0,0,INDEX(BUDGET!$C$122:$R$122,$E$5)/$D$32)</f>
        <v>0</v>
      </c>
      <c r="H122" s="39">
        <f>F122-G122</f>
        <v>59.736433497709207</v>
      </c>
      <c r="I122" s="39">
        <f>IF($B$32=0,0,('BIAYA BERSAMA'!$D$128-INDEX(BUDGET!$C$122:$R$122,$E$5))/$B$32)</f>
        <v>191.46297100439972</v>
      </c>
      <c r="J122" s="39">
        <v>0</v>
      </c>
      <c r="K122" s="39">
        <f>IF($B$32=0,0,INDEX(BUDGET!$C$122:$R$122,$E$5)/$B$32)-G122</f>
        <v>0</v>
      </c>
      <c r="L122" s="39">
        <f>IF($B$32=0,0,(E61-'BIAYA BERSAMA'!$D$128)/$B$32)</f>
        <v>-131.72653750669051</v>
      </c>
      <c r="M122" s="39">
        <f>H122-I122-J122-K122-L122</f>
        <v>0</v>
      </c>
    </row>
    <row r="123" spans="1:13" ht="14.25" customHeight="1" x14ac:dyDescent="0.35">
      <c r="A123" s="12" t="s">
        <v>208</v>
      </c>
      <c r="F123" s="39">
        <f>F62</f>
        <v>2699.0907535706206</v>
      </c>
      <c r="G123" s="39">
        <f>IF($D$32=0,0,INDEX(BUDGET!$C$123:$R$123,$E$5)/$D$32)</f>
        <v>0</v>
      </c>
      <c r="H123" s="39">
        <f>F123-G123</f>
        <v>2699.0907535706206</v>
      </c>
      <c r="I123" s="39">
        <f>IF($B$32=0,0,('BIAYA BERSAMA'!$D$129-INDEX(BUDGET!$C$123:$R$123,$E$5))/$B$32)</f>
        <v>400.67650111443345</v>
      </c>
      <c r="J123" s="39">
        <v>0</v>
      </c>
      <c r="K123" s="39">
        <f>IF($B$32=0,0,INDEX(BUDGET!$C$123:$R$123,$E$5)/$B$32)-G123</f>
        <v>0</v>
      </c>
      <c r="L123" s="39">
        <f>IF($B$32=0,0,(E62-'BIAYA BERSAMA'!$D$129)/$B$32)</f>
        <v>2298.4142524561871</v>
      </c>
      <c r="M123" s="39">
        <f>H123-I123-J123-K123-L123</f>
        <v>0</v>
      </c>
    </row>
    <row r="124" spans="1:13" ht="14.25" customHeight="1" x14ac:dyDescent="0.35">
      <c r="A124" s="12" t="s">
        <v>209</v>
      </c>
      <c r="F124" s="39">
        <f>F63</f>
        <v>1599.1995349849237</v>
      </c>
      <c r="G124" s="39">
        <f>IF($D$32=0,0,INDEX(BUDGET!$C$124:$R$124,$E$5)/$D$32)</f>
        <v>0</v>
      </c>
      <c r="H124" s="39">
        <f>F124-G124</f>
        <v>1599.1995349849237</v>
      </c>
      <c r="I124" s="39">
        <f>IF($B$32=0,0,('BIAYA BERSAMA'!$D$130-INDEX(BUDGET!$C$124:$R$124,$E$5))/$B$32)</f>
        <v>1599.1995349849237</v>
      </c>
      <c r="J124" s="39">
        <v>0</v>
      </c>
      <c r="K124" s="39">
        <f>IF($B$32=0,0,INDEX(BUDGET!$C$124:$R$124,$E$5)/$B$32)-G124</f>
        <v>0</v>
      </c>
      <c r="L124" s="39">
        <f>IF($B$32=0,0,(E63-'BIAYA BERSAMA'!$D$130)/$B$32)</f>
        <v>0</v>
      </c>
      <c r="M124" s="39">
        <f>H124-I124-J124-K124-L124</f>
        <v>0</v>
      </c>
    </row>
    <row r="125" spans="1:13" ht="14.25" customHeight="1" x14ac:dyDescent="0.35">
      <c r="A125" s="40" t="s">
        <v>210</v>
      </c>
      <c r="B125" s="45"/>
      <c r="C125" s="45"/>
      <c r="D125" s="45"/>
      <c r="E125" s="45"/>
      <c r="F125" s="42">
        <f t="shared" ref="F125:M125" si="18">F121+F122+F123+F124</f>
        <v>8137.0837411327448</v>
      </c>
      <c r="G125" s="42">
        <f t="shared" si="18"/>
        <v>0</v>
      </c>
      <c r="H125" s="42">
        <f t="shared" si="18"/>
        <v>8137.0837411327448</v>
      </c>
      <c r="I125" s="42">
        <f t="shared" si="18"/>
        <v>3910.1300785509138</v>
      </c>
      <c r="J125" s="42">
        <f t="shared" si="18"/>
        <v>0</v>
      </c>
      <c r="K125" s="42">
        <f t="shared" si="18"/>
        <v>0</v>
      </c>
      <c r="L125" s="42">
        <f t="shared" si="18"/>
        <v>4226.9536625818309</v>
      </c>
      <c r="M125" s="42">
        <f t="shared" si="18"/>
        <v>0</v>
      </c>
    </row>
    <row r="126" spans="1:13" ht="14.25" customHeight="1" x14ac:dyDescent="0.35">
      <c r="A126" s="40" t="s">
        <v>211</v>
      </c>
      <c r="B126" s="45"/>
      <c r="C126" s="45"/>
      <c r="D126" s="45"/>
      <c r="E126" s="45"/>
      <c r="F126" s="42">
        <f t="shared" ref="F126:M126" si="19">F105+F107+F109+F116+F118+F120+F125</f>
        <v>38989.777011949387</v>
      </c>
      <c r="G126" s="42">
        <f t="shared" si="19"/>
        <v>0</v>
      </c>
      <c r="H126" s="42">
        <f t="shared" si="19"/>
        <v>38989.777011949387</v>
      </c>
      <c r="I126" s="42">
        <f t="shared" si="19"/>
        <v>32383.525494079207</v>
      </c>
      <c r="J126" s="42">
        <f t="shared" si="19"/>
        <v>74.749812960465292</v>
      </c>
      <c r="K126" s="42">
        <f t="shared" si="19"/>
        <v>0</v>
      </c>
      <c r="L126" s="42">
        <f t="shared" si="19"/>
        <v>6531.5017049097114</v>
      </c>
      <c r="M126" s="42">
        <f t="shared" si="19"/>
        <v>1.1368683772161603E-13</v>
      </c>
    </row>
    <row r="127" spans="1:13" ht="14.25" customHeight="1" x14ac:dyDescent="0.35">
      <c r="A127" s="5" t="s">
        <v>362</v>
      </c>
      <c r="G127" s="39">
        <f>G126*$D$32-INDEX(BUDGET!$C$125:$R$125,$E$5)</f>
        <v>0</v>
      </c>
    </row>
    <row r="128" spans="1:13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30" spans="1:13" ht="14.25" customHeight="1" x14ac:dyDescent="0.35">
      <c r="A130" s="9" t="s">
        <v>212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spans="1:13" ht="24" customHeight="1" x14ac:dyDescent="0.35">
      <c r="A131" s="11" t="s">
        <v>4</v>
      </c>
      <c r="B131" s="11" t="s">
        <v>213</v>
      </c>
      <c r="C131" s="11" t="s">
        <v>214</v>
      </c>
      <c r="D131" s="11" t="s">
        <v>215</v>
      </c>
      <c r="E131" s="11" t="s">
        <v>20</v>
      </c>
    </row>
    <row r="132" spans="1:13" ht="14.25" customHeight="1" x14ac:dyDescent="0.35">
      <c r="A132" s="12" t="s">
        <v>216</v>
      </c>
      <c r="B132" s="50">
        <v>35</v>
      </c>
      <c r="C132" s="38">
        <f>-E44/10^6</f>
        <v>-8.4016000000000002</v>
      </c>
      <c r="D132" s="51"/>
      <c r="E132" s="38">
        <f t="shared" ref="E132:E143" si="20">C132-D132</f>
        <v>-8.4016000000000002</v>
      </c>
    </row>
    <row r="133" spans="1:13" ht="14.25" customHeight="1" x14ac:dyDescent="0.35">
      <c r="A133" s="12" t="s">
        <v>217</v>
      </c>
      <c r="B133" s="50">
        <v>36</v>
      </c>
      <c r="C133" s="38">
        <f>-E46/10^6</f>
        <v>-2.2415551368645503</v>
      </c>
      <c r="D133" s="51"/>
      <c r="E133" s="38">
        <f t="shared" si="20"/>
        <v>-2.2415551368645503</v>
      </c>
    </row>
    <row r="134" spans="1:13" ht="14.25" customHeight="1" x14ac:dyDescent="0.35">
      <c r="A134" s="12" t="s">
        <v>144</v>
      </c>
      <c r="B134" s="50">
        <v>37</v>
      </c>
      <c r="C134" s="38">
        <f>-E47/10^6</f>
        <v>-1.4432028767846257</v>
      </c>
      <c r="D134" s="51"/>
      <c r="E134" s="38">
        <f t="shared" si="20"/>
        <v>-1.4432028767846257</v>
      </c>
    </row>
    <row r="135" spans="1:13" ht="14.25" customHeight="1" x14ac:dyDescent="0.35">
      <c r="A135" s="12" t="s">
        <v>218</v>
      </c>
      <c r="B135" s="50">
        <v>38</v>
      </c>
      <c r="C135" s="38">
        <f>-E55/10^6</f>
        <v>-0.36109134961450151</v>
      </c>
      <c r="D135" s="51"/>
      <c r="E135" s="38">
        <f t="shared" si="20"/>
        <v>-0.36109134961450151</v>
      </c>
    </row>
    <row r="136" spans="1:13" ht="14.25" customHeight="1" x14ac:dyDescent="0.35">
      <c r="A136" s="12" t="s">
        <v>219</v>
      </c>
      <c r="B136" s="50">
        <v>39</v>
      </c>
      <c r="C136" s="38">
        <f>-E58/10^6</f>
        <v>0</v>
      </c>
      <c r="D136" s="51"/>
      <c r="E136" s="38">
        <f t="shared" si="20"/>
        <v>0</v>
      </c>
    </row>
    <row r="137" spans="1:13" ht="14.25" customHeight="1" x14ac:dyDescent="0.35">
      <c r="A137" s="12" t="s">
        <v>220</v>
      </c>
      <c r="B137" s="50">
        <v>40</v>
      </c>
      <c r="C137" s="38">
        <f>-E59/10^6</f>
        <v>-1.976184740843103</v>
      </c>
      <c r="D137" s="51"/>
      <c r="E137" s="38">
        <f t="shared" si="20"/>
        <v>-1.976184740843103</v>
      </c>
    </row>
    <row r="138" spans="1:13" ht="14.25" customHeight="1" x14ac:dyDescent="0.35">
      <c r="A138" s="12" t="s">
        <v>221</v>
      </c>
      <c r="B138" s="50">
        <v>41</v>
      </c>
      <c r="C138" s="38">
        <f>-E64/10^6</f>
        <v>-3.8040866489795579</v>
      </c>
      <c r="D138" s="51"/>
      <c r="E138" s="38">
        <f t="shared" si="20"/>
        <v>-3.8040866489795579</v>
      </c>
    </row>
    <row r="139" spans="1:13" ht="14.25" customHeight="1" x14ac:dyDescent="0.35">
      <c r="A139" s="12" t="s">
        <v>222</v>
      </c>
      <c r="B139" s="50">
        <v>43</v>
      </c>
      <c r="C139" s="38">
        <f>-E72/10^6</f>
        <v>0</v>
      </c>
      <c r="D139" s="51"/>
      <c r="E139" s="38">
        <f t="shared" si="20"/>
        <v>0</v>
      </c>
    </row>
    <row r="140" spans="1:13" ht="14.25" customHeight="1" x14ac:dyDescent="0.35">
      <c r="A140" s="12" t="s">
        <v>225</v>
      </c>
      <c r="B140" s="50">
        <v>44</v>
      </c>
      <c r="C140" s="38">
        <f>-E70/10^6</f>
        <v>-140.62608563523798</v>
      </c>
      <c r="D140" s="51"/>
      <c r="E140" s="38">
        <f t="shared" si="20"/>
        <v>-140.62608563523798</v>
      </c>
    </row>
    <row r="141" spans="1:13" ht="14.25" customHeight="1" x14ac:dyDescent="0.35">
      <c r="A141" s="12" t="s">
        <v>226</v>
      </c>
      <c r="B141" s="50">
        <v>45</v>
      </c>
      <c r="C141" s="38">
        <f>E77/10^6</f>
        <v>0</v>
      </c>
      <c r="D141" s="51"/>
      <c r="E141" s="38">
        <f t="shared" si="20"/>
        <v>0</v>
      </c>
    </row>
    <row r="142" spans="1:13" ht="14.25" customHeight="1" x14ac:dyDescent="0.35">
      <c r="A142" s="12" t="s">
        <v>227</v>
      </c>
      <c r="B142" s="50">
        <v>46</v>
      </c>
      <c r="C142" s="38">
        <f>-E84/10^6</f>
        <v>-73.852610959458403</v>
      </c>
      <c r="D142" s="51"/>
      <c r="E142" s="38">
        <f t="shared" si="20"/>
        <v>-73.852610959458403</v>
      </c>
    </row>
    <row r="143" spans="1:13" ht="14.25" customHeight="1" x14ac:dyDescent="0.35">
      <c r="A143" s="12" t="s">
        <v>228</v>
      </c>
      <c r="B143" s="50">
        <v>47</v>
      </c>
      <c r="C143" s="38">
        <f>E89/10^6</f>
        <v>0</v>
      </c>
      <c r="D143" s="51"/>
      <c r="E143" s="38">
        <f t="shared" si="20"/>
        <v>0</v>
      </c>
    </row>
    <row r="144" spans="1:13" ht="14.25" customHeight="1" x14ac:dyDescent="0.35">
      <c r="A144" s="40" t="s">
        <v>363</v>
      </c>
      <c r="B144" s="52">
        <v>33</v>
      </c>
      <c r="C144" s="41">
        <f>SUM(C132:C143)</f>
        <v>-232.70641734778275</v>
      </c>
      <c r="D144" s="41">
        <f>SUM(D132:D143)</f>
        <v>0</v>
      </c>
      <c r="E144" s="41">
        <f>SUM(E132:E143)</f>
        <v>-232.70641734778275</v>
      </c>
    </row>
    <row r="146" spans="1:13" ht="14.25" customHeight="1" x14ac:dyDescent="0.35">
      <c r="A146" s="9" t="s">
        <v>230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spans="1:13" ht="14.25" customHeight="1" x14ac:dyDescent="0.35">
      <c r="A147" s="11" t="s">
        <v>202</v>
      </c>
      <c r="B147" s="11"/>
      <c r="C147" s="11" t="s">
        <v>231</v>
      </c>
      <c r="D147" s="11" t="s">
        <v>50</v>
      </c>
    </row>
    <row r="148" spans="1:13" ht="14.25" customHeight="1" x14ac:dyDescent="0.35">
      <c r="A148" s="12" t="s">
        <v>232</v>
      </c>
      <c r="C148" s="46">
        <f>B33-B38</f>
        <v>0</v>
      </c>
      <c r="D148" s="7" t="str">
        <f>IF(ISERROR(C148),"GAGAL",IF(ABS(C148)&lt;=0.01,"LULUS","GAGAL"))</f>
        <v>LULUS</v>
      </c>
    </row>
    <row r="149" spans="1:13" ht="14.25" customHeight="1" x14ac:dyDescent="0.35">
      <c r="A149" s="12" t="s">
        <v>233</v>
      </c>
      <c r="C149" s="46">
        <f>E79</f>
        <v>0</v>
      </c>
      <c r="D149" s="7" t="str">
        <f>IF(ISERROR(C149),"GAGAL",IF(ABS(C149)&lt;=1,"LULUS","GAGAL"))</f>
        <v>LULUS</v>
      </c>
    </row>
    <row r="150" spans="1:13" ht="14.25" customHeight="1" x14ac:dyDescent="0.35">
      <c r="A150" s="12" t="s">
        <v>234</v>
      </c>
      <c r="C150" s="46">
        <f>B79</f>
        <v>0</v>
      </c>
      <c r="D150" s="7" t="str">
        <f>IF(ISERROR(C150),"GAGAL",IF(ABS(C150)&lt;=0.01,"LULUS","GAGAL"))</f>
        <v>LULUS</v>
      </c>
    </row>
    <row r="151" spans="1:13" ht="14.25" customHeight="1" x14ac:dyDescent="0.35">
      <c r="A151" s="12" t="s">
        <v>235</v>
      </c>
      <c r="C151" s="46">
        <f>$G$218-C222</f>
        <v>-2.2351741790771484E-8</v>
      </c>
      <c r="D151" s="7" t="str">
        <f>IF(ISERROR(C151),"GAGAL",IF(ABS(C151)&lt;=1,"LULUS","GAGAL"))</f>
        <v>LULUS</v>
      </c>
    </row>
    <row r="152" spans="1:13" ht="14.25" customHeight="1" x14ac:dyDescent="0.35">
      <c r="A152" s="12" t="s">
        <v>236</v>
      </c>
      <c r="C152" s="46">
        <f>C226-C227</f>
        <v>-1.6763806343078613E-8</v>
      </c>
      <c r="D152" s="7" t="str">
        <f>IF(ISERROR(C152),"GAGAL",IF(ABS(C152)&lt;=1,"LULUS","GAGAL"))</f>
        <v>LULUS</v>
      </c>
    </row>
    <row r="153" spans="1:13" ht="14.25" customHeight="1" x14ac:dyDescent="0.35">
      <c r="A153" s="12" t="s">
        <v>237</v>
      </c>
      <c r="C153" s="46">
        <f>SUMPRODUCT(ABS(M104:M126))</f>
        <v>3.4106051316484809E-13</v>
      </c>
      <c r="D153" s="7" t="str">
        <f>IF(ISERROR(C153),"GAGAL",IF(ABS(C153)&lt;=1,"LULUS","GAGAL"))</f>
        <v>LULUS</v>
      </c>
    </row>
    <row r="154" spans="1:13" ht="14.25" customHeight="1" x14ac:dyDescent="0.35">
      <c r="A154" s="12" t="s">
        <v>238</v>
      </c>
      <c r="C154" s="46">
        <f>G127</f>
        <v>0</v>
      </c>
      <c r="D154" s="7" t="str">
        <f>IF(ISERROR(C154),"GAGAL",IF(ABS(C154)&lt;=1,"LULUS","GAGAL"))</f>
        <v>LULUS</v>
      </c>
    </row>
    <row r="155" spans="1:13" ht="14.25" customHeight="1" x14ac:dyDescent="0.35">
      <c r="A155" s="12" t="s">
        <v>239</v>
      </c>
      <c r="C155" s="46">
        <f>INDEX(BUDGET!$C$142:$R$142,$E$5)</f>
        <v>0</v>
      </c>
      <c r="D155" s="7" t="str">
        <f>IF(ISERROR(C155),"GAGAL",IF(ABS(C155)&lt;=1,"LULUS","GAGAL"))</f>
        <v>LULUS</v>
      </c>
    </row>
    <row r="156" spans="1:13" ht="14.25" customHeight="1" x14ac:dyDescent="0.35">
      <c r="A156" s="12" t="s">
        <v>240</v>
      </c>
      <c r="C156" s="46">
        <f>C144+E98/10^6</f>
        <v>0</v>
      </c>
      <c r="D156" s="7" t="str">
        <f>IF(ISERROR(C156),"GAGAL",IF(ABS(C156)&lt;=0.001,"LULUS","GAGAL"))</f>
        <v>LULUS</v>
      </c>
    </row>
    <row r="157" spans="1:13" ht="14.25" customHeight="1" x14ac:dyDescent="0.35">
      <c r="A157" s="12" t="s">
        <v>241</v>
      </c>
      <c r="C157" s="46">
        <f>SUMPRODUCT(--ISERROR(A8:M144))</f>
        <v>0</v>
      </c>
      <c r="D157" s="7" t="str">
        <f>IF(ISERROR(C157),"GAGAL",IF(ABS(C157)&lt;=0.5,"LULUS","GAGAL"))</f>
        <v>LULUS</v>
      </c>
    </row>
    <row r="158" spans="1:13" ht="14.25" customHeight="1" x14ac:dyDescent="0.35">
      <c r="A158" s="12" t="s">
        <v>242</v>
      </c>
      <c r="D158" s="7" t="str">
        <f>'BIAYA BERSAMA'!$D$139</f>
        <v>LULUS</v>
      </c>
    </row>
    <row r="189" spans="1:13" ht="14.25" customHeight="1" x14ac:dyDescent="0.35">
      <c r="A189" s="9" t="s">
        <v>243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spans="1:13" ht="24" customHeight="1" x14ac:dyDescent="0.35">
      <c r="A190" s="11" t="s">
        <v>4</v>
      </c>
      <c r="B190" s="11" t="s">
        <v>133</v>
      </c>
      <c r="C190" s="11" t="s">
        <v>231</v>
      </c>
      <c r="D190" s="11" t="s">
        <v>244</v>
      </c>
      <c r="E190" s="11" t="s">
        <v>74</v>
      </c>
    </row>
    <row r="191" spans="1:13" ht="14.25" customHeight="1" x14ac:dyDescent="0.35">
      <c r="A191" s="12" t="s">
        <v>245</v>
      </c>
      <c r="B191" s="12" t="s">
        <v>137</v>
      </c>
      <c r="C191" s="53">
        <v>4042.5</v>
      </c>
      <c r="D191" s="12" t="s">
        <v>246</v>
      </c>
      <c r="E191" s="12" t="s">
        <v>364</v>
      </c>
    </row>
    <row r="192" spans="1:13" ht="14.25" customHeight="1" x14ac:dyDescent="0.35">
      <c r="A192" s="12" t="s">
        <v>124</v>
      </c>
      <c r="B192" s="12" t="s">
        <v>137</v>
      </c>
      <c r="C192" s="53">
        <v>467.5</v>
      </c>
      <c r="D192" s="12" t="s">
        <v>246</v>
      </c>
      <c r="E192" s="12" t="s">
        <v>365</v>
      </c>
    </row>
    <row r="193" spans="1:5" ht="14.25" customHeight="1" x14ac:dyDescent="0.35">
      <c r="A193" s="12" t="s">
        <v>249</v>
      </c>
      <c r="B193" s="12" t="s">
        <v>137</v>
      </c>
      <c r="C193" s="53">
        <v>0</v>
      </c>
      <c r="D193" s="12" t="s">
        <v>246</v>
      </c>
      <c r="E193" s="12" t="s">
        <v>366</v>
      </c>
    </row>
    <row r="194" spans="1:5" ht="14.25" customHeight="1" x14ac:dyDescent="0.35">
      <c r="A194" s="12" t="s">
        <v>251</v>
      </c>
      <c r="B194" s="12" t="s">
        <v>137</v>
      </c>
      <c r="C194" s="53">
        <v>0</v>
      </c>
      <c r="D194" s="12" t="s">
        <v>246</v>
      </c>
      <c r="E194" s="12" t="s">
        <v>367</v>
      </c>
    </row>
    <row r="195" spans="1:5" ht="14.25" customHeight="1" x14ac:dyDescent="0.35">
      <c r="A195" s="12" t="s">
        <v>253</v>
      </c>
      <c r="B195" s="12" t="s">
        <v>137</v>
      </c>
      <c r="C195" s="53">
        <v>0</v>
      </c>
      <c r="D195" s="12" t="s">
        <v>246</v>
      </c>
      <c r="E195" s="12" t="s">
        <v>368</v>
      </c>
    </row>
    <row r="196" spans="1:5" ht="14.25" customHeight="1" x14ac:dyDescent="0.35">
      <c r="A196" s="12" t="s">
        <v>255</v>
      </c>
      <c r="B196" s="12" t="s">
        <v>140</v>
      </c>
      <c r="C196" s="54">
        <v>140626085.63523799</v>
      </c>
      <c r="D196" s="12" t="s">
        <v>246</v>
      </c>
      <c r="E196" s="12" t="s">
        <v>369</v>
      </c>
    </row>
    <row r="197" spans="1:5" ht="14.25" customHeight="1" x14ac:dyDescent="0.35">
      <c r="A197" s="12" t="s">
        <v>370</v>
      </c>
      <c r="B197" s="12" t="s">
        <v>140</v>
      </c>
      <c r="C197" s="33">
        <v>0.12</v>
      </c>
      <c r="D197" s="12" t="s">
        <v>246</v>
      </c>
      <c r="E197" s="12" t="s">
        <v>371</v>
      </c>
    </row>
    <row r="198" spans="1:5" ht="14.25" customHeight="1" x14ac:dyDescent="0.35">
      <c r="A198" s="12" t="s">
        <v>372</v>
      </c>
      <c r="B198" s="12" t="s">
        <v>137</v>
      </c>
      <c r="C198" s="53">
        <v>0</v>
      </c>
      <c r="D198" s="12" t="s">
        <v>246</v>
      </c>
      <c r="E198" s="12" t="s">
        <v>373</v>
      </c>
    </row>
    <row r="199" spans="1:5" ht="14.25" customHeight="1" x14ac:dyDescent="0.35">
      <c r="A199" s="12" t="s">
        <v>261</v>
      </c>
      <c r="B199" s="12" t="s">
        <v>262</v>
      </c>
      <c r="C199" s="53">
        <v>91</v>
      </c>
      <c r="D199" s="12" t="s">
        <v>246</v>
      </c>
      <c r="E199" s="12" t="s">
        <v>374</v>
      </c>
    </row>
    <row r="200" spans="1:5" ht="14.25" customHeight="1" x14ac:dyDescent="0.35">
      <c r="A200" s="12" t="s">
        <v>264</v>
      </c>
      <c r="B200" s="12" t="s">
        <v>265</v>
      </c>
      <c r="C200" s="53">
        <v>25.782341333333299</v>
      </c>
      <c r="D200" s="12" t="s">
        <v>246</v>
      </c>
      <c r="E200" s="12" t="s">
        <v>375</v>
      </c>
    </row>
    <row r="201" spans="1:5" ht="14.25" customHeight="1" x14ac:dyDescent="0.35">
      <c r="A201" s="12" t="s">
        <v>376</v>
      </c>
      <c r="B201" s="12" t="s">
        <v>137</v>
      </c>
      <c r="C201" s="53">
        <v>2123</v>
      </c>
      <c r="D201" s="12" t="s">
        <v>246</v>
      </c>
      <c r="E201" s="12" t="s">
        <v>377</v>
      </c>
    </row>
    <row r="202" spans="1:5" ht="14.25" customHeight="1" x14ac:dyDescent="0.35">
      <c r="A202" s="12" t="s">
        <v>378</v>
      </c>
      <c r="B202" s="12" t="s">
        <v>140</v>
      </c>
      <c r="C202" s="54">
        <v>73852610.959458396</v>
      </c>
      <c r="D202" s="12" t="s">
        <v>246</v>
      </c>
      <c r="E202" s="12" t="s">
        <v>379</v>
      </c>
    </row>
    <row r="203" spans="1:5" ht="14.25" customHeight="1" x14ac:dyDescent="0.35">
      <c r="A203" s="12" t="s">
        <v>380</v>
      </c>
      <c r="B203" s="12" t="s">
        <v>137</v>
      </c>
      <c r="C203" s="53">
        <v>6633</v>
      </c>
      <c r="D203" s="12" t="s">
        <v>246</v>
      </c>
      <c r="E203" s="12" t="s">
        <v>381</v>
      </c>
    </row>
    <row r="204" spans="1:5" ht="14.25" customHeight="1" x14ac:dyDescent="0.35">
      <c r="A204" s="12" t="s">
        <v>382</v>
      </c>
      <c r="B204" s="12" t="s">
        <v>137</v>
      </c>
      <c r="C204" s="55">
        <v>0</v>
      </c>
      <c r="D204" s="12" t="s">
        <v>246</v>
      </c>
      <c r="E204" s="12" t="s">
        <v>383</v>
      </c>
    </row>
    <row r="205" spans="1:5" ht="14.25" customHeight="1" x14ac:dyDescent="0.35">
      <c r="A205" s="12" t="s">
        <v>275</v>
      </c>
      <c r="B205" s="12" t="s">
        <v>140</v>
      </c>
      <c r="C205" s="33">
        <v>1692347.24</v>
      </c>
      <c r="D205" s="12" t="s">
        <v>246</v>
      </c>
      <c r="E205" s="12" t="s">
        <v>384</v>
      </c>
    </row>
    <row r="206" spans="1:5" ht="14.25" customHeight="1" x14ac:dyDescent="0.35">
      <c r="A206" s="12" t="s">
        <v>286</v>
      </c>
      <c r="B206" s="12" t="s">
        <v>287</v>
      </c>
      <c r="C206" s="57">
        <v>22.296700000000001</v>
      </c>
      <c r="D206" s="12" t="s">
        <v>284</v>
      </c>
      <c r="E206" s="12" t="s">
        <v>288</v>
      </c>
    </row>
    <row r="207" spans="1:5" ht="14.25" customHeight="1" x14ac:dyDescent="0.35">
      <c r="A207" s="12" t="s">
        <v>385</v>
      </c>
      <c r="B207" s="12" t="s">
        <v>140</v>
      </c>
      <c r="C207" s="54">
        <v>321700500</v>
      </c>
      <c r="D207" s="12" t="s">
        <v>246</v>
      </c>
      <c r="E207" s="12" t="s">
        <v>386</v>
      </c>
    </row>
    <row r="209" spans="1:13" ht="14.25" customHeight="1" x14ac:dyDescent="0.35">
      <c r="A209" s="9" t="s">
        <v>291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spans="1:13" ht="24" customHeight="1" x14ac:dyDescent="0.35">
      <c r="A210" s="11" t="s">
        <v>292</v>
      </c>
      <c r="B210" s="11" t="s">
        <v>293</v>
      </c>
      <c r="C210" s="11" t="s">
        <v>294</v>
      </c>
      <c r="D210" s="11" t="s">
        <v>132</v>
      </c>
      <c r="E210" s="11" t="s">
        <v>133</v>
      </c>
      <c r="F210" s="11" t="s">
        <v>295</v>
      </c>
      <c r="G210" s="11" t="s">
        <v>73</v>
      </c>
      <c r="H210" s="11" t="s">
        <v>244</v>
      </c>
      <c r="I210" s="11" t="s">
        <v>74</v>
      </c>
    </row>
    <row r="211" spans="1:13" ht="14.25" customHeight="1" x14ac:dyDescent="0.35">
      <c r="A211" s="12" t="s">
        <v>6</v>
      </c>
      <c r="B211" s="12" t="s">
        <v>104</v>
      </c>
      <c r="C211" s="12" t="s">
        <v>387</v>
      </c>
      <c r="D211" s="53">
        <v>1424</v>
      </c>
      <c r="E211" s="12" t="s">
        <v>137</v>
      </c>
      <c r="F211" s="56">
        <v>5900</v>
      </c>
      <c r="G211" s="39">
        <f t="shared" ref="G211:G217" si="21">D211*F211</f>
        <v>8401600</v>
      </c>
      <c r="H211" s="12" t="s">
        <v>246</v>
      </c>
      <c r="I211" s="12" t="s">
        <v>388</v>
      </c>
    </row>
    <row r="212" spans="1:13" ht="14.25" customHeight="1" x14ac:dyDescent="0.35">
      <c r="A212" s="12" t="s">
        <v>302</v>
      </c>
      <c r="B212" s="12" t="s">
        <v>105</v>
      </c>
      <c r="C212" s="12" t="s">
        <v>303</v>
      </c>
      <c r="D212" s="53">
        <v>128</v>
      </c>
      <c r="E212" s="12" t="s">
        <v>137</v>
      </c>
      <c r="F212" s="56">
        <v>17512.1495067543</v>
      </c>
      <c r="G212" s="39">
        <f t="shared" si="21"/>
        <v>2241555.1368645504</v>
      </c>
      <c r="H212" s="12" t="s">
        <v>246</v>
      </c>
      <c r="I212" s="12" t="s">
        <v>389</v>
      </c>
    </row>
    <row r="213" spans="1:13" ht="14.25" customHeight="1" x14ac:dyDescent="0.35">
      <c r="A213" s="12" t="s">
        <v>106</v>
      </c>
      <c r="B213" s="12" t="s">
        <v>106</v>
      </c>
      <c r="C213" s="12" t="s">
        <v>106</v>
      </c>
      <c r="D213" s="53">
        <v>142.271842948406</v>
      </c>
      <c r="E213" s="12" t="s">
        <v>305</v>
      </c>
      <c r="F213" s="56">
        <v>10143.981035713399</v>
      </c>
      <c r="G213" s="39">
        <f t="shared" si="21"/>
        <v>1443202.8767846257</v>
      </c>
      <c r="H213" s="12" t="s">
        <v>246</v>
      </c>
      <c r="I213" s="12" t="s">
        <v>390</v>
      </c>
    </row>
    <row r="214" spans="1:13" ht="14.25" customHeight="1" x14ac:dyDescent="0.35">
      <c r="A214" s="12" t="s">
        <v>317</v>
      </c>
      <c r="B214" s="12" t="s">
        <v>308</v>
      </c>
      <c r="C214" s="12" t="s">
        <v>318</v>
      </c>
      <c r="D214" s="53">
        <v>10</v>
      </c>
      <c r="E214" s="12" t="s">
        <v>137</v>
      </c>
      <c r="F214" s="56">
        <v>32614.581205548398</v>
      </c>
      <c r="G214" s="39">
        <f t="shared" si="21"/>
        <v>326145.81205548398</v>
      </c>
      <c r="H214" s="12" t="s">
        <v>246</v>
      </c>
      <c r="I214" s="12" t="s">
        <v>391</v>
      </c>
    </row>
    <row r="215" spans="1:13" ht="14.25" customHeight="1" x14ac:dyDescent="0.35">
      <c r="A215" s="12" t="s">
        <v>329</v>
      </c>
      <c r="B215" s="12" t="s">
        <v>308</v>
      </c>
      <c r="C215" s="12" t="s">
        <v>324</v>
      </c>
      <c r="D215" s="53">
        <v>2</v>
      </c>
      <c r="E215" s="12" t="s">
        <v>327</v>
      </c>
      <c r="F215" s="56">
        <v>6600</v>
      </c>
      <c r="G215" s="39">
        <f t="shared" si="21"/>
        <v>13200</v>
      </c>
      <c r="H215" s="12" t="s">
        <v>246</v>
      </c>
      <c r="I215" s="12" t="s">
        <v>392</v>
      </c>
    </row>
    <row r="216" spans="1:13" ht="14.25" customHeight="1" x14ac:dyDescent="0.35">
      <c r="A216" s="12" t="s">
        <v>326</v>
      </c>
      <c r="B216" s="12" t="s">
        <v>308</v>
      </c>
      <c r="C216" s="12" t="s">
        <v>324</v>
      </c>
      <c r="D216" s="53">
        <v>0.15</v>
      </c>
      <c r="E216" s="12" t="s">
        <v>327</v>
      </c>
      <c r="F216" s="56">
        <v>23970.250393450198</v>
      </c>
      <c r="G216" s="39">
        <f t="shared" si="21"/>
        <v>3595.5375590175295</v>
      </c>
      <c r="H216" s="12" t="s">
        <v>246</v>
      </c>
      <c r="I216" s="12" t="s">
        <v>393</v>
      </c>
    </row>
    <row r="217" spans="1:13" ht="14.25" customHeight="1" x14ac:dyDescent="0.35">
      <c r="A217" s="12" t="s">
        <v>394</v>
      </c>
      <c r="B217" s="12" t="s">
        <v>308</v>
      </c>
      <c r="C217" s="12" t="s">
        <v>324</v>
      </c>
      <c r="D217" s="53">
        <v>0.24</v>
      </c>
      <c r="E217" s="12" t="s">
        <v>137</v>
      </c>
      <c r="F217" s="56">
        <v>75625</v>
      </c>
      <c r="G217" s="39">
        <f t="shared" si="21"/>
        <v>18150</v>
      </c>
      <c r="H217" s="12" t="s">
        <v>246</v>
      </c>
      <c r="I217" s="12" t="s">
        <v>395</v>
      </c>
    </row>
    <row r="218" spans="1:13" ht="14.25" customHeight="1" x14ac:dyDescent="0.35">
      <c r="A218" s="40" t="s">
        <v>336</v>
      </c>
      <c r="B218" s="45"/>
      <c r="C218" s="45"/>
      <c r="D218" s="45"/>
      <c r="E218" s="45"/>
      <c r="F218" s="45"/>
      <c r="G218" s="42">
        <f>SUM(G211:G217)</f>
        <v>12447449.363263678</v>
      </c>
      <c r="H218" s="45"/>
      <c r="I218" s="45"/>
    </row>
    <row r="220" spans="1:13" ht="14.25" customHeight="1" x14ac:dyDescent="0.35">
      <c r="A220" s="9" t="s">
        <v>338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 spans="1:13" ht="24" customHeight="1" x14ac:dyDescent="0.35">
      <c r="A221" s="11" t="s">
        <v>99</v>
      </c>
      <c r="B221" s="11"/>
      <c r="C221" s="11" t="s">
        <v>339</v>
      </c>
      <c r="D221" s="11" t="s">
        <v>340</v>
      </c>
      <c r="E221" s="11" t="s">
        <v>341</v>
      </c>
      <c r="F221" s="11" t="s">
        <v>342</v>
      </c>
    </row>
    <row r="222" spans="1:13" ht="14.25" customHeight="1" x14ac:dyDescent="0.35">
      <c r="A222" s="12" t="s">
        <v>343</v>
      </c>
      <c r="C222" s="54">
        <v>12447449.3632637</v>
      </c>
      <c r="D222" s="39">
        <f>E56</f>
        <v>12447449.363263678</v>
      </c>
      <c r="E222" s="39">
        <f>D222-C222</f>
        <v>-2.2351741790771484E-8</v>
      </c>
      <c r="F222" s="12" t="s">
        <v>344</v>
      </c>
    </row>
    <row r="223" spans="1:13" ht="14.25" customHeight="1" x14ac:dyDescent="0.35">
      <c r="A223" s="12" t="s">
        <v>108</v>
      </c>
      <c r="C223" s="54">
        <v>0</v>
      </c>
      <c r="D223" s="39">
        <f>E58</f>
        <v>0</v>
      </c>
      <c r="E223" s="39">
        <f>D223-C223</f>
        <v>0</v>
      </c>
      <c r="F223" s="12" t="s">
        <v>345</v>
      </c>
    </row>
    <row r="224" spans="1:13" ht="14.25" customHeight="1" x14ac:dyDescent="0.35">
      <c r="A224" s="12" t="s">
        <v>206</v>
      </c>
      <c r="C224" s="54">
        <v>1631646.3356538301</v>
      </c>
      <c r="D224" s="39">
        <f>E59</f>
        <v>1976184.740843103</v>
      </c>
      <c r="E224" s="39">
        <f>D224-C224</f>
        <v>344538.40518927295</v>
      </c>
      <c r="F224" s="12" t="s">
        <v>346</v>
      </c>
    </row>
    <row r="225" spans="1:6" ht="14.25" customHeight="1" x14ac:dyDescent="0.35">
      <c r="A225" s="12" t="s">
        <v>347</v>
      </c>
      <c r="C225" s="54">
        <v>27885.314306352298</v>
      </c>
      <c r="D225" s="39">
        <f>E64</f>
        <v>3804086.6489795581</v>
      </c>
      <c r="E225" s="39">
        <f>D225-C225</f>
        <v>3776201.3346732059</v>
      </c>
      <c r="F225" s="12" t="s">
        <v>348</v>
      </c>
    </row>
    <row r="226" spans="1:6" ht="14.25" customHeight="1" x14ac:dyDescent="0.35">
      <c r="A226" s="40" t="s">
        <v>349</v>
      </c>
      <c r="B226" s="45"/>
      <c r="C226" s="42">
        <f>SUM(C222:C225)</f>
        <v>14106981.013223883</v>
      </c>
      <c r="D226" s="42">
        <f>SUM(D222:D225)</f>
        <v>18227720.75308634</v>
      </c>
      <c r="E226" s="42">
        <f>D226-C226</f>
        <v>4120739.7398624569</v>
      </c>
      <c r="F226" s="45"/>
    </row>
    <row r="227" spans="1:6" ht="14.25" customHeight="1" x14ac:dyDescent="0.35">
      <c r="A227" s="5" t="s">
        <v>350</v>
      </c>
      <c r="C227" s="54">
        <v>14106981.0132239</v>
      </c>
    </row>
  </sheetData>
  <mergeCells count="1">
    <mergeCell ref="A128:M128"/>
  </mergeCells>
  <dataValidations count="1">
    <dataValidation type="list" sqref="C5" xr:uid="{00000000-0002-0000-02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2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24" sqref="A124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customHeight="1" x14ac:dyDescent="0.35">
      <c r="A1" s="4" t="s">
        <v>396</v>
      </c>
    </row>
    <row r="3" spans="1:13" ht="14.25" customHeight="1" x14ac:dyDescent="0.35">
      <c r="A3" s="6" t="s">
        <v>94</v>
      </c>
      <c r="C3" s="35" t="s">
        <v>95</v>
      </c>
      <c r="D3" s="36" t="s">
        <v>96</v>
      </c>
      <c r="E3" s="37">
        <f>MATCH(C3,BUDGET!$C$4:$R$4,0)</f>
        <v>1</v>
      </c>
    </row>
    <row r="4" spans="1:13" ht="14.25" customHeight="1" x14ac:dyDescent="0.35">
      <c r="A4" s="6" t="s">
        <v>97</v>
      </c>
      <c r="C4" s="7" t="str">
        <f>IF(COUNTIF(D144:D154,"GAGAL")=0,"LULUS","GAGAL")</f>
        <v>LULUS</v>
      </c>
    </row>
    <row r="6" spans="1:13" ht="14.25" customHeight="1" x14ac:dyDescent="0.35">
      <c r="A6" s="9" t="s">
        <v>98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0" customHeight="1" x14ac:dyDescent="0.35">
      <c r="A7" s="11" t="s">
        <v>99</v>
      </c>
      <c r="B7" s="11" t="s">
        <v>100</v>
      </c>
      <c r="C7" s="11" t="s">
        <v>101</v>
      </c>
      <c r="D7" s="11" t="s">
        <v>102</v>
      </c>
      <c r="E7" s="11" t="s">
        <v>103</v>
      </c>
      <c r="F7" s="11" t="s">
        <v>21</v>
      </c>
      <c r="G7" s="11" t="s">
        <v>22</v>
      </c>
      <c r="H7" s="11" t="s">
        <v>23</v>
      </c>
      <c r="I7" s="11" t="s">
        <v>24</v>
      </c>
    </row>
    <row r="8" spans="1:13" ht="14.25" customHeight="1" x14ac:dyDescent="0.35">
      <c r="A8" s="12" t="s">
        <v>104</v>
      </c>
      <c r="B8" s="38">
        <f>E40/10^6</f>
        <v>113.01529999999993</v>
      </c>
      <c r="C8" s="39">
        <f>F40</f>
        <v>16829.022410840582</v>
      </c>
      <c r="D8" s="39">
        <f t="shared" ref="D8:I8" si="0">G101</f>
        <v>0</v>
      </c>
      <c r="E8" s="39">
        <f t="shared" si="0"/>
        <v>16829.022410840582</v>
      </c>
      <c r="F8" s="39">
        <f t="shared" si="0"/>
        <v>16829.022410840582</v>
      </c>
      <c r="G8" s="39">
        <f t="shared" si="0"/>
        <v>0</v>
      </c>
      <c r="H8" s="39">
        <f t="shared" si="0"/>
        <v>0</v>
      </c>
      <c r="I8" s="39">
        <f t="shared" si="0"/>
        <v>0</v>
      </c>
    </row>
    <row r="9" spans="1:13" ht="14.25" customHeight="1" x14ac:dyDescent="0.35">
      <c r="A9" s="12" t="s">
        <v>105</v>
      </c>
      <c r="B9" s="38">
        <f>E42/10^6</f>
        <v>32.502549484535983</v>
      </c>
      <c r="C9" s="39">
        <f>F42</f>
        <v>4839.9299358999306</v>
      </c>
      <c r="D9" s="39">
        <f t="shared" ref="D9:I9" si="1">G103</f>
        <v>0</v>
      </c>
      <c r="E9" s="39">
        <f t="shared" si="1"/>
        <v>4839.9299358999306</v>
      </c>
      <c r="F9" s="39">
        <f t="shared" si="1"/>
        <v>4839.9299358999297</v>
      </c>
      <c r="G9" s="39">
        <f t="shared" si="1"/>
        <v>0</v>
      </c>
      <c r="H9" s="39">
        <f t="shared" si="1"/>
        <v>0</v>
      </c>
      <c r="I9" s="39">
        <f t="shared" si="1"/>
        <v>0</v>
      </c>
    </row>
    <row r="10" spans="1:13" ht="14.25" customHeight="1" x14ac:dyDescent="0.35">
      <c r="A10" s="12" t="s">
        <v>106</v>
      </c>
      <c r="B10" s="38">
        <f>E43/10^6</f>
        <v>23.315034514017405</v>
      </c>
      <c r="C10" s="39">
        <f>F43</f>
        <v>3471.8240658204759</v>
      </c>
      <c r="D10" s="39">
        <f t="shared" ref="D10:I10" si="2">G105</f>
        <v>0</v>
      </c>
      <c r="E10" s="39">
        <f t="shared" si="2"/>
        <v>3471.8240658204759</v>
      </c>
      <c r="F10" s="39">
        <f t="shared" si="2"/>
        <v>3471.8240658204759</v>
      </c>
      <c r="G10" s="39">
        <f t="shared" si="2"/>
        <v>0</v>
      </c>
      <c r="H10" s="39">
        <f t="shared" si="2"/>
        <v>0</v>
      </c>
      <c r="I10" s="39">
        <f t="shared" si="2"/>
        <v>0</v>
      </c>
    </row>
    <row r="11" spans="1:13" ht="14.25" customHeight="1" x14ac:dyDescent="0.35">
      <c r="A11" s="12" t="s">
        <v>107</v>
      </c>
      <c r="B11" s="38">
        <f>E51/10^6</f>
        <v>4.7678181949775524</v>
      </c>
      <c r="C11" s="39">
        <f>F51</f>
        <v>709.97218300611314</v>
      </c>
      <c r="D11" s="39">
        <f t="shared" ref="D11:I11" si="3">G112</f>
        <v>0</v>
      </c>
      <c r="E11" s="39">
        <f t="shared" si="3"/>
        <v>709.97218300611303</v>
      </c>
      <c r="F11" s="39">
        <f t="shared" si="3"/>
        <v>660.49929922635431</v>
      </c>
      <c r="G11" s="39">
        <f t="shared" si="3"/>
        <v>49.472883779758838</v>
      </c>
      <c r="H11" s="39">
        <f t="shared" si="3"/>
        <v>0</v>
      </c>
      <c r="I11" s="39">
        <f t="shared" si="3"/>
        <v>0</v>
      </c>
    </row>
    <row r="12" spans="1:13" ht="14.25" customHeight="1" x14ac:dyDescent="0.35">
      <c r="A12" s="12" t="s">
        <v>108</v>
      </c>
      <c r="B12" s="38">
        <f>E54/10^6</f>
        <v>0</v>
      </c>
      <c r="C12" s="39">
        <f>F54</f>
        <v>0</v>
      </c>
      <c r="D12" s="39">
        <f t="shared" ref="D12:I12" si="4">G114</f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</row>
    <row r="13" spans="1:13" ht="14.25" customHeight="1" x14ac:dyDescent="0.35">
      <c r="A13" s="12" t="s">
        <v>109</v>
      </c>
      <c r="B13" s="38">
        <f>E55/10^6</f>
        <v>24.083394259285729</v>
      </c>
      <c r="C13" s="39">
        <f>F55</f>
        <v>3586.2399313953883</v>
      </c>
      <c r="D13" s="39">
        <f t="shared" ref="D13:I13" si="5">G116</f>
        <v>0</v>
      </c>
      <c r="E13" s="39">
        <f t="shared" si="5"/>
        <v>3586.2399313953883</v>
      </c>
      <c r="F13" s="39">
        <f t="shared" si="5"/>
        <v>1922.5850931653881</v>
      </c>
      <c r="G13" s="39">
        <f t="shared" si="5"/>
        <v>0</v>
      </c>
      <c r="H13" s="39">
        <f t="shared" si="5"/>
        <v>0</v>
      </c>
      <c r="I13" s="39">
        <f t="shared" si="5"/>
        <v>1663.6548382300002</v>
      </c>
    </row>
    <row r="14" spans="1:13" ht="14.25" customHeight="1" x14ac:dyDescent="0.35">
      <c r="A14" s="12" t="s">
        <v>110</v>
      </c>
      <c r="B14" s="38">
        <f>E60/10^6</f>
        <v>54.882506123299166</v>
      </c>
      <c r="C14" s="39">
        <f>F60</f>
        <v>8172.5122661453606</v>
      </c>
      <c r="D14" s="39">
        <f t="shared" ref="D14:I15" si="6">G121</f>
        <v>0</v>
      </c>
      <c r="E14" s="39">
        <f t="shared" si="6"/>
        <v>8172.5122661453606</v>
      </c>
      <c r="F14" s="39">
        <f t="shared" si="6"/>
        <v>3958.7104072385446</v>
      </c>
      <c r="G14" s="39">
        <f t="shared" si="6"/>
        <v>0</v>
      </c>
      <c r="H14" s="39">
        <f t="shared" si="6"/>
        <v>0</v>
      </c>
      <c r="I14" s="39">
        <f t="shared" si="6"/>
        <v>4213.8018589068161</v>
      </c>
    </row>
    <row r="15" spans="1:13" ht="14.25" customHeight="1" x14ac:dyDescent="0.35">
      <c r="A15" s="40" t="s">
        <v>11</v>
      </c>
      <c r="B15" s="41">
        <f>E62/10^6</f>
        <v>252.56660257611577</v>
      </c>
      <c r="C15" s="42">
        <f>F62</f>
        <v>37609.500793107851</v>
      </c>
      <c r="D15" s="42">
        <f t="shared" si="6"/>
        <v>0</v>
      </c>
      <c r="E15" s="42">
        <f t="shared" si="6"/>
        <v>37609.500793107858</v>
      </c>
      <c r="F15" s="42">
        <f t="shared" si="6"/>
        <v>31682.571212191277</v>
      </c>
      <c r="G15" s="42">
        <f t="shared" si="6"/>
        <v>49.472883779758838</v>
      </c>
      <c r="H15" s="42">
        <f t="shared" si="6"/>
        <v>0</v>
      </c>
      <c r="I15" s="42">
        <f t="shared" si="6"/>
        <v>5877.4566971368167</v>
      </c>
    </row>
    <row r="16" spans="1:13" ht="14.25" customHeight="1" x14ac:dyDescent="0.35">
      <c r="A16" s="12" t="s">
        <v>111</v>
      </c>
      <c r="C16" s="39">
        <f>$B$28</f>
        <v>6715.5</v>
      </c>
      <c r="D16" s="39">
        <f>$D$28</f>
        <v>0</v>
      </c>
    </row>
    <row r="17" spans="1:13" ht="14.25" customHeight="1" x14ac:dyDescent="0.35">
      <c r="A17" s="12" t="s">
        <v>112</v>
      </c>
      <c r="C17" s="39">
        <f>F61</f>
        <v>11758.752197540749</v>
      </c>
      <c r="D17" s="39">
        <f>G114+G116+G121</f>
        <v>0</v>
      </c>
    </row>
    <row r="18" spans="1:13" ht="14.25" customHeight="1" x14ac:dyDescent="0.35">
      <c r="A18" s="12" t="s">
        <v>113</v>
      </c>
      <c r="B18" s="38">
        <f>E94/10^6</f>
        <v>252.56660257611577</v>
      </c>
      <c r="C18" s="39">
        <f>D95</f>
        <v>37609.500793107851</v>
      </c>
      <c r="D18" s="39">
        <f>F95</f>
        <v>0</v>
      </c>
    </row>
    <row r="19" spans="1:13" ht="14.25" customHeight="1" x14ac:dyDescent="0.35">
      <c r="A19" s="12" t="s">
        <v>114</v>
      </c>
      <c r="B19" s="38">
        <f>$C$203/10^6</f>
        <v>321.67245000000003</v>
      </c>
      <c r="F19" s="5"/>
    </row>
    <row r="20" spans="1:13" ht="14.25" customHeight="1" x14ac:dyDescent="0.35">
      <c r="A20" s="12" t="s">
        <v>115</v>
      </c>
      <c r="B20" s="38">
        <f>B19-B18</f>
        <v>69.105847423884256</v>
      </c>
      <c r="C20" s="43">
        <f>IF(B19=0,0,B20/B19)</f>
        <v>0.21483296882864619</v>
      </c>
    </row>
    <row r="21" spans="1:13" ht="14.25" customHeight="1" x14ac:dyDescent="0.35">
      <c r="A21" s="5" t="s">
        <v>397</v>
      </c>
      <c r="B21" s="38">
        <f>E72/10^6</f>
        <v>0</v>
      </c>
      <c r="C21" s="43">
        <f>IF(E62=0,0,E72/E62)</f>
        <v>0</v>
      </c>
    </row>
    <row r="22" spans="1:13" ht="14.25" customHeight="1" x14ac:dyDescent="0.35">
      <c r="A22" s="5" t="s">
        <v>31</v>
      </c>
      <c r="B22" s="38">
        <f>-E68/10^6</f>
        <v>0</v>
      </c>
    </row>
    <row r="24" spans="1:13" ht="14.25" customHeight="1" x14ac:dyDescent="0.35">
      <c r="A24" s="9" t="s">
        <v>117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14.25" customHeight="1" x14ac:dyDescent="0.35">
      <c r="A25" s="6" t="s">
        <v>118</v>
      </c>
    </row>
    <row r="26" spans="1:13" ht="24" customHeight="1" x14ac:dyDescent="0.35">
      <c r="A26" s="11" t="s">
        <v>4</v>
      </c>
      <c r="B26" s="11" t="s">
        <v>119</v>
      </c>
      <c r="C26" s="11" t="s">
        <v>120</v>
      </c>
      <c r="D26" s="11" t="s">
        <v>121</v>
      </c>
      <c r="E26" s="11" t="s">
        <v>122</v>
      </c>
    </row>
    <row r="27" spans="1:13" ht="14.25" customHeight="1" x14ac:dyDescent="0.35">
      <c r="A27" s="12" t="s">
        <v>123</v>
      </c>
      <c r="B27" s="38">
        <f>$C$187</f>
        <v>0</v>
      </c>
    </row>
    <row r="28" spans="1:13" ht="14.25" customHeight="1" x14ac:dyDescent="0.35">
      <c r="A28" s="6" t="s">
        <v>124</v>
      </c>
      <c r="B28" s="44">
        <f>$C$188</f>
        <v>6715.5</v>
      </c>
      <c r="D28" s="44">
        <f>INDEX(BUDGET!$C$152:$R$152,$E$3)</f>
        <v>0</v>
      </c>
    </row>
    <row r="29" spans="1:13" ht="14.25" customHeight="1" x14ac:dyDescent="0.35">
      <c r="A29" s="40" t="s">
        <v>125</v>
      </c>
      <c r="B29" s="41">
        <f>B27+B28</f>
        <v>6715.5</v>
      </c>
      <c r="C29" s="45"/>
      <c r="D29" s="45"/>
      <c r="E29" s="45"/>
    </row>
    <row r="30" spans="1:13" ht="14.25" customHeight="1" x14ac:dyDescent="0.35">
      <c r="A30" s="12" t="s">
        <v>126</v>
      </c>
      <c r="B30" s="38">
        <f>B29-B31-B32-B33</f>
        <v>6715.5</v>
      </c>
      <c r="C30" s="43">
        <f>IF(B28=0,0,B30/B28)</f>
        <v>1</v>
      </c>
      <c r="D30" s="38">
        <f>INDEX(BUDGET!$C$148:$R$148,$E$3)</f>
        <v>0</v>
      </c>
      <c r="E30" s="43">
        <f>IF(D28=0,0,D30/D28)</f>
        <v>0</v>
      </c>
    </row>
    <row r="31" spans="1:13" ht="14.25" customHeight="1" x14ac:dyDescent="0.35">
      <c r="A31" s="12" t="s">
        <v>127</v>
      </c>
      <c r="B31" s="38">
        <f>$C$190</f>
        <v>0</v>
      </c>
      <c r="C31" s="43">
        <f>IF(B28=0,0,B31/B28)</f>
        <v>0</v>
      </c>
      <c r="D31" s="38">
        <f>INDEX(BUDGET!$C$149:$R$149,$E$3)</f>
        <v>0</v>
      </c>
      <c r="E31" s="43">
        <f>IF(D28=0,0,D31/D28)</f>
        <v>0</v>
      </c>
    </row>
    <row r="32" spans="1:13" ht="14.25" customHeight="1" x14ac:dyDescent="0.35">
      <c r="A32" s="12" t="s">
        <v>128</v>
      </c>
      <c r="B32" s="38">
        <f>$C$191</f>
        <v>0</v>
      </c>
      <c r="C32" s="43">
        <f>IF(B28=0,0,B32/B28)</f>
        <v>0</v>
      </c>
      <c r="D32" s="38">
        <f>INDEX(BUDGET!$C$150:$R$150,$E$3)</f>
        <v>0</v>
      </c>
      <c r="E32" s="43">
        <f>IF(D28=0,0,D32/D28)</f>
        <v>0</v>
      </c>
    </row>
    <row r="33" spans="1:6" ht="14.25" customHeight="1" x14ac:dyDescent="0.35">
      <c r="A33" s="12" t="s">
        <v>129</v>
      </c>
      <c r="B33" s="38">
        <f>$C$189</f>
        <v>0</v>
      </c>
      <c r="C33" s="43">
        <f>IF(B28=0,0,B33/B28)</f>
        <v>0</v>
      </c>
      <c r="D33" s="38">
        <f>INDEX(BUDGET!$C$151:$R$151,$E$3)</f>
        <v>0</v>
      </c>
      <c r="E33" s="43">
        <f>IF(D28=0,0,D33/D28)</f>
        <v>0</v>
      </c>
    </row>
    <row r="34" spans="1:6" ht="14.25" customHeight="1" x14ac:dyDescent="0.35">
      <c r="A34" s="40" t="s">
        <v>130</v>
      </c>
      <c r="B34" s="41">
        <f>SUM(B30:B33)</f>
        <v>6715.5</v>
      </c>
      <c r="C34" s="45"/>
      <c r="D34" s="45"/>
      <c r="E34" s="45"/>
    </row>
    <row r="36" spans="1:6" ht="14.25" customHeight="1" x14ac:dyDescent="0.35">
      <c r="A36" s="6" t="s">
        <v>131</v>
      </c>
    </row>
    <row r="37" spans="1:6" ht="24" customHeight="1" x14ac:dyDescent="0.35">
      <c r="A37" s="11" t="s">
        <v>99</v>
      </c>
      <c r="B37" s="11" t="s">
        <v>132</v>
      </c>
      <c r="C37" s="11" t="s">
        <v>133</v>
      </c>
      <c r="D37" s="11" t="s">
        <v>134</v>
      </c>
      <c r="E37" s="11" t="s">
        <v>73</v>
      </c>
      <c r="F37" s="11" t="s">
        <v>135</v>
      </c>
    </row>
    <row r="38" spans="1:6" ht="14.25" customHeight="1" x14ac:dyDescent="0.35">
      <c r="A38" s="6" t="s">
        <v>104</v>
      </c>
    </row>
    <row r="39" spans="1:6" ht="14.25" customHeight="1" x14ac:dyDescent="0.35">
      <c r="A39" s="12" t="s">
        <v>398</v>
      </c>
      <c r="B39" s="38">
        <f>D207</f>
        <v>24028</v>
      </c>
      <c r="C39" s="12" t="s">
        <v>137</v>
      </c>
      <c r="D39" s="46">
        <f>F207</f>
        <v>4703.4834359913402</v>
      </c>
      <c r="E39" s="39">
        <f>G207</f>
        <v>113015299.99999993</v>
      </c>
      <c r="F39" s="39">
        <f>IF($B$28=0,0,E39/$B$28)</f>
        <v>16829.022410840582</v>
      </c>
    </row>
    <row r="40" spans="1:6" ht="14.25" customHeight="1" x14ac:dyDescent="0.35">
      <c r="A40" s="40" t="s">
        <v>141</v>
      </c>
      <c r="B40" s="45"/>
      <c r="C40" s="45"/>
      <c r="D40" s="45"/>
      <c r="E40" s="42">
        <f>E39</f>
        <v>113015299.99999993</v>
      </c>
      <c r="F40" s="42">
        <f>IF($B$28=0,0,E40/$B$28)</f>
        <v>16829.022410840582</v>
      </c>
    </row>
    <row r="41" spans="1:6" ht="14.25" customHeight="1" x14ac:dyDescent="0.35">
      <c r="A41" s="6" t="s">
        <v>142</v>
      </c>
    </row>
    <row r="42" spans="1:6" ht="14.25" customHeight="1" x14ac:dyDescent="0.35">
      <c r="A42" s="12" t="s">
        <v>143</v>
      </c>
      <c r="B42" s="38">
        <f>D208</f>
        <v>1856</v>
      </c>
      <c r="C42" s="12" t="s">
        <v>137</v>
      </c>
      <c r="D42" s="46">
        <f>F208</f>
        <v>17512.1495067543</v>
      </c>
      <c r="E42" s="39">
        <f>G208</f>
        <v>32502549.484535981</v>
      </c>
      <c r="F42" s="39">
        <f>IF($B$28=0,0,E42/$B$28)</f>
        <v>4839.9299358999306</v>
      </c>
    </row>
    <row r="43" spans="1:6" ht="14.25" customHeight="1" x14ac:dyDescent="0.35">
      <c r="A43" s="12" t="s">
        <v>144</v>
      </c>
      <c r="B43" s="38">
        <f>D209/$C$202</f>
        <v>103.08299865671198</v>
      </c>
      <c r="C43" s="12" t="s">
        <v>145</v>
      </c>
      <c r="D43" s="46">
        <f>IF(B43=0,0,E43/B43)</f>
        <v>226177.30195899098</v>
      </c>
      <c r="E43" s="39">
        <f>G209</f>
        <v>23315034.514017407</v>
      </c>
      <c r="F43" s="39">
        <f>IF($B$28=0,0,E43/$B$28)</f>
        <v>3471.8240658204759</v>
      </c>
    </row>
    <row r="44" spans="1:6" ht="14.25" customHeight="1" x14ac:dyDescent="0.35">
      <c r="A44" s="6" t="s">
        <v>107</v>
      </c>
    </row>
    <row r="45" spans="1:6" ht="14.25" customHeight="1" x14ac:dyDescent="0.35">
      <c r="A45" s="12" t="s">
        <v>354</v>
      </c>
      <c r="B45" s="38">
        <v>0</v>
      </c>
      <c r="C45" s="12" t="s">
        <v>137</v>
      </c>
      <c r="D45" s="46">
        <v>0</v>
      </c>
      <c r="E45" s="39">
        <v>0</v>
      </c>
      <c r="F45" s="39">
        <f t="shared" ref="F45:F52" si="7">IF($B$28=0,0,E45/$B$28)</f>
        <v>0</v>
      </c>
    </row>
    <row r="46" spans="1:6" ht="14.25" customHeight="1" x14ac:dyDescent="0.35">
      <c r="A46" s="12" t="s">
        <v>147</v>
      </c>
      <c r="B46" s="38">
        <v>0</v>
      </c>
      <c r="C46" s="12" t="s">
        <v>137</v>
      </c>
      <c r="D46" s="46">
        <v>0</v>
      </c>
      <c r="E46" s="39">
        <v>0</v>
      </c>
      <c r="F46" s="39">
        <f t="shared" si="7"/>
        <v>0</v>
      </c>
    </row>
    <row r="47" spans="1:6" ht="14.25" customHeight="1" x14ac:dyDescent="0.35">
      <c r="A47" s="12" t="s">
        <v>148</v>
      </c>
      <c r="B47" s="38">
        <v>0</v>
      </c>
      <c r="C47" s="12" t="s">
        <v>137</v>
      </c>
      <c r="D47" s="46">
        <v>0</v>
      </c>
      <c r="E47" s="39">
        <v>0</v>
      </c>
      <c r="F47" s="39">
        <f t="shared" si="7"/>
        <v>0</v>
      </c>
    </row>
    <row r="48" spans="1:6" ht="14.25" customHeight="1" x14ac:dyDescent="0.35">
      <c r="A48" s="12" t="s">
        <v>149</v>
      </c>
      <c r="B48" s="38">
        <f>D210</f>
        <v>136</v>
      </c>
      <c r="C48" s="12" t="s">
        <v>137</v>
      </c>
      <c r="D48" s="46">
        <f>F210</f>
        <v>32614.581205548398</v>
      </c>
      <c r="E48" s="39">
        <f>G210</f>
        <v>4435583.043954582</v>
      </c>
      <c r="F48" s="39">
        <f t="shared" si="7"/>
        <v>660.4992992263542</v>
      </c>
    </row>
    <row r="49" spans="1:6" ht="14.25" customHeight="1" x14ac:dyDescent="0.35">
      <c r="A49" s="12" t="s">
        <v>356</v>
      </c>
      <c r="B49" s="38">
        <v>0</v>
      </c>
      <c r="C49" s="12" t="s">
        <v>137</v>
      </c>
      <c r="D49" s="46">
        <v>0</v>
      </c>
      <c r="E49" s="39">
        <v>0</v>
      </c>
      <c r="F49" s="39">
        <f t="shared" si="7"/>
        <v>0</v>
      </c>
    </row>
    <row r="50" spans="1:6" ht="14.25" customHeight="1" x14ac:dyDescent="0.35">
      <c r="A50" s="12" t="s">
        <v>152</v>
      </c>
      <c r="C50" s="12" t="s">
        <v>140</v>
      </c>
      <c r="E50" s="39">
        <f>SUMIF($C$207:$C$213,"Other cost",$G$207:$G$213)</f>
        <v>332235.1510229705</v>
      </c>
      <c r="F50" s="39">
        <f t="shared" si="7"/>
        <v>49.472883779758838</v>
      </c>
    </row>
    <row r="51" spans="1:6" ht="14.25" customHeight="1" x14ac:dyDescent="0.35">
      <c r="A51" s="40" t="s">
        <v>153</v>
      </c>
      <c r="B51" s="45"/>
      <c r="C51" s="45"/>
      <c r="D51" s="45"/>
      <c r="E51" s="42">
        <f>E45+E46+E47+E48+E49+E50</f>
        <v>4767818.1949775526</v>
      </c>
      <c r="F51" s="42">
        <f t="shared" si="7"/>
        <v>709.97218300611314</v>
      </c>
    </row>
    <row r="52" spans="1:6" ht="14.25" customHeight="1" x14ac:dyDescent="0.35">
      <c r="A52" s="40" t="s">
        <v>154</v>
      </c>
      <c r="B52" s="45"/>
      <c r="C52" s="45"/>
      <c r="D52" s="45"/>
      <c r="E52" s="42">
        <f>E40+E42+E43+E51</f>
        <v>173600702.19353086</v>
      </c>
      <c r="F52" s="42">
        <f t="shared" si="7"/>
        <v>25850.7485955671</v>
      </c>
    </row>
    <row r="53" spans="1:6" ht="14.25" customHeight="1" x14ac:dyDescent="0.35">
      <c r="A53" s="6" t="s">
        <v>155</v>
      </c>
    </row>
    <row r="54" spans="1:6" ht="14.25" customHeight="1" x14ac:dyDescent="0.35">
      <c r="A54" s="12" t="s">
        <v>156</v>
      </c>
      <c r="B54" s="38">
        <f>$C$194</f>
        <v>0</v>
      </c>
      <c r="C54" s="12" t="s">
        <v>157</v>
      </c>
      <c r="D54" s="46">
        <f>IF(B54=0,0,E54/B54)</f>
        <v>0</v>
      </c>
      <c r="E54" s="13">
        <f>'BIAYA BERSAMA'!E116</f>
        <v>0</v>
      </c>
      <c r="F54" s="39">
        <f t="shared" ref="F54:F62" si="8">IF($B$28=0,0,E54/$B$28)</f>
        <v>0</v>
      </c>
    </row>
    <row r="55" spans="1:6" ht="14.25" customHeight="1" x14ac:dyDescent="0.35">
      <c r="A55" s="12" t="s">
        <v>158</v>
      </c>
      <c r="C55" s="12"/>
      <c r="E55" s="13">
        <f>'BIAYA BERSAMA'!E115</f>
        <v>24083394.259285729</v>
      </c>
      <c r="F55" s="39">
        <f t="shared" si="8"/>
        <v>3586.2399313953883</v>
      </c>
    </row>
    <row r="56" spans="1:6" ht="14.25" customHeight="1" x14ac:dyDescent="0.35">
      <c r="A56" s="12" t="s">
        <v>159</v>
      </c>
      <c r="C56" s="12"/>
      <c r="E56" s="13">
        <f>'BIAYA BERSAMA'!E117</f>
        <v>21530554.444718737</v>
      </c>
      <c r="F56" s="39">
        <f t="shared" si="8"/>
        <v>3206.0984952302488</v>
      </c>
    </row>
    <row r="57" spans="1:6" ht="14.25" customHeight="1" x14ac:dyDescent="0.35">
      <c r="A57" s="12" t="s">
        <v>160</v>
      </c>
      <c r="C57" s="12"/>
      <c r="E57" s="13">
        <f>'BIAYA BERSAMA'!E118</f>
        <v>496392.30262294161</v>
      </c>
      <c r="F57" s="39">
        <f t="shared" si="8"/>
        <v>73.917400435253015</v>
      </c>
    </row>
    <row r="58" spans="1:6" ht="14.25" customHeight="1" x14ac:dyDescent="0.35">
      <c r="A58" s="12" t="s">
        <v>161</v>
      </c>
      <c r="C58" s="12"/>
      <c r="E58" s="13">
        <f>'BIAYA BERSAMA'!E119</f>
        <v>22428655.272909626</v>
      </c>
      <c r="F58" s="39">
        <f t="shared" si="8"/>
        <v>3339.8340068363677</v>
      </c>
    </row>
    <row r="59" spans="1:6" ht="14.25" customHeight="1" x14ac:dyDescent="0.35">
      <c r="A59" s="12" t="s">
        <v>162</v>
      </c>
      <c r="C59" s="12"/>
      <c r="E59" s="13">
        <f>'BIAYA BERSAMA'!E120</f>
        <v>10426904.103047859</v>
      </c>
      <c r="F59" s="39">
        <f t="shared" si="8"/>
        <v>1552.6623636434904</v>
      </c>
    </row>
    <row r="60" spans="1:6" ht="14.25" customHeight="1" x14ac:dyDescent="0.35">
      <c r="A60" s="40" t="s">
        <v>163</v>
      </c>
      <c r="B60" s="45"/>
      <c r="C60" s="45"/>
      <c r="D60" s="45"/>
      <c r="E60" s="42">
        <f>E56+E57+E58+E59</f>
        <v>54882506.123299167</v>
      </c>
      <c r="F60" s="42">
        <f t="shared" si="8"/>
        <v>8172.5122661453606</v>
      </c>
    </row>
    <row r="61" spans="1:6" ht="14.25" customHeight="1" x14ac:dyDescent="0.35">
      <c r="A61" s="40" t="s">
        <v>164</v>
      </c>
      <c r="B61" s="45"/>
      <c r="C61" s="45"/>
      <c r="D61" s="45"/>
      <c r="E61" s="42">
        <f>E54+E55+E60</f>
        <v>78965900.3825849</v>
      </c>
      <c r="F61" s="42">
        <f t="shared" si="8"/>
        <v>11758.752197540749</v>
      </c>
    </row>
    <row r="62" spans="1:6" ht="14.25" customHeight="1" x14ac:dyDescent="0.35">
      <c r="A62" s="40" t="s">
        <v>165</v>
      </c>
      <c r="B62" s="45"/>
      <c r="C62" s="45"/>
      <c r="D62" s="45"/>
      <c r="E62" s="42">
        <f>E52+E61</f>
        <v>252566602.57611576</v>
      </c>
      <c r="F62" s="42">
        <f t="shared" si="8"/>
        <v>37609.500793107851</v>
      </c>
    </row>
    <row r="64" spans="1:6" ht="14.25" customHeight="1" x14ac:dyDescent="0.35">
      <c r="A64" s="6" t="s">
        <v>170</v>
      </c>
    </row>
    <row r="65" spans="1:13" ht="24" customHeight="1" x14ac:dyDescent="0.35">
      <c r="A65" s="11" t="s">
        <v>4</v>
      </c>
      <c r="B65" s="11" t="s">
        <v>171</v>
      </c>
      <c r="C65" s="11"/>
      <c r="D65" s="11" t="s">
        <v>135</v>
      </c>
      <c r="E65" s="11" t="s">
        <v>73</v>
      </c>
      <c r="F65" s="11" t="s">
        <v>102</v>
      </c>
    </row>
    <row r="66" spans="1:13" ht="14.25" customHeight="1" x14ac:dyDescent="0.35">
      <c r="A66" s="12" t="s">
        <v>123</v>
      </c>
      <c r="B66" s="38">
        <f>B27</f>
        <v>0</v>
      </c>
      <c r="E66" s="39">
        <f>$C$192</f>
        <v>0</v>
      </c>
    </row>
    <row r="67" spans="1:13" ht="14.25" customHeight="1" x14ac:dyDescent="0.35">
      <c r="A67" s="12" t="s">
        <v>172</v>
      </c>
      <c r="B67" s="38">
        <f>B28</f>
        <v>6715.5</v>
      </c>
      <c r="E67" s="39">
        <f>E62</f>
        <v>252566602.57611576</v>
      </c>
    </row>
    <row r="68" spans="1:13" ht="14.25" customHeight="1" x14ac:dyDescent="0.35">
      <c r="A68" s="12" t="s">
        <v>173</v>
      </c>
      <c r="B68" s="38">
        <f>-B31</f>
        <v>0</v>
      </c>
      <c r="E68" s="39">
        <v>0</v>
      </c>
    </row>
    <row r="69" spans="1:13" ht="14.25" customHeight="1" x14ac:dyDescent="0.35">
      <c r="A69" s="40" t="s">
        <v>174</v>
      </c>
      <c r="B69" s="41">
        <f>SUM(B66:B68)</f>
        <v>6715.5</v>
      </c>
      <c r="C69" s="45"/>
      <c r="D69" s="45"/>
      <c r="E69" s="42">
        <f>SUM(E66:E68)</f>
        <v>252566602.57611576</v>
      </c>
      <c r="F69" s="45"/>
    </row>
    <row r="70" spans="1:13" ht="14.25" customHeight="1" x14ac:dyDescent="0.35">
      <c r="A70" s="6" t="s">
        <v>175</v>
      </c>
      <c r="D70" s="49">
        <f>IF(B69=0,0,E69/B69)</f>
        <v>37609.500793107851</v>
      </c>
      <c r="F70" s="46">
        <f>INDEX(BUDGET!$C$179:$R$179,$E$3)</f>
        <v>0</v>
      </c>
    </row>
    <row r="71" spans="1:13" ht="14.25" customHeight="1" x14ac:dyDescent="0.35">
      <c r="A71" s="12" t="s">
        <v>126</v>
      </c>
      <c r="B71" s="38">
        <f>B30</f>
        <v>6715.5</v>
      </c>
      <c r="E71" s="39">
        <f>B71*$D$70</f>
        <v>252566602.57611576</v>
      </c>
    </row>
    <row r="72" spans="1:13" ht="14.25" customHeight="1" x14ac:dyDescent="0.35">
      <c r="A72" s="12" t="s">
        <v>176</v>
      </c>
      <c r="B72" s="38">
        <f>B32</f>
        <v>0</v>
      </c>
      <c r="E72" s="39">
        <f>B72*$D$70</f>
        <v>0</v>
      </c>
    </row>
    <row r="73" spans="1:13" ht="14.25" customHeight="1" x14ac:dyDescent="0.35">
      <c r="A73" s="12" t="s">
        <v>129</v>
      </c>
      <c r="B73" s="38">
        <f>B33</f>
        <v>0</v>
      </c>
      <c r="E73" s="39">
        <f>B73*$D$70</f>
        <v>0</v>
      </c>
    </row>
    <row r="74" spans="1:13" ht="14.25" customHeight="1" x14ac:dyDescent="0.35">
      <c r="A74" s="40" t="s">
        <v>177</v>
      </c>
      <c r="B74" s="41">
        <f>SUM(B71:B73)</f>
        <v>6715.5</v>
      </c>
      <c r="C74" s="45"/>
      <c r="D74" s="45"/>
      <c r="E74" s="42">
        <f>SUM(E71:E73)</f>
        <v>252566602.57611576</v>
      </c>
      <c r="F74" s="45"/>
    </row>
    <row r="75" spans="1:13" ht="14.25" customHeight="1" x14ac:dyDescent="0.35">
      <c r="A75" s="5" t="s">
        <v>399</v>
      </c>
      <c r="B75" s="38">
        <f>B69-B74</f>
        <v>0</v>
      </c>
      <c r="E75" s="39">
        <f>E69-E74</f>
        <v>0</v>
      </c>
    </row>
    <row r="76" spans="1:13" ht="14.25" customHeight="1" x14ac:dyDescent="0.35">
      <c r="A76" s="5" t="s">
        <v>400</v>
      </c>
      <c r="E76" s="39">
        <f>$C$193</f>
        <v>0</v>
      </c>
    </row>
    <row r="78" spans="1:13" ht="14.25" customHeight="1" x14ac:dyDescent="0.35">
      <c r="A78" s="9" t="s">
        <v>401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ht="24" customHeight="1" x14ac:dyDescent="0.35">
      <c r="A79" s="11" t="s">
        <v>4</v>
      </c>
      <c r="B79" s="11" t="s">
        <v>171</v>
      </c>
      <c r="C79" s="11"/>
      <c r="D79" s="11" t="s">
        <v>135</v>
      </c>
      <c r="E79" s="11" t="s">
        <v>73</v>
      </c>
      <c r="F79" s="11" t="s">
        <v>102</v>
      </c>
    </row>
    <row r="80" spans="1:13" ht="14.25" customHeight="1" x14ac:dyDescent="0.35">
      <c r="A80" s="12" t="s">
        <v>179</v>
      </c>
      <c r="B80" s="38">
        <f>$C$197</f>
        <v>0</v>
      </c>
      <c r="E80" s="39">
        <f>IF($C$197=0,0,$C$198)</f>
        <v>0</v>
      </c>
    </row>
    <row r="81" spans="1:6" ht="14.25" customHeight="1" x14ac:dyDescent="0.35">
      <c r="A81" s="12" t="s">
        <v>180</v>
      </c>
      <c r="B81" s="38">
        <f>B71</f>
        <v>6715.5</v>
      </c>
      <c r="E81" s="39">
        <f>E71</f>
        <v>252566602.57611576</v>
      </c>
    </row>
    <row r="82" spans="1:6" ht="14.25" customHeight="1" x14ac:dyDescent="0.35">
      <c r="A82" s="40" t="s">
        <v>181</v>
      </c>
      <c r="B82" s="41">
        <f>B80+B81</f>
        <v>6715.5</v>
      </c>
      <c r="C82" s="45"/>
      <c r="D82" s="45"/>
      <c r="E82" s="42">
        <f>E80+E81</f>
        <v>252566602.57611576</v>
      </c>
      <c r="F82" s="45"/>
    </row>
    <row r="83" spans="1:6" ht="14.25" customHeight="1" x14ac:dyDescent="0.35">
      <c r="A83" s="6" t="s">
        <v>175</v>
      </c>
      <c r="D83" s="49">
        <f>IF(B82=0,0,E82/B82)</f>
        <v>37609.500793107851</v>
      </c>
      <c r="F83" s="46">
        <f>INDEX(BUDGET!$C$180:$R$180,$E$3)</f>
        <v>0</v>
      </c>
    </row>
    <row r="84" spans="1:6" ht="14.25" customHeight="1" x14ac:dyDescent="0.35">
      <c r="A84" s="12" t="s">
        <v>182</v>
      </c>
      <c r="B84" s="38">
        <f>$C$199</f>
        <v>6715.5</v>
      </c>
      <c r="E84" s="39">
        <f>B84*$D$83</f>
        <v>252566602.57611576</v>
      </c>
    </row>
    <row r="85" spans="1:6" ht="14.25" customHeight="1" x14ac:dyDescent="0.35">
      <c r="A85" s="12" t="s">
        <v>184</v>
      </c>
      <c r="B85" s="38">
        <f>$C$200</f>
        <v>0</v>
      </c>
      <c r="E85" s="39">
        <f>B85*$D$83</f>
        <v>0</v>
      </c>
    </row>
    <row r="86" spans="1:6" ht="14.25" customHeight="1" x14ac:dyDescent="0.35">
      <c r="A86" s="12" t="s">
        <v>185</v>
      </c>
      <c r="B86" s="38">
        <f>B82-B84-B85</f>
        <v>0</v>
      </c>
      <c r="E86" s="39">
        <f>B86*$D$83</f>
        <v>0</v>
      </c>
    </row>
    <row r="87" spans="1:6" ht="14.25" customHeight="1" x14ac:dyDescent="0.35">
      <c r="A87" s="5" t="s">
        <v>402</v>
      </c>
      <c r="E87" s="39">
        <f>$C$201</f>
        <v>-974521.91</v>
      </c>
    </row>
    <row r="88" spans="1:6" ht="14.25" customHeight="1" x14ac:dyDescent="0.35">
      <c r="A88" s="5" t="s">
        <v>403</v>
      </c>
      <c r="E88" s="39">
        <f>$C$198-E80</f>
        <v>0</v>
      </c>
    </row>
    <row r="90" spans="1:6" ht="14.25" customHeight="1" x14ac:dyDescent="0.35">
      <c r="A90" s="6" t="s">
        <v>13</v>
      </c>
    </row>
    <row r="91" spans="1:6" ht="14.25" customHeight="1" x14ac:dyDescent="0.35">
      <c r="A91" s="12" t="s">
        <v>190</v>
      </c>
      <c r="E91" s="39">
        <f>E84</f>
        <v>252566602.57611576</v>
      </c>
    </row>
    <row r="92" spans="1:6" ht="14.25" customHeight="1" x14ac:dyDescent="0.35">
      <c r="A92" s="12" t="s">
        <v>191</v>
      </c>
      <c r="E92" s="39">
        <f>E72</f>
        <v>0</v>
      </c>
    </row>
    <row r="93" spans="1:6" ht="14.25" customHeight="1" x14ac:dyDescent="0.35">
      <c r="A93" s="12" t="s">
        <v>192</v>
      </c>
      <c r="E93" s="39">
        <f>E86</f>
        <v>0</v>
      </c>
    </row>
    <row r="94" spans="1:6" ht="14.25" customHeight="1" x14ac:dyDescent="0.35">
      <c r="A94" s="40" t="s">
        <v>194</v>
      </c>
      <c r="B94" s="45"/>
      <c r="C94" s="45"/>
      <c r="D94" s="45"/>
      <c r="E94" s="42">
        <f>E91+E92+E93</f>
        <v>252566602.57611576</v>
      </c>
      <c r="F94" s="45"/>
    </row>
    <row r="95" spans="1:6" ht="14.25" customHeight="1" x14ac:dyDescent="0.35">
      <c r="A95" s="6" t="s">
        <v>195</v>
      </c>
      <c r="D95" s="49">
        <f>IF(B84=0,0,(E91+E92)/B84)</f>
        <v>37609.500793107851</v>
      </c>
      <c r="F95" s="46">
        <f>IF(INDEX(BUDGET!$C$148:$R$148,$E$3)=0,0,INDEX(BUDGET!$C$181:$R$181,$E$3)/INDEX(BUDGET!$C$148:$R$148,$E$3))</f>
        <v>0</v>
      </c>
    </row>
    <row r="96" spans="1:6" ht="14.25" customHeight="1" x14ac:dyDescent="0.35">
      <c r="A96" s="5" t="s">
        <v>196</v>
      </c>
      <c r="E96" s="39">
        <f>INDEX(BUDGET!$C$181:$R$181,$E$3)</f>
        <v>0</v>
      </c>
    </row>
    <row r="98" spans="1:13" ht="14.25" customHeight="1" x14ac:dyDescent="0.35">
      <c r="A98" s="9" t="s">
        <v>197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 ht="30" customHeight="1" x14ac:dyDescent="0.35">
      <c r="A99" s="11" t="s">
        <v>99</v>
      </c>
      <c r="B99" s="11" t="s">
        <v>198</v>
      </c>
      <c r="C99" s="11" t="s">
        <v>199</v>
      </c>
      <c r="D99" s="11" t="s">
        <v>200</v>
      </c>
      <c r="E99" s="11" t="s">
        <v>201</v>
      </c>
      <c r="F99" s="11" t="s">
        <v>18</v>
      </c>
      <c r="G99" s="11" t="s">
        <v>19</v>
      </c>
      <c r="H99" s="11" t="s">
        <v>20</v>
      </c>
      <c r="I99" s="11" t="s">
        <v>21</v>
      </c>
      <c r="J99" s="11" t="s">
        <v>22</v>
      </c>
      <c r="K99" s="11" t="s">
        <v>23</v>
      </c>
      <c r="L99" s="11" t="s">
        <v>24</v>
      </c>
      <c r="M99" s="11" t="s">
        <v>202</v>
      </c>
    </row>
    <row r="100" spans="1:13" ht="14.25" customHeight="1" x14ac:dyDescent="0.35">
      <c r="A100" s="12" t="s">
        <v>398</v>
      </c>
      <c r="B100" s="48">
        <f>IF($B$28=0,0,B39/$B$28)</f>
        <v>3.5779912143548507</v>
      </c>
      <c r="C100" s="48">
        <f>IF($D$28=0,0,INDEX(BUDGET!$C$154:$R$154,$E$3)/$D$28)</f>
        <v>0</v>
      </c>
      <c r="D100" s="46">
        <f>D39</f>
        <v>4703.4834359913402</v>
      </c>
      <c r="E100" s="46">
        <f>IF(INDEX(BUDGET!$C$154:$R$154,$E$3)=0,0,INDEX(BUDGET!$C$155:$R$155,$E$3)/INDEX(BUDGET!$C$154:$R$154,$E$3))</f>
        <v>0</v>
      </c>
      <c r="F100" s="39">
        <f>F39</f>
        <v>16829.022410840582</v>
      </c>
      <c r="G100" s="39">
        <f>IF($D$28=0,0,INDEX(BUDGET!$C$155:$R$155,$E$3)/$D$28)</f>
        <v>0</v>
      </c>
      <c r="H100" s="39">
        <f>F100-G100</f>
        <v>16829.022410840582</v>
      </c>
      <c r="I100" s="39">
        <f>(D100-E100)*B100</f>
        <v>16829.022410840582</v>
      </c>
      <c r="J100" s="39">
        <f>(B100-C100)*E100</f>
        <v>0</v>
      </c>
      <c r="K100" s="39">
        <v>0</v>
      </c>
      <c r="L100" s="39">
        <v>0</v>
      </c>
      <c r="M100" s="39">
        <f>H100-I100-J100-K100-L100</f>
        <v>0</v>
      </c>
    </row>
    <row r="101" spans="1:13" ht="14.25" customHeight="1" x14ac:dyDescent="0.35">
      <c r="A101" s="40" t="s">
        <v>104</v>
      </c>
      <c r="B101" s="45"/>
      <c r="C101" s="45"/>
      <c r="D101" s="45"/>
      <c r="E101" s="45"/>
      <c r="F101" s="42">
        <f t="shared" ref="F101:M101" si="9">F100</f>
        <v>16829.022410840582</v>
      </c>
      <c r="G101" s="42">
        <f t="shared" si="9"/>
        <v>0</v>
      </c>
      <c r="H101" s="42">
        <f t="shared" si="9"/>
        <v>16829.022410840582</v>
      </c>
      <c r="I101" s="42">
        <f t="shared" si="9"/>
        <v>16829.022410840582</v>
      </c>
      <c r="J101" s="42">
        <f t="shared" si="9"/>
        <v>0</v>
      </c>
      <c r="K101" s="42">
        <f t="shared" si="9"/>
        <v>0</v>
      </c>
      <c r="L101" s="42">
        <f t="shared" si="9"/>
        <v>0</v>
      </c>
      <c r="M101" s="42">
        <f t="shared" si="9"/>
        <v>0</v>
      </c>
    </row>
    <row r="102" spans="1:13" ht="14.25" customHeight="1" x14ac:dyDescent="0.35">
      <c r="A102" s="12" t="s">
        <v>143</v>
      </c>
      <c r="B102" s="48">
        <f>IF($B$28=0,0,B42/$B$28)</f>
        <v>0.2763755491028218</v>
      </c>
      <c r="C102" s="48">
        <f>IF($D$28=0,0,INDEX(BUDGET!$C$156:$R$156,$E$3)/$D$28)</f>
        <v>0</v>
      </c>
      <c r="D102" s="46">
        <f>D42</f>
        <v>17512.1495067543</v>
      </c>
      <c r="E102" s="46">
        <f>IF(INDEX(BUDGET!$C$156:$R$156,$E$3)=0,0,INDEX(BUDGET!$C$157:$R$157,$E$3)/INDEX(BUDGET!$C$156:$R$156,$E$3))</f>
        <v>0</v>
      </c>
      <c r="F102" s="39">
        <f>F42</f>
        <v>4839.9299358999306</v>
      </c>
      <c r="G102" s="39">
        <f>IF($D$28=0,0,INDEX(BUDGET!$C$157:$R$157,$E$3)/$D$28)</f>
        <v>0</v>
      </c>
      <c r="H102" s="39">
        <f>F102-G102</f>
        <v>4839.9299358999306</v>
      </c>
      <c r="I102" s="39">
        <f>(D102-E102)*B102</f>
        <v>4839.9299358999297</v>
      </c>
      <c r="J102" s="39">
        <f>(B102-C102)*E102</f>
        <v>0</v>
      </c>
      <c r="K102" s="39">
        <v>0</v>
      </c>
      <c r="L102" s="39">
        <v>0</v>
      </c>
      <c r="M102" s="39">
        <f>H102-I102-J102-K102-L102</f>
        <v>9.0949470177292824E-13</v>
      </c>
    </row>
    <row r="103" spans="1:13" ht="14.25" customHeight="1" x14ac:dyDescent="0.35">
      <c r="A103" s="40" t="s">
        <v>105</v>
      </c>
      <c r="B103" s="45"/>
      <c r="C103" s="45"/>
      <c r="D103" s="45"/>
      <c r="E103" s="45"/>
      <c r="F103" s="42">
        <f t="shared" ref="F103:M103" si="10">F102</f>
        <v>4839.9299358999306</v>
      </c>
      <c r="G103" s="42">
        <f t="shared" si="10"/>
        <v>0</v>
      </c>
      <c r="H103" s="42">
        <f t="shared" si="10"/>
        <v>4839.9299358999306</v>
      </c>
      <c r="I103" s="42">
        <f t="shared" si="10"/>
        <v>4839.9299358999297</v>
      </c>
      <c r="J103" s="42">
        <f t="shared" si="10"/>
        <v>0</v>
      </c>
      <c r="K103" s="42">
        <f t="shared" si="10"/>
        <v>0</v>
      </c>
      <c r="L103" s="42">
        <f t="shared" si="10"/>
        <v>0</v>
      </c>
      <c r="M103" s="42">
        <f t="shared" si="10"/>
        <v>9.0949470177292824E-13</v>
      </c>
    </row>
    <row r="104" spans="1:13" ht="14.25" customHeight="1" x14ac:dyDescent="0.35">
      <c r="A104" s="12" t="s">
        <v>203</v>
      </c>
      <c r="B104" s="48">
        <f>IF($B$28=0,0,B43/$B$28)</f>
        <v>1.5350010968164988E-2</v>
      </c>
      <c r="C104" s="48">
        <f>IF($D$28=0,0,INDEX(BUDGET!$C$158:$R$158,$E$3)/$D$28)</f>
        <v>0</v>
      </c>
      <c r="D104" s="46">
        <f>D43</f>
        <v>226177.30195899098</v>
      </c>
      <c r="E104" s="46">
        <f>IF(INDEX(BUDGET!$C$158:$R$158,$E$3)=0,0,INDEX(BUDGET!$C$159:$R$159,$E$3)/INDEX(BUDGET!$C$158:$R$158,$E$3))</f>
        <v>0</v>
      </c>
      <c r="F104" s="39">
        <f>F43</f>
        <v>3471.8240658204759</v>
      </c>
      <c r="G104" s="39">
        <f>IF($D$28=0,0,INDEX(BUDGET!$C$159:$R$159,$E$3)/$D$28)</f>
        <v>0</v>
      </c>
      <c r="H104" s="39">
        <f>F104-G104</f>
        <v>3471.8240658204759</v>
      </c>
      <c r="I104" s="39">
        <f>(D104-E104)*B104</f>
        <v>3471.8240658204759</v>
      </c>
      <c r="J104" s="39">
        <f>(B104-C104)*E104</f>
        <v>0</v>
      </c>
      <c r="K104" s="39">
        <v>0</v>
      </c>
      <c r="L104" s="39">
        <v>0</v>
      </c>
      <c r="M104" s="39">
        <f>H104-I104-J104-K104-L104</f>
        <v>0</v>
      </c>
    </row>
    <row r="105" spans="1:13" ht="14.25" customHeight="1" x14ac:dyDescent="0.35">
      <c r="A105" s="40" t="s">
        <v>106</v>
      </c>
      <c r="B105" s="45"/>
      <c r="C105" s="45"/>
      <c r="D105" s="45"/>
      <c r="E105" s="45"/>
      <c r="F105" s="42">
        <f t="shared" ref="F105:M105" si="11">F104</f>
        <v>3471.8240658204759</v>
      </c>
      <c r="G105" s="42">
        <f t="shared" si="11"/>
        <v>0</v>
      </c>
      <c r="H105" s="42">
        <f t="shared" si="11"/>
        <v>3471.8240658204759</v>
      </c>
      <c r="I105" s="42">
        <f t="shared" si="11"/>
        <v>3471.8240658204759</v>
      </c>
      <c r="J105" s="42">
        <f t="shared" si="11"/>
        <v>0</v>
      </c>
      <c r="K105" s="42">
        <f t="shared" si="11"/>
        <v>0</v>
      </c>
      <c r="L105" s="42">
        <f t="shared" si="11"/>
        <v>0</v>
      </c>
      <c r="M105" s="42">
        <f t="shared" si="11"/>
        <v>0</v>
      </c>
    </row>
    <row r="106" spans="1:13" ht="14.25" customHeight="1" x14ac:dyDescent="0.35">
      <c r="A106" s="12" t="s">
        <v>354</v>
      </c>
      <c r="B106" s="48">
        <f>IF($B$28=0,0,B45/$B$28)</f>
        <v>0</v>
      </c>
      <c r="C106" s="48">
        <f>IF($D$28=0,0,INDEX(BUDGET!$C$160:$R$160,$E$3)/$D$28)</f>
        <v>0</v>
      </c>
      <c r="D106" s="46">
        <f>D45</f>
        <v>0</v>
      </c>
      <c r="E106" s="46">
        <f>IF(INDEX(BUDGET!$C$160:$R$160,$E$3)=0,0,INDEX(BUDGET!$C$161:$R$161,$E$3)/INDEX(BUDGET!$C$160:$R$160,$E$3))</f>
        <v>0</v>
      </c>
      <c r="F106" s="39">
        <f t="shared" ref="F106:F111" si="12">F45</f>
        <v>0</v>
      </c>
      <c r="G106" s="39">
        <f>IF($D$28=0,0,INDEX(BUDGET!$C$161:$R$161,$E$3)/$D$28)</f>
        <v>0</v>
      </c>
      <c r="H106" s="39">
        <f t="shared" ref="H106:H111" si="13">F106-G106</f>
        <v>0</v>
      </c>
      <c r="I106" s="39">
        <f>(D106-E106)*B106</f>
        <v>0</v>
      </c>
      <c r="J106" s="39">
        <f>(B106-C106)*E106</f>
        <v>0</v>
      </c>
      <c r="K106" s="39">
        <v>0</v>
      </c>
      <c r="L106" s="39">
        <v>0</v>
      </c>
      <c r="M106" s="39">
        <f t="shared" ref="M106:M111" si="14">H106-I106-J106-K106-L106</f>
        <v>0</v>
      </c>
    </row>
    <row r="107" spans="1:13" ht="14.25" customHeight="1" x14ac:dyDescent="0.35">
      <c r="A107" s="12" t="s">
        <v>147</v>
      </c>
      <c r="B107" s="48">
        <f>IF($B$28=0,0,B46/$B$28)</f>
        <v>0</v>
      </c>
      <c r="C107" s="48">
        <f>IF($D$28=0,0,INDEX(BUDGET!$C$162:$R$162,$E$3)/$D$28)</f>
        <v>0</v>
      </c>
      <c r="D107" s="46">
        <f>D46</f>
        <v>0</v>
      </c>
      <c r="E107" s="46">
        <f>IF(INDEX(BUDGET!$C$162:$R$162,$E$3)=0,0,INDEX(BUDGET!$C$163:$R$163,$E$3)/INDEX(BUDGET!$C$162:$R$162,$E$3))</f>
        <v>0</v>
      </c>
      <c r="F107" s="39">
        <f t="shared" si="12"/>
        <v>0</v>
      </c>
      <c r="G107" s="39">
        <f>IF($D$28=0,0,INDEX(BUDGET!$C$163:$R$163,$E$3)/$D$28)</f>
        <v>0</v>
      </c>
      <c r="H107" s="39">
        <f t="shared" si="13"/>
        <v>0</v>
      </c>
      <c r="I107" s="39">
        <f>(D107-E107)*B107</f>
        <v>0</v>
      </c>
      <c r="J107" s="39">
        <f>(B107-C107)*E107</f>
        <v>0</v>
      </c>
      <c r="K107" s="39">
        <v>0</v>
      </c>
      <c r="L107" s="39">
        <v>0</v>
      </c>
      <c r="M107" s="39">
        <f t="shared" si="14"/>
        <v>0</v>
      </c>
    </row>
    <row r="108" spans="1:13" ht="14.25" customHeight="1" x14ac:dyDescent="0.35">
      <c r="A108" s="12" t="s">
        <v>148</v>
      </c>
      <c r="B108" s="48">
        <f>IF($B$28=0,0,B47/$B$28)</f>
        <v>0</v>
      </c>
      <c r="C108" s="48">
        <f>IF($D$28=0,0,INDEX(BUDGET!$C$164:$R$164,$E$3)/$D$28)</f>
        <v>0</v>
      </c>
      <c r="D108" s="46">
        <f>D47</f>
        <v>0</v>
      </c>
      <c r="E108" s="46">
        <f>IF(INDEX(BUDGET!$C$164:$R$164,$E$3)=0,0,INDEX(BUDGET!$C$165:$R$165,$E$3)/INDEX(BUDGET!$C$164:$R$164,$E$3))</f>
        <v>0</v>
      </c>
      <c r="F108" s="39">
        <f t="shared" si="12"/>
        <v>0</v>
      </c>
      <c r="G108" s="39">
        <f>IF($D$28=0,0,INDEX(BUDGET!$C$165:$R$165,$E$3)/$D$28)</f>
        <v>0</v>
      </c>
      <c r="H108" s="39">
        <f t="shared" si="13"/>
        <v>0</v>
      </c>
      <c r="I108" s="39">
        <f>(D108-E108)*B108</f>
        <v>0</v>
      </c>
      <c r="J108" s="39">
        <f>(B108-C108)*E108</f>
        <v>0</v>
      </c>
      <c r="K108" s="39">
        <v>0</v>
      </c>
      <c r="L108" s="39">
        <v>0</v>
      </c>
      <c r="M108" s="39">
        <f t="shared" si="14"/>
        <v>0</v>
      </c>
    </row>
    <row r="109" spans="1:13" ht="14.25" customHeight="1" x14ac:dyDescent="0.35">
      <c r="A109" s="12" t="s">
        <v>149</v>
      </c>
      <c r="B109" s="48">
        <f>IF($B$28=0,0,B48/$B$28)</f>
        <v>2.025165661529298E-2</v>
      </c>
      <c r="C109" s="48">
        <f>IF($D$28=0,0,INDEX(BUDGET!$C$166:$R$166,$E$3)/$D$28)</f>
        <v>0</v>
      </c>
      <c r="D109" s="46">
        <f>D48</f>
        <v>32614.581205548398</v>
      </c>
      <c r="E109" s="46">
        <f>IF(INDEX(BUDGET!$C$166:$R$166,$E$3)=0,0,INDEX(BUDGET!$C$167:$R$167,$E$3)/INDEX(BUDGET!$C$166:$R$166,$E$3))</f>
        <v>0</v>
      </c>
      <c r="F109" s="39">
        <f t="shared" si="12"/>
        <v>660.4992992263542</v>
      </c>
      <c r="G109" s="39">
        <f>IF($D$28=0,0,INDEX(BUDGET!$C$167:$R$167,$E$3)/$D$28)</f>
        <v>0</v>
      </c>
      <c r="H109" s="39">
        <f t="shared" si="13"/>
        <v>660.4992992263542</v>
      </c>
      <c r="I109" s="39">
        <f>(D109-E109)*B109</f>
        <v>660.49929922635431</v>
      </c>
      <c r="J109" s="39">
        <f>(B109-C109)*E109</f>
        <v>0</v>
      </c>
      <c r="K109" s="39">
        <v>0</v>
      </c>
      <c r="L109" s="39">
        <v>0</v>
      </c>
      <c r="M109" s="39">
        <f t="shared" si="14"/>
        <v>-1.1368683772161603E-13</v>
      </c>
    </row>
    <row r="110" spans="1:13" ht="14.25" customHeight="1" x14ac:dyDescent="0.35">
      <c r="A110" s="12" t="s">
        <v>356</v>
      </c>
      <c r="B110" s="48">
        <f>IF($B$28=0,0,B49/$B$28)</f>
        <v>0</v>
      </c>
      <c r="C110" s="48">
        <f>IF($D$28=0,0,INDEX(BUDGET!$C$168:$R$168,$E$3)/$D$28)</f>
        <v>0</v>
      </c>
      <c r="D110" s="46">
        <f>D49</f>
        <v>0</v>
      </c>
      <c r="E110" s="46">
        <f>IF(INDEX(BUDGET!$C$168:$R$168,$E$3)=0,0,INDEX(BUDGET!$C$169:$R$169,$E$3)/INDEX(BUDGET!$C$168:$R$168,$E$3))</f>
        <v>0</v>
      </c>
      <c r="F110" s="39">
        <f t="shared" si="12"/>
        <v>0</v>
      </c>
      <c r="G110" s="39">
        <f>IF($D$28=0,0,INDEX(BUDGET!$C$169:$R$169,$E$3)/$D$28)</f>
        <v>0</v>
      </c>
      <c r="H110" s="39">
        <f t="shared" si="13"/>
        <v>0</v>
      </c>
      <c r="I110" s="39">
        <f>(D110-E110)*B110</f>
        <v>0</v>
      </c>
      <c r="J110" s="39">
        <f>(B110-C110)*E110</f>
        <v>0</v>
      </c>
      <c r="K110" s="39">
        <v>0</v>
      </c>
      <c r="L110" s="39">
        <v>0</v>
      </c>
      <c r="M110" s="39">
        <f t="shared" si="14"/>
        <v>0</v>
      </c>
    </row>
    <row r="111" spans="1:13" ht="14.25" customHeight="1" x14ac:dyDescent="0.35">
      <c r="A111" s="12" t="s">
        <v>204</v>
      </c>
      <c r="F111" s="39">
        <f t="shared" si="12"/>
        <v>49.472883779758838</v>
      </c>
      <c r="G111" s="39">
        <f>IF($D$28=0,0,INDEX(BUDGET!$C$170:$R$170,$E$3)/$D$28)</f>
        <v>0</v>
      </c>
      <c r="H111" s="39">
        <f t="shared" si="13"/>
        <v>49.472883779758838</v>
      </c>
      <c r="I111" s="39">
        <v>0</v>
      </c>
      <c r="J111" s="39">
        <f>H111</f>
        <v>49.472883779758838</v>
      </c>
      <c r="K111" s="39">
        <v>0</v>
      </c>
      <c r="L111" s="39">
        <v>0</v>
      </c>
      <c r="M111" s="39">
        <f t="shared" si="14"/>
        <v>0</v>
      </c>
    </row>
    <row r="112" spans="1:13" ht="14.25" customHeight="1" x14ac:dyDescent="0.35">
      <c r="A112" s="40" t="s">
        <v>107</v>
      </c>
      <c r="B112" s="45"/>
      <c r="C112" s="45"/>
      <c r="D112" s="45"/>
      <c r="E112" s="45"/>
      <c r="F112" s="42">
        <f t="shared" ref="F112:M112" si="15">F106+F107+F108+F109+F110+F111</f>
        <v>709.97218300611303</v>
      </c>
      <c r="G112" s="42">
        <f t="shared" si="15"/>
        <v>0</v>
      </c>
      <c r="H112" s="42">
        <f t="shared" si="15"/>
        <v>709.97218300611303</v>
      </c>
      <c r="I112" s="42">
        <f t="shared" si="15"/>
        <v>660.49929922635431</v>
      </c>
      <c r="J112" s="42">
        <f t="shared" si="15"/>
        <v>49.472883779758838</v>
      </c>
      <c r="K112" s="42">
        <f t="shared" si="15"/>
        <v>0</v>
      </c>
      <c r="L112" s="42">
        <f t="shared" si="15"/>
        <v>0</v>
      </c>
      <c r="M112" s="42">
        <f t="shared" si="15"/>
        <v>-1.1368683772161603E-13</v>
      </c>
    </row>
    <row r="113" spans="1:13" ht="14.25" customHeight="1" x14ac:dyDescent="0.35">
      <c r="A113" s="12" t="s">
        <v>205</v>
      </c>
      <c r="B113" s="48">
        <f>IF($B$28=0,0,B54/$B$28)</f>
        <v>0</v>
      </c>
      <c r="C113" s="48">
        <f>IF($D$28=0,0,INDEX(BUDGET!$C$171:$R$171,$E$3)/$D$28)</f>
        <v>0</v>
      </c>
      <c r="D113" s="46">
        <f>D54</f>
        <v>0</v>
      </c>
      <c r="E113" s="46">
        <f>IF(INDEX(BUDGET!$C$171:$R$171,$E$3)=0,0,INDEX(BUDGET!$C$172:$R$172,$E$3)/INDEX(BUDGET!$C$171:$R$171,$E$3))</f>
        <v>0</v>
      </c>
      <c r="F113" s="39">
        <f>F54</f>
        <v>0</v>
      </c>
      <c r="G113" s="39">
        <f>IF($D$28=0,0,INDEX(BUDGET!$C$172:$R$172,$E$3)/$D$28)</f>
        <v>0</v>
      </c>
      <c r="H113" s="39">
        <f>F113-G113</f>
        <v>0</v>
      </c>
      <c r="I113" s="39">
        <f>(D113-E113)*B113</f>
        <v>0</v>
      </c>
      <c r="J113" s="39">
        <f>(B113-C113)*E113</f>
        <v>0</v>
      </c>
      <c r="K113" s="39">
        <v>0</v>
      </c>
      <c r="L113" s="39">
        <v>0</v>
      </c>
      <c r="M113" s="39">
        <f>H113-I113-J113-K113-L113</f>
        <v>0</v>
      </c>
    </row>
    <row r="114" spans="1:13" ht="14.25" customHeight="1" x14ac:dyDescent="0.35">
      <c r="A114" s="40" t="s">
        <v>108</v>
      </c>
      <c r="B114" s="45"/>
      <c r="C114" s="45"/>
      <c r="D114" s="45"/>
      <c r="E114" s="45"/>
      <c r="F114" s="42">
        <f t="shared" ref="F114:M114" si="16">F113</f>
        <v>0</v>
      </c>
      <c r="G114" s="42">
        <f t="shared" si="16"/>
        <v>0</v>
      </c>
      <c r="H114" s="42">
        <f t="shared" si="16"/>
        <v>0</v>
      </c>
      <c r="I114" s="42">
        <f t="shared" si="16"/>
        <v>0</v>
      </c>
      <c r="J114" s="42">
        <f t="shared" si="16"/>
        <v>0</v>
      </c>
      <c r="K114" s="42">
        <f t="shared" si="16"/>
        <v>0</v>
      </c>
      <c r="L114" s="42">
        <f t="shared" si="16"/>
        <v>0</v>
      </c>
      <c r="M114" s="42">
        <f t="shared" si="16"/>
        <v>0</v>
      </c>
    </row>
    <row r="115" spans="1:13" ht="14.25" customHeight="1" x14ac:dyDescent="0.35">
      <c r="A115" s="12" t="s">
        <v>158</v>
      </c>
      <c r="F115" s="39">
        <f>F55</f>
        <v>3586.2399313953883</v>
      </c>
      <c r="G115" s="39">
        <f>IF($D$28=0,0,INDEX(BUDGET!$C$193:$R$193,$E$3)/$D$28)</f>
        <v>0</v>
      </c>
      <c r="H115" s="39">
        <f>F115-G115</f>
        <v>3586.2399313953883</v>
      </c>
      <c r="I115" s="39">
        <f>IF($B$28=0,0,('BIAYA BERSAMA'!$E$125-INDEX(BUDGET!$C$193:$R$193,$E$3))/$B$28)</f>
        <v>1922.5850931653881</v>
      </c>
      <c r="J115" s="39">
        <v>0</v>
      </c>
      <c r="K115" s="39">
        <f>IF($B$28=0,0,INDEX(BUDGET!$C$193:$R$193,$E$3)/$B$28)-G115</f>
        <v>0</v>
      </c>
      <c r="L115" s="39">
        <f>IF($B$28=0,0,(E55-'BIAYA BERSAMA'!$E$125)/$B$28)</f>
        <v>1663.6548382300002</v>
      </c>
      <c r="M115" s="39">
        <f>H115-I115-J115-K115-L115</f>
        <v>0</v>
      </c>
    </row>
    <row r="116" spans="1:13" ht="14.25" customHeight="1" x14ac:dyDescent="0.35">
      <c r="A116" s="40" t="s">
        <v>206</v>
      </c>
      <c r="B116" s="45"/>
      <c r="C116" s="45"/>
      <c r="D116" s="45"/>
      <c r="E116" s="45"/>
      <c r="F116" s="42">
        <f t="shared" ref="F116:M116" si="17">F115</f>
        <v>3586.2399313953883</v>
      </c>
      <c r="G116" s="42">
        <f t="shared" si="17"/>
        <v>0</v>
      </c>
      <c r="H116" s="42">
        <f t="shared" si="17"/>
        <v>3586.2399313953883</v>
      </c>
      <c r="I116" s="42">
        <f t="shared" si="17"/>
        <v>1922.5850931653881</v>
      </c>
      <c r="J116" s="42">
        <f t="shared" si="17"/>
        <v>0</v>
      </c>
      <c r="K116" s="42">
        <f t="shared" si="17"/>
        <v>0</v>
      </c>
      <c r="L116" s="42">
        <f t="shared" si="17"/>
        <v>1663.6548382300002</v>
      </c>
      <c r="M116" s="42">
        <f t="shared" si="17"/>
        <v>0</v>
      </c>
    </row>
    <row r="117" spans="1:13" ht="14.25" customHeight="1" x14ac:dyDescent="0.35">
      <c r="A117" s="12" t="s">
        <v>207</v>
      </c>
      <c r="F117" s="39">
        <f>F56</f>
        <v>3206.0984952302488</v>
      </c>
      <c r="G117" s="39">
        <f>IF($D$28=0,0,INDEX(BUDGET!$C$194:$R$194,$E$3)/$D$28)</f>
        <v>0</v>
      </c>
      <c r="H117" s="39">
        <f>F117-G117</f>
        <v>3206.0984952302488</v>
      </c>
      <c r="I117" s="39">
        <f>IF($B$28=0,0,('BIAYA BERSAMA'!$E$127-INDEX(BUDGET!$C$194:$R$194,$E$3))/$B$28)</f>
        <v>1718.7910714471573</v>
      </c>
      <c r="J117" s="39">
        <v>0</v>
      </c>
      <c r="K117" s="39">
        <f>IF($B$28=0,0,INDEX(BUDGET!$C$194:$R$194,$E$3)/$B$28)-G117</f>
        <v>0</v>
      </c>
      <c r="L117" s="39">
        <f>IF($B$28=0,0,(E56-'BIAYA BERSAMA'!$E$127)/$B$28)</f>
        <v>1487.3074237830917</v>
      </c>
      <c r="M117" s="39">
        <f>H117-I117-J117-K117-L117</f>
        <v>0</v>
      </c>
    </row>
    <row r="118" spans="1:13" ht="14.25" customHeight="1" x14ac:dyDescent="0.35">
      <c r="A118" s="12" t="s">
        <v>160</v>
      </c>
      <c r="F118" s="39">
        <f>F57</f>
        <v>73.917400435253015</v>
      </c>
      <c r="G118" s="39">
        <f>IF($D$28=0,0,INDEX(BUDGET!$C$175:$R$175,$E$3)/$D$28)</f>
        <v>0</v>
      </c>
      <c r="H118" s="39">
        <f>F118-G118</f>
        <v>73.917400435253015</v>
      </c>
      <c r="I118" s="39">
        <f>IF($B$28=0,0,('BIAYA BERSAMA'!$E$128-INDEX(BUDGET!$C$175:$R$175,$E$3))/$B$28)</f>
        <v>191.46297100439975</v>
      </c>
      <c r="J118" s="39">
        <v>0</v>
      </c>
      <c r="K118" s="39">
        <f>IF($B$28=0,0,INDEX(BUDGET!$C$175:$R$175,$E$3)/$B$28)-G118</f>
        <v>0</v>
      </c>
      <c r="L118" s="39">
        <f>IF($B$28=0,0,(E57-'BIAYA BERSAMA'!$E$128)/$B$28)</f>
        <v>-117.54557056914673</v>
      </c>
      <c r="M118" s="39">
        <f>H118-I118-J118-K118-L118</f>
        <v>0</v>
      </c>
    </row>
    <row r="119" spans="1:13" ht="14.25" customHeight="1" x14ac:dyDescent="0.35">
      <c r="A119" s="12" t="s">
        <v>208</v>
      </c>
      <c r="F119" s="39">
        <f>F58</f>
        <v>3339.8340068363677</v>
      </c>
      <c r="G119" s="39">
        <f>IF($D$28=0,0,INDEX(BUDGET!$C$176:$R$176,$E$3)/$D$28)</f>
        <v>0</v>
      </c>
      <c r="H119" s="39">
        <f>F119-G119</f>
        <v>3339.8340068363677</v>
      </c>
      <c r="I119" s="39">
        <f>IF($B$28=0,0,('BIAYA BERSAMA'!$E$129-INDEX(BUDGET!$C$176:$R$176,$E$3))/$B$28)</f>
        <v>495.7940011434971</v>
      </c>
      <c r="J119" s="39">
        <v>0</v>
      </c>
      <c r="K119" s="39">
        <f>IF($B$28=0,0,INDEX(BUDGET!$C$176:$R$176,$E$3)/$B$28)-G119</f>
        <v>0</v>
      </c>
      <c r="L119" s="39">
        <f>IF($B$28=0,0,(E58-'BIAYA BERSAMA'!$E$129)/$B$28)</f>
        <v>2844.0400056928706</v>
      </c>
      <c r="M119" s="39">
        <f>H119-I119-J119-K119-L119</f>
        <v>0</v>
      </c>
    </row>
    <row r="120" spans="1:13" ht="14.25" customHeight="1" x14ac:dyDescent="0.35">
      <c r="A120" s="12" t="s">
        <v>209</v>
      </c>
      <c r="F120" s="39">
        <f>F59</f>
        <v>1552.6623636434904</v>
      </c>
      <c r="G120" s="39">
        <f>IF($D$28=0,0,INDEX(BUDGET!$C$177:$R$177,$E$3)/$D$28)</f>
        <v>0</v>
      </c>
      <c r="H120" s="39">
        <f>F120-G120</f>
        <v>1552.6623636434904</v>
      </c>
      <c r="I120" s="39">
        <f>IF($B$28=0,0,('BIAYA BERSAMA'!$E$130-INDEX(BUDGET!$C$177:$R$177,$E$3))/$B$28)</f>
        <v>1552.6623636434904</v>
      </c>
      <c r="J120" s="39">
        <v>0</v>
      </c>
      <c r="K120" s="39">
        <f>IF($B$28=0,0,INDEX(BUDGET!$C$177:$R$177,$E$3)/$B$28)-G120</f>
        <v>0</v>
      </c>
      <c r="L120" s="39">
        <f>IF($B$28=0,0,(E59-'BIAYA BERSAMA'!$E$130)/$B$28)</f>
        <v>0</v>
      </c>
      <c r="M120" s="39">
        <f>H120-I120-J120-K120-L120</f>
        <v>0</v>
      </c>
    </row>
    <row r="121" spans="1:13" ht="14.25" customHeight="1" x14ac:dyDescent="0.35">
      <c r="A121" s="40" t="s">
        <v>210</v>
      </c>
      <c r="B121" s="45"/>
      <c r="C121" s="45"/>
      <c r="D121" s="45"/>
      <c r="E121" s="45"/>
      <c r="F121" s="42">
        <f t="shared" ref="F121:M121" si="18">F117+F118+F119+F120</f>
        <v>8172.5122661453606</v>
      </c>
      <c r="G121" s="42">
        <f t="shared" si="18"/>
        <v>0</v>
      </c>
      <c r="H121" s="42">
        <f t="shared" si="18"/>
        <v>8172.5122661453606</v>
      </c>
      <c r="I121" s="42">
        <f t="shared" si="18"/>
        <v>3958.7104072385446</v>
      </c>
      <c r="J121" s="42">
        <f t="shared" si="18"/>
        <v>0</v>
      </c>
      <c r="K121" s="42">
        <f t="shared" si="18"/>
        <v>0</v>
      </c>
      <c r="L121" s="42">
        <f t="shared" si="18"/>
        <v>4213.8018589068161</v>
      </c>
      <c r="M121" s="42">
        <f t="shared" si="18"/>
        <v>0</v>
      </c>
    </row>
    <row r="122" spans="1:13" ht="14.25" customHeight="1" x14ac:dyDescent="0.35">
      <c r="A122" s="40" t="s">
        <v>211</v>
      </c>
      <c r="B122" s="45"/>
      <c r="C122" s="45"/>
      <c r="D122" s="45"/>
      <c r="E122" s="45"/>
      <c r="F122" s="42">
        <f t="shared" ref="F122:M122" si="19">F101+F103+F105+F112+F114+F116+F121</f>
        <v>37609.500793107858</v>
      </c>
      <c r="G122" s="42">
        <f t="shared" si="19"/>
        <v>0</v>
      </c>
      <c r="H122" s="42">
        <f t="shared" si="19"/>
        <v>37609.500793107858</v>
      </c>
      <c r="I122" s="42">
        <f t="shared" si="19"/>
        <v>31682.571212191277</v>
      </c>
      <c r="J122" s="42">
        <f t="shared" si="19"/>
        <v>49.472883779758838</v>
      </c>
      <c r="K122" s="42">
        <f t="shared" si="19"/>
        <v>0</v>
      </c>
      <c r="L122" s="42">
        <f t="shared" si="19"/>
        <v>5877.4566971368167</v>
      </c>
      <c r="M122" s="42">
        <f t="shared" si="19"/>
        <v>7.9580786405131221E-13</v>
      </c>
    </row>
    <row r="123" spans="1:13" ht="14.25" customHeight="1" x14ac:dyDescent="0.35">
      <c r="A123" s="5" t="s">
        <v>362</v>
      </c>
      <c r="G123" s="39">
        <f>G122*$D$28-INDEX(BUDGET!$C$178:$R$178,$E$3)</f>
        <v>0</v>
      </c>
    </row>
    <row r="124" spans="1:13" ht="25.5" customHeight="1" x14ac:dyDescent="0.35"/>
    <row r="125" spans="1:13" ht="14.25" customHeight="1" x14ac:dyDescent="0.35">
      <c r="A125" s="9" t="s">
        <v>404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spans="1:13" ht="22.5" customHeight="1" x14ac:dyDescent="0.35">
      <c r="A126" s="11" t="s">
        <v>4</v>
      </c>
      <c r="B126" s="11" t="s">
        <v>213</v>
      </c>
      <c r="C126" s="11" t="s">
        <v>214</v>
      </c>
      <c r="D126" s="11" t="s">
        <v>215</v>
      </c>
      <c r="E126" s="11" t="s">
        <v>20</v>
      </c>
    </row>
    <row r="127" spans="1:13" ht="24" customHeight="1" x14ac:dyDescent="0.35">
      <c r="A127" s="12" t="s">
        <v>216</v>
      </c>
      <c r="B127" s="50">
        <v>50</v>
      </c>
      <c r="C127" s="38">
        <f>-E40/10^6</f>
        <v>-113.01529999999993</v>
      </c>
      <c r="D127" s="51"/>
      <c r="E127" s="38">
        <f t="shared" ref="E127:E138" si="20">C127-D127</f>
        <v>-113.01529999999993</v>
      </c>
    </row>
    <row r="128" spans="1:13" ht="14.25" customHeight="1" x14ac:dyDescent="0.35">
      <c r="A128" s="12" t="s">
        <v>217</v>
      </c>
      <c r="B128" s="50">
        <v>51</v>
      </c>
      <c r="C128" s="38">
        <f>-E42/10^6</f>
        <v>-32.502549484535983</v>
      </c>
      <c r="D128" s="51"/>
      <c r="E128" s="38">
        <f t="shared" si="20"/>
        <v>-32.502549484535983</v>
      </c>
    </row>
    <row r="129" spans="1:13" ht="14.25" customHeight="1" x14ac:dyDescent="0.35">
      <c r="A129" s="12" t="s">
        <v>144</v>
      </c>
      <c r="B129" s="50">
        <v>52</v>
      </c>
      <c r="C129" s="38">
        <f>-E43/10^6</f>
        <v>-23.315034514017405</v>
      </c>
      <c r="D129" s="51"/>
      <c r="E129" s="38">
        <f t="shared" si="20"/>
        <v>-23.315034514017405</v>
      </c>
    </row>
    <row r="130" spans="1:13" ht="14.25" customHeight="1" x14ac:dyDescent="0.35">
      <c r="A130" s="12" t="s">
        <v>218</v>
      </c>
      <c r="B130" s="50">
        <v>53</v>
      </c>
      <c r="C130" s="38">
        <f>-E51/10^6</f>
        <v>-4.7678181949775524</v>
      </c>
      <c r="D130" s="51"/>
      <c r="E130" s="38">
        <f t="shared" si="20"/>
        <v>-4.7678181949775524</v>
      </c>
    </row>
    <row r="131" spans="1:13" ht="14.25" customHeight="1" x14ac:dyDescent="0.35">
      <c r="A131" s="12" t="s">
        <v>219</v>
      </c>
      <c r="B131" s="50">
        <v>54</v>
      </c>
      <c r="C131" s="38">
        <f>-E54/10^6</f>
        <v>0</v>
      </c>
      <c r="D131" s="51"/>
      <c r="E131" s="38">
        <f t="shared" si="20"/>
        <v>0</v>
      </c>
    </row>
    <row r="132" spans="1:13" ht="14.25" customHeight="1" x14ac:dyDescent="0.35">
      <c r="A132" s="12" t="s">
        <v>220</v>
      </c>
      <c r="B132" s="50">
        <v>55</v>
      </c>
      <c r="C132" s="38">
        <f>-E55/10^6</f>
        <v>-24.083394259285729</v>
      </c>
      <c r="D132" s="51"/>
      <c r="E132" s="38">
        <f t="shared" si="20"/>
        <v>-24.083394259285729</v>
      </c>
    </row>
    <row r="133" spans="1:13" ht="14.25" customHeight="1" x14ac:dyDescent="0.35">
      <c r="A133" s="12" t="s">
        <v>221</v>
      </c>
      <c r="B133" s="50">
        <v>56</v>
      </c>
      <c r="C133" s="38">
        <f>-E60/10^6</f>
        <v>-54.882506123299166</v>
      </c>
      <c r="D133" s="51"/>
      <c r="E133" s="38">
        <f t="shared" si="20"/>
        <v>-54.882506123299166</v>
      </c>
    </row>
    <row r="134" spans="1:13" ht="14.25" customHeight="1" x14ac:dyDescent="0.35">
      <c r="A134" s="12" t="s">
        <v>222</v>
      </c>
      <c r="B134" s="50">
        <v>58</v>
      </c>
      <c r="C134" s="38">
        <f>-E68/10^6</f>
        <v>0</v>
      </c>
      <c r="D134" s="51"/>
      <c r="E134" s="38">
        <f t="shared" si="20"/>
        <v>0</v>
      </c>
    </row>
    <row r="135" spans="1:13" ht="14.25" customHeight="1" x14ac:dyDescent="0.35">
      <c r="A135" s="12" t="s">
        <v>225</v>
      </c>
      <c r="B135" s="50">
        <v>59</v>
      </c>
      <c r="C135" s="38">
        <f>-E66/10^6</f>
        <v>0</v>
      </c>
      <c r="D135" s="51"/>
      <c r="E135" s="38">
        <f t="shared" si="20"/>
        <v>0</v>
      </c>
    </row>
    <row r="136" spans="1:13" ht="14.25" customHeight="1" x14ac:dyDescent="0.35">
      <c r="A136" s="12" t="s">
        <v>226</v>
      </c>
      <c r="B136" s="50">
        <v>60</v>
      </c>
      <c r="C136" s="38">
        <f>E73/10^6</f>
        <v>0</v>
      </c>
      <c r="D136" s="51"/>
      <c r="E136" s="38">
        <f t="shared" si="20"/>
        <v>0</v>
      </c>
    </row>
    <row r="137" spans="1:13" ht="14.25" customHeight="1" x14ac:dyDescent="0.35">
      <c r="A137" s="12" t="s">
        <v>227</v>
      </c>
      <c r="B137" s="50">
        <v>61</v>
      </c>
      <c r="C137" s="38">
        <f>-E80/10^6</f>
        <v>0</v>
      </c>
      <c r="D137" s="51"/>
      <c r="E137" s="38">
        <f t="shared" si="20"/>
        <v>0</v>
      </c>
    </row>
    <row r="138" spans="1:13" ht="14.25" customHeight="1" x14ac:dyDescent="0.35">
      <c r="A138" s="12" t="s">
        <v>228</v>
      </c>
      <c r="B138" s="50">
        <v>62</v>
      </c>
      <c r="C138" s="38">
        <f>E85/10^6</f>
        <v>0</v>
      </c>
      <c r="D138" s="51"/>
      <c r="E138" s="38">
        <f t="shared" si="20"/>
        <v>0</v>
      </c>
    </row>
    <row r="139" spans="1:13" ht="14.25" customHeight="1" x14ac:dyDescent="0.35">
      <c r="A139" s="40" t="s">
        <v>405</v>
      </c>
      <c r="B139" s="52">
        <v>48</v>
      </c>
      <c r="C139" s="41">
        <f>SUM(C127:C138)</f>
        <v>-252.56660257611577</v>
      </c>
      <c r="D139" s="41">
        <f>SUM(D127:D138)</f>
        <v>0</v>
      </c>
      <c r="E139" s="41">
        <f>SUM(E127:E138)</f>
        <v>-252.56660257611577</v>
      </c>
    </row>
    <row r="140" spans="1:13" ht="14.25" customHeight="1" x14ac:dyDescent="0.35">
      <c r="A140" s="3" t="s">
        <v>406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24" customHeight="1" x14ac:dyDescent="0.35"/>
    <row r="142" spans="1:13" ht="14.25" customHeight="1" x14ac:dyDescent="0.35">
      <c r="A142" s="9" t="s">
        <v>230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spans="1:13" ht="14.25" customHeight="1" x14ac:dyDescent="0.35">
      <c r="A143" s="11" t="s">
        <v>202</v>
      </c>
      <c r="B143" s="11"/>
      <c r="C143" s="11" t="s">
        <v>231</v>
      </c>
      <c r="D143" s="11" t="s">
        <v>50</v>
      </c>
    </row>
    <row r="144" spans="1:13" ht="14.25" customHeight="1" x14ac:dyDescent="0.35">
      <c r="A144" s="12" t="s">
        <v>232</v>
      </c>
      <c r="C144" s="46">
        <f>B29-B34</f>
        <v>0</v>
      </c>
      <c r="D144" s="7" t="str">
        <f>IF(ISERROR(C144),"GAGAL",IF(ABS(C144)&lt;=0.01,"LULUS","GAGAL"))</f>
        <v>LULUS</v>
      </c>
    </row>
    <row r="145" spans="1:4" ht="14.25" customHeight="1" x14ac:dyDescent="0.35">
      <c r="A145" s="12" t="s">
        <v>233</v>
      </c>
      <c r="C145" s="46">
        <f>E75</f>
        <v>0</v>
      </c>
      <c r="D145" s="7" t="str">
        <f>IF(ISERROR(C145),"GAGAL",IF(ABS(C145)&lt;=1,"LULUS","GAGAL"))</f>
        <v>LULUS</v>
      </c>
    </row>
    <row r="146" spans="1:4" ht="14.25" customHeight="1" x14ac:dyDescent="0.35">
      <c r="A146" s="12" t="s">
        <v>234</v>
      </c>
      <c r="C146" s="46">
        <f>B75</f>
        <v>0</v>
      </c>
      <c r="D146" s="7" t="str">
        <f>IF(ISERROR(C146),"GAGAL",IF(ABS(C146)&lt;=0.01,"LULUS","GAGAL"))</f>
        <v>LULUS</v>
      </c>
    </row>
    <row r="147" spans="1:4" ht="14.25" customHeight="1" x14ac:dyDescent="0.35">
      <c r="A147" s="12" t="s">
        <v>235</v>
      </c>
      <c r="C147" s="46">
        <f>$G$214-C218</f>
        <v>8.6426734924316406E-7</v>
      </c>
      <c r="D147" s="7" t="str">
        <f>IF(ISERROR(C147),"GAGAL",IF(ABS(C147)&lt;=1,"LULUS","GAGAL"))</f>
        <v>LULUS</v>
      </c>
    </row>
    <row r="148" spans="1:4" ht="14.25" customHeight="1" x14ac:dyDescent="0.35">
      <c r="A148" s="12" t="s">
        <v>236</v>
      </c>
      <c r="C148" s="46">
        <f>C222-C223</f>
        <v>-6.5565109252929688E-7</v>
      </c>
      <c r="D148" s="7" t="str">
        <f>IF(ISERROR(C148),"GAGAL",IF(ABS(C148)&lt;=1,"LULUS","GAGAL"))</f>
        <v>LULUS</v>
      </c>
    </row>
    <row r="149" spans="1:4" ht="14.25" customHeight="1" x14ac:dyDescent="0.35">
      <c r="A149" s="12" t="s">
        <v>237</v>
      </c>
      <c r="C149" s="46">
        <f>SUMPRODUCT(ABS(M100:M122))</f>
        <v>2.8421709430404007E-12</v>
      </c>
      <c r="D149" s="7" t="str">
        <f>IF(ISERROR(C149),"GAGAL",IF(ABS(C149)&lt;=1,"LULUS","GAGAL"))</f>
        <v>LULUS</v>
      </c>
    </row>
    <row r="150" spans="1:4" ht="14.25" customHeight="1" x14ac:dyDescent="0.35">
      <c r="A150" s="12" t="s">
        <v>238</v>
      </c>
      <c r="C150" s="46">
        <f>G123</f>
        <v>0</v>
      </c>
      <c r="D150" s="7" t="str">
        <f>IF(ISERROR(C150),"GAGAL",IF(ABS(C150)&lt;=1,"LULUS","GAGAL"))</f>
        <v>LULUS</v>
      </c>
    </row>
    <row r="151" spans="1:4" ht="14.25" customHeight="1" x14ac:dyDescent="0.35">
      <c r="A151" s="12" t="s">
        <v>239</v>
      </c>
      <c r="C151" s="46">
        <f>INDEX(BUDGET!$C$195:$R$195,$E$3)</f>
        <v>0</v>
      </c>
      <c r="D151" s="7" t="str">
        <f>IF(ISERROR(C151),"GAGAL",IF(ABS(C151)&lt;=1,"LULUS","GAGAL"))</f>
        <v>LULUS</v>
      </c>
    </row>
    <row r="152" spans="1:4" ht="14.25" customHeight="1" x14ac:dyDescent="0.35">
      <c r="A152" s="12" t="s">
        <v>240</v>
      </c>
      <c r="C152" s="46">
        <f>C139+E94/10^6</f>
        <v>0</v>
      </c>
      <c r="D152" s="7" t="str">
        <f>IF(ISERROR(C152),"GAGAL",IF(ABS(C152)&lt;=0.001,"LULUS","GAGAL"))</f>
        <v>LULUS</v>
      </c>
    </row>
    <row r="153" spans="1:4" ht="14.25" customHeight="1" x14ac:dyDescent="0.35">
      <c r="A153" s="12" t="s">
        <v>241</v>
      </c>
      <c r="C153" s="46">
        <f>SUMPRODUCT(--ISERROR(A6:M139))</f>
        <v>0</v>
      </c>
      <c r="D153" s="7" t="str">
        <f>IF(ISERROR(C153),"GAGAL",IF(ABS(C153)&lt;=0.5,"LULUS","GAGAL"))</f>
        <v>LULUS</v>
      </c>
    </row>
    <row r="154" spans="1:4" ht="14.25" customHeight="1" x14ac:dyDescent="0.35">
      <c r="A154" s="12" t="s">
        <v>242</v>
      </c>
      <c r="D154" s="7" t="str">
        <f>'BIAYA BERSAMA'!$D$139</f>
        <v>LULUS</v>
      </c>
    </row>
    <row r="185" spans="1:13" ht="14.25" customHeight="1" x14ac:dyDescent="0.35">
      <c r="A185" s="9" t="s">
        <v>243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spans="1:13" ht="14.25" customHeight="1" x14ac:dyDescent="0.35">
      <c r="A186" s="11" t="s">
        <v>4</v>
      </c>
      <c r="B186" s="11" t="s">
        <v>133</v>
      </c>
      <c r="C186" s="11" t="s">
        <v>231</v>
      </c>
      <c r="D186" s="11" t="s">
        <v>244</v>
      </c>
      <c r="E186" s="11" t="s">
        <v>74</v>
      </c>
    </row>
    <row r="187" spans="1:13" ht="24" customHeight="1" x14ac:dyDescent="0.35">
      <c r="A187" s="12" t="s">
        <v>245</v>
      </c>
      <c r="B187" s="12" t="s">
        <v>137</v>
      </c>
      <c r="C187" s="53">
        <v>0</v>
      </c>
      <c r="D187" s="12" t="s">
        <v>246</v>
      </c>
      <c r="E187" s="12" t="s">
        <v>407</v>
      </c>
    </row>
    <row r="188" spans="1:13" ht="14.25" customHeight="1" x14ac:dyDescent="0.35">
      <c r="A188" s="12" t="s">
        <v>124</v>
      </c>
      <c r="B188" s="12" t="s">
        <v>137</v>
      </c>
      <c r="C188" s="53">
        <v>6715.5</v>
      </c>
      <c r="D188" s="12" t="s">
        <v>246</v>
      </c>
      <c r="E188" s="12" t="s">
        <v>408</v>
      </c>
    </row>
    <row r="189" spans="1:13" ht="14.25" customHeight="1" x14ac:dyDescent="0.35">
      <c r="A189" s="12" t="s">
        <v>249</v>
      </c>
      <c r="B189" s="12" t="s">
        <v>137</v>
      </c>
      <c r="C189" s="53">
        <v>0</v>
      </c>
      <c r="D189" s="12" t="s">
        <v>246</v>
      </c>
      <c r="E189" s="12" t="s">
        <v>409</v>
      </c>
    </row>
    <row r="190" spans="1:13" ht="14.25" customHeight="1" x14ac:dyDescent="0.35">
      <c r="A190" s="12" t="s">
        <v>251</v>
      </c>
      <c r="B190" s="12" t="s">
        <v>137</v>
      </c>
      <c r="C190" s="53">
        <v>0</v>
      </c>
      <c r="D190" s="12" t="s">
        <v>246</v>
      </c>
      <c r="E190" s="12" t="s">
        <v>367</v>
      </c>
    </row>
    <row r="191" spans="1:13" ht="14.25" customHeight="1" x14ac:dyDescent="0.35">
      <c r="A191" s="12" t="s">
        <v>253</v>
      </c>
      <c r="B191" s="12" t="s">
        <v>137</v>
      </c>
      <c r="C191" s="53">
        <v>0</v>
      </c>
      <c r="D191" s="12" t="s">
        <v>246</v>
      </c>
      <c r="E191" s="12" t="s">
        <v>368</v>
      </c>
    </row>
    <row r="192" spans="1:13" ht="14.25" customHeight="1" x14ac:dyDescent="0.35">
      <c r="A192" s="12" t="s">
        <v>255</v>
      </c>
      <c r="B192" s="12" t="s">
        <v>140</v>
      </c>
      <c r="C192" s="54">
        <v>0</v>
      </c>
      <c r="D192" s="12" t="s">
        <v>246</v>
      </c>
      <c r="E192" s="12" t="s">
        <v>410</v>
      </c>
    </row>
    <row r="193" spans="1:13" ht="14.25" customHeight="1" x14ac:dyDescent="0.35">
      <c r="A193" s="12" t="s">
        <v>370</v>
      </c>
      <c r="B193" s="12" t="s">
        <v>140</v>
      </c>
      <c r="C193" s="33">
        <v>0</v>
      </c>
      <c r="D193" s="12" t="s">
        <v>246</v>
      </c>
      <c r="E193" s="12" t="s">
        <v>411</v>
      </c>
    </row>
    <row r="194" spans="1:13" ht="14.25" customHeight="1" x14ac:dyDescent="0.35">
      <c r="A194" s="12" t="s">
        <v>372</v>
      </c>
      <c r="B194" s="12" t="s">
        <v>137</v>
      </c>
      <c r="C194" s="53">
        <v>0</v>
      </c>
      <c r="D194" s="12" t="s">
        <v>246</v>
      </c>
      <c r="E194" s="12" t="s">
        <v>373</v>
      </c>
    </row>
    <row r="195" spans="1:13" ht="14.25" customHeight="1" x14ac:dyDescent="0.35">
      <c r="A195" s="12" t="s">
        <v>261</v>
      </c>
      <c r="B195" s="12" t="s">
        <v>262</v>
      </c>
      <c r="C195" s="53">
        <v>1109</v>
      </c>
      <c r="D195" s="12" t="s">
        <v>246</v>
      </c>
      <c r="E195" s="12" t="s">
        <v>412</v>
      </c>
    </row>
    <row r="196" spans="1:13" ht="14.25" customHeight="1" x14ac:dyDescent="0.35">
      <c r="A196" s="12" t="s">
        <v>264</v>
      </c>
      <c r="B196" s="12" t="s">
        <v>265</v>
      </c>
      <c r="C196" s="53">
        <v>458.27533866666698</v>
      </c>
      <c r="D196" s="12" t="s">
        <v>246</v>
      </c>
      <c r="E196" s="12" t="s">
        <v>413</v>
      </c>
    </row>
    <row r="197" spans="1:13" ht="14.25" customHeight="1" x14ac:dyDescent="0.35">
      <c r="A197" s="12" t="s">
        <v>376</v>
      </c>
      <c r="B197" s="12" t="s">
        <v>137</v>
      </c>
      <c r="C197" s="53">
        <v>0</v>
      </c>
      <c r="D197" s="12" t="s">
        <v>246</v>
      </c>
      <c r="E197" s="12" t="s">
        <v>414</v>
      </c>
    </row>
    <row r="198" spans="1:13" ht="14.25" customHeight="1" x14ac:dyDescent="0.35">
      <c r="A198" s="12" t="s">
        <v>378</v>
      </c>
      <c r="B198" s="12" t="s">
        <v>140</v>
      </c>
      <c r="C198" s="54">
        <v>0</v>
      </c>
      <c r="D198" s="12" t="s">
        <v>246</v>
      </c>
      <c r="E198" s="12" t="s">
        <v>415</v>
      </c>
    </row>
    <row r="199" spans="1:13" ht="14.25" customHeight="1" x14ac:dyDescent="0.35">
      <c r="A199" s="12" t="s">
        <v>380</v>
      </c>
      <c r="B199" s="12" t="s">
        <v>137</v>
      </c>
      <c r="C199" s="53">
        <v>6715.5</v>
      </c>
      <c r="D199" s="12" t="s">
        <v>246</v>
      </c>
      <c r="E199" s="12" t="s">
        <v>416</v>
      </c>
    </row>
    <row r="200" spans="1:13" ht="14.25" customHeight="1" x14ac:dyDescent="0.35">
      <c r="A200" s="12" t="s">
        <v>382</v>
      </c>
      <c r="B200" s="12" t="s">
        <v>137</v>
      </c>
      <c r="C200" s="55">
        <v>0</v>
      </c>
      <c r="D200" s="12" t="s">
        <v>246</v>
      </c>
      <c r="E200" s="12" t="s">
        <v>417</v>
      </c>
    </row>
    <row r="201" spans="1:13" ht="14.25" customHeight="1" x14ac:dyDescent="0.35">
      <c r="A201" s="12" t="s">
        <v>275</v>
      </c>
      <c r="B201" s="12" t="s">
        <v>140</v>
      </c>
      <c r="C201" s="33">
        <v>-974521.91</v>
      </c>
      <c r="D201" s="12" t="s">
        <v>246</v>
      </c>
      <c r="E201" s="12" t="s">
        <v>418</v>
      </c>
    </row>
    <row r="202" spans="1:13" ht="14.25" customHeight="1" x14ac:dyDescent="0.35">
      <c r="A202" s="12" t="s">
        <v>286</v>
      </c>
      <c r="B202" s="12" t="s">
        <v>287</v>
      </c>
      <c r="C202" s="57">
        <v>22.296700000000001</v>
      </c>
      <c r="D202" s="12" t="s">
        <v>284</v>
      </c>
      <c r="E202" s="12" t="s">
        <v>288</v>
      </c>
    </row>
    <row r="203" spans="1:13" ht="14.25" customHeight="1" x14ac:dyDescent="0.35">
      <c r="A203" s="12" t="s">
        <v>419</v>
      </c>
      <c r="B203" s="12" t="s">
        <v>140</v>
      </c>
      <c r="C203" s="54">
        <v>321672450</v>
      </c>
      <c r="D203" s="12" t="s">
        <v>246</v>
      </c>
      <c r="E203" s="12" t="s">
        <v>420</v>
      </c>
    </row>
    <row r="205" spans="1:13" ht="14.25" customHeight="1" x14ac:dyDescent="0.35">
      <c r="A205" s="9" t="s">
        <v>291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spans="1:13" ht="22.5" customHeight="1" x14ac:dyDescent="0.35">
      <c r="A206" s="11" t="s">
        <v>292</v>
      </c>
      <c r="B206" s="11" t="s">
        <v>293</v>
      </c>
      <c r="C206" s="11" t="s">
        <v>294</v>
      </c>
      <c r="D206" s="11" t="s">
        <v>132</v>
      </c>
      <c r="E206" s="11" t="s">
        <v>133</v>
      </c>
      <c r="F206" s="11" t="s">
        <v>295</v>
      </c>
      <c r="G206" s="11" t="s">
        <v>73</v>
      </c>
      <c r="H206" s="11" t="s">
        <v>244</v>
      </c>
      <c r="I206" s="11" t="s">
        <v>74</v>
      </c>
    </row>
    <row r="207" spans="1:13" ht="24" customHeight="1" x14ac:dyDescent="0.35">
      <c r="A207" s="12" t="s">
        <v>421</v>
      </c>
      <c r="B207" s="12" t="s">
        <v>104</v>
      </c>
      <c r="C207" s="12" t="s">
        <v>387</v>
      </c>
      <c r="D207" s="53">
        <v>24028</v>
      </c>
      <c r="E207" s="12" t="s">
        <v>137</v>
      </c>
      <c r="F207" s="56">
        <v>4703.4834359913402</v>
      </c>
      <c r="G207" s="39">
        <f t="shared" ref="G207:G213" si="21">D207*F207</f>
        <v>113015299.99999993</v>
      </c>
      <c r="H207" s="12" t="s">
        <v>246</v>
      </c>
      <c r="I207" s="12" t="s">
        <v>422</v>
      </c>
    </row>
    <row r="208" spans="1:13" ht="14.25" customHeight="1" x14ac:dyDescent="0.35">
      <c r="A208" s="12" t="s">
        <v>302</v>
      </c>
      <c r="B208" s="12" t="s">
        <v>105</v>
      </c>
      <c r="C208" s="12" t="s">
        <v>303</v>
      </c>
      <c r="D208" s="53">
        <v>1856</v>
      </c>
      <c r="E208" s="12" t="s">
        <v>137</v>
      </c>
      <c r="F208" s="56">
        <v>17512.1495067543</v>
      </c>
      <c r="G208" s="39">
        <f t="shared" si="21"/>
        <v>32502549.484535981</v>
      </c>
      <c r="H208" s="12" t="s">
        <v>246</v>
      </c>
      <c r="I208" s="12" t="s">
        <v>423</v>
      </c>
    </row>
    <row r="209" spans="1:13" ht="14.25" customHeight="1" x14ac:dyDescent="0.35">
      <c r="A209" s="12" t="s">
        <v>106</v>
      </c>
      <c r="B209" s="12" t="s">
        <v>106</v>
      </c>
      <c r="C209" s="12" t="s">
        <v>106</v>
      </c>
      <c r="D209" s="53">
        <v>2298.4106961491102</v>
      </c>
      <c r="E209" s="12" t="s">
        <v>305</v>
      </c>
      <c r="F209" s="56">
        <v>10143.981035713399</v>
      </c>
      <c r="G209" s="39">
        <f t="shared" si="21"/>
        <v>23315034.514017407</v>
      </c>
      <c r="H209" s="12" t="s">
        <v>246</v>
      </c>
      <c r="I209" s="12" t="s">
        <v>424</v>
      </c>
    </row>
    <row r="210" spans="1:13" ht="14.25" customHeight="1" x14ac:dyDescent="0.35">
      <c r="A210" s="12" t="s">
        <v>317</v>
      </c>
      <c r="B210" s="12" t="s">
        <v>308</v>
      </c>
      <c r="C210" s="12" t="s">
        <v>318</v>
      </c>
      <c r="D210" s="53">
        <v>136</v>
      </c>
      <c r="E210" s="12" t="s">
        <v>137</v>
      </c>
      <c r="F210" s="56">
        <v>32614.581205548398</v>
      </c>
      <c r="G210" s="39">
        <f t="shared" si="21"/>
        <v>4435583.043954582</v>
      </c>
      <c r="H210" s="12" t="s">
        <v>246</v>
      </c>
      <c r="I210" s="12" t="s">
        <v>425</v>
      </c>
    </row>
    <row r="211" spans="1:13" ht="14.25" customHeight="1" x14ac:dyDescent="0.35">
      <c r="A211" s="12" t="s">
        <v>329</v>
      </c>
      <c r="B211" s="12" t="s">
        <v>308</v>
      </c>
      <c r="C211" s="12" t="s">
        <v>324</v>
      </c>
      <c r="D211" s="53">
        <v>26</v>
      </c>
      <c r="E211" s="12" t="s">
        <v>327</v>
      </c>
      <c r="F211" s="56">
        <v>6600</v>
      </c>
      <c r="G211" s="39">
        <f t="shared" si="21"/>
        <v>171600</v>
      </c>
      <c r="H211" s="12" t="s">
        <v>246</v>
      </c>
      <c r="I211" s="12" t="s">
        <v>426</v>
      </c>
    </row>
    <row r="212" spans="1:13" ht="14.25" customHeight="1" x14ac:dyDescent="0.35">
      <c r="A212" s="12" t="s">
        <v>326</v>
      </c>
      <c r="B212" s="12" t="s">
        <v>308</v>
      </c>
      <c r="C212" s="12" t="s">
        <v>324</v>
      </c>
      <c r="D212" s="53">
        <v>2.6</v>
      </c>
      <c r="E212" s="12" t="s">
        <v>327</v>
      </c>
      <c r="F212" s="56">
        <v>23970.250393450198</v>
      </c>
      <c r="G212" s="39">
        <f t="shared" si="21"/>
        <v>62322.651022970516</v>
      </c>
      <c r="H212" s="12" t="s">
        <v>246</v>
      </c>
      <c r="I212" s="12" t="s">
        <v>427</v>
      </c>
    </row>
    <row r="213" spans="1:13" ht="14.25" customHeight="1" x14ac:dyDescent="0.35">
      <c r="A213" s="12" t="s">
        <v>428</v>
      </c>
      <c r="B213" s="12" t="s">
        <v>308</v>
      </c>
      <c r="C213" s="12" t="s">
        <v>324</v>
      </c>
      <c r="D213" s="53">
        <v>1.3</v>
      </c>
      <c r="E213" s="12" t="s">
        <v>137</v>
      </c>
      <c r="F213" s="56">
        <v>75625</v>
      </c>
      <c r="G213" s="39">
        <f t="shared" si="21"/>
        <v>98312.5</v>
      </c>
      <c r="H213" s="12" t="s">
        <v>246</v>
      </c>
      <c r="I213" s="12" t="s">
        <v>429</v>
      </c>
    </row>
    <row r="214" spans="1:13" ht="14.25" customHeight="1" x14ac:dyDescent="0.35">
      <c r="A214" s="40" t="s">
        <v>336</v>
      </c>
      <c r="B214" s="45"/>
      <c r="C214" s="45"/>
      <c r="D214" s="45"/>
      <c r="E214" s="45"/>
      <c r="F214" s="45"/>
      <c r="G214" s="42">
        <f>SUM(G207:G213)</f>
        <v>173600702.19353086</v>
      </c>
      <c r="H214" s="45"/>
      <c r="I214" s="45"/>
    </row>
    <row r="216" spans="1:13" ht="14.25" customHeight="1" x14ac:dyDescent="0.35">
      <c r="A216" s="9" t="s">
        <v>338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spans="1:13" ht="22.5" customHeight="1" x14ac:dyDescent="0.35">
      <c r="A217" s="11" t="s">
        <v>99</v>
      </c>
      <c r="B217" s="11"/>
      <c r="C217" s="11" t="s">
        <v>339</v>
      </c>
      <c r="D217" s="11" t="s">
        <v>340</v>
      </c>
      <c r="E217" s="11" t="s">
        <v>341</v>
      </c>
      <c r="F217" s="11" t="s">
        <v>342</v>
      </c>
    </row>
    <row r="218" spans="1:13" ht="24" customHeight="1" x14ac:dyDescent="0.35">
      <c r="A218" s="12" t="s">
        <v>343</v>
      </c>
      <c r="C218" s="54">
        <v>173600702.19352999</v>
      </c>
      <c r="D218" s="39">
        <f>E52</f>
        <v>173600702.19353086</v>
      </c>
      <c r="E218" s="39">
        <f>D218-C218</f>
        <v>8.6426734924316406E-7</v>
      </c>
      <c r="F218" s="12" t="s">
        <v>344</v>
      </c>
    </row>
    <row r="219" spans="1:13" ht="14.25" customHeight="1" x14ac:dyDescent="0.35">
      <c r="A219" s="12" t="s">
        <v>108</v>
      </c>
      <c r="C219" s="54">
        <v>0</v>
      </c>
      <c r="D219" s="39">
        <f>E54</f>
        <v>0</v>
      </c>
      <c r="E219" s="39">
        <f>D219-C219</f>
        <v>0</v>
      </c>
      <c r="F219" s="12" t="s">
        <v>345</v>
      </c>
    </row>
    <row r="220" spans="1:13" ht="14.25" customHeight="1" x14ac:dyDescent="0.35">
      <c r="A220" s="12" t="s">
        <v>206</v>
      </c>
      <c r="C220" s="54">
        <v>19884569.079561502</v>
      </c>
      <c r="D220" s="39">
        <f>E55</f>
        <v>24083394.259285729</v>
      </c>
      <c r="E220" s="39">
        <f>D220-C220</f>
        <v>4198825.1797242276</v>
      </c>
      <c r="F220" s="12" t="s">
        <v>346</v>
      </c>
    </row>
    <row r="221" spans="1:13" ht="14.25" customHeight="1" x14ac:dyDescent="0.35">
      <c r="A221" s="12" t="s">
        <v>347</v>
      </c>
      <c r="C221" s="54">
        <v>495655.21192787198</v>
      </c>
      <c r="D221" s="39">
        <f>E60</f>
        <v>54882506.123299167</v>
      </c>
      <c r="E221" s="39">
        <f>D221-C221</f>
        <v>54386850.911371298</v>
      </c>
      <c r="F221" s="12" t="s">
        <v>348</v>
      </c>
    </row>
    <row r="222" spans="1:13" ht="14.25" customHeight="1" x14ac:dyDescent="0.35">
      <c r="A222" s="40" t="s">
        <v>349</v>
      </c>
      <c r="B222" s="45"/>
      <c r="C222" s="42">
        <f>SUM(C218:C221)</f>
        <v>193980926.48501936</v>
      </c>
      <c r="D222" s="42">
        <f>SUM(D218:D221)</f>
        <v>252566602.57611573</v>
      </c>
      <c r="E222" s="42">
        <f>D222-C222</f>
        <v>58585676.091096371</v>
      </c>
      <c r="F222" s="45"/>
    </row>
    <row r="223" spans="1:13" ht="14.25" customHeight="1" x14ac:dyDescent="0.35">
      <c r="A223" s="5" t="s">
        <v>350</v>
      </c>
      <c r="C223" s="54">
        <v>193980926.48502001</v>
      </c>
    </row>
  </sheetData>
  <mergeCells count="1">
    <mergeCell ref="A140:M140"/>
  </mergeCells>
  <dataValidations count="1">
    <dataValidation type="list" sqref="C3" xr:uid="{00000000-0002-0000-03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10"/>
  <sheetViews>
    <sheetView showGridLines="0" zoomScaleNormal="100" workbookViewId="0">
      <pane xSplit="1" ySplit="8" topLeftCell="E21" activePane="bottomRight" state="frozen"/>
      <selection pane="topRight" activeCell="E1" sqref="E1"/>
      <selection pane="bottomLeft" activeCell="A21" sqref="A21"/>
      <selection pane="bottomRight" activeCell="J44" sqref="J44"/>
    </sheetView>
  </sheetViews>
  <sheetFormatPr defaultColWidth="8.6328125" defaultRowHeight="14.5" x14ac:dyDescent="0.35"/>
  <cols>
    <col min="1" max="1" width="50" customWidth="1"/>
    <col min="2" max="2" width="24" customWidth="1"/>
    <col min="3" max="3" width="13" customWidth="1"/>
    <col min="4" max="5" width="14" customWidth="1"/>
    <col min="6" max="6" width="13" customWidth="1"/>
    <col min="7" max="7" width="16" customWidth="1"/>
    <col min="8" max="9" width="11" customWidth="1"/>
    <col min="10" max="10" width="20" customWidth="1"/>
    <col min="11" max="11" width="40" customWidth="1"/>
    <col min="12" max="12" width="44" customWidth="1"/>
  </cols>
  <sheetData>
    <row r="1" spans="1:12" ht="16.5" customHeight="1" x14ac:dyDescent="0.35">
      <c r="A1" s="4" t="s">
        <v>430</v>
      </c>
    </row>
    <row r="2" spans="1:12" ht="14.25" customHeight="1" x14ac:dyDescent="0.35">
      <c r="A2" s="5"/>
    </row>
    <row r="3" spans="1:12" ht="14.25" customHeight="1" x14ac:dyDescent="0.35">
      <c r="A3" s="5"/>
    </row>
    <row r="5" spans="1:12" ht="14.25" customHeight="1" x14ac:dyDescent="0.35">
      <c r="A5" s="6" t="s">
        <v>94</v>
      </c>
      <c r="C5" s="35" t="s">
        <v>95</v>
      </c>
      <c r="D5" s="36" t="s">
        <v>96</v>
      </c>
      <c r="E5" s="37">
        <f>MATCH(C5,BUDGET!$C$4:$R$4,0)</f>
        <v>1</v>
      </c>
    </row>
    <row r="6" spans="1:12" ht="14.25" customHeight="1" x14ac:dyDescent="0.35">
      <c r="A6" s="6" t="s">
        <v>431</v>
      </c>
      <c r="C6" s="7" t="str">
        <f>IF(AND(COUNTIF(D72:D75,"GAGAL")=0,COUNTIF(D107:D110,"GAGAL")=0),"LULUS","GAGAL")</f>
        <v>LULUS</v>
      </c>
    </row>
    <row r="7" spans="1:12" ht="14.25" customHeight="1" x14ac:dyDescent="0.35">
      <c r="A7" s="6" t="s">
        <v>432</v>
      </c>
      <c r="C7" s="58">
        <v>0</v>
      </c>
      <c r="D7" s="5"/>
    </row>
    <row r="9" spans="1:12" ht="14.25" customHeight="1" x14ac:dyDescent="0.35">
      <c r="A9" s="9" t="s">
        <v>433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24" customHeight="1" x14ac:dyDescent="0.35">
      <c r="A10" s="11" t="s">
        <v>4</v>
      </c>
      <c r="B10" s="11" t="s">
        <v>100</v>
      </c>
      <c r="C10" s="11" t="s">
        <v>434</v>
      </c>
      <c r="D10" s="11" t="s">
        <v>20</v>
      </c>
    </row>
    <row r="11" spans="1:12" ht="14.25" customHeight="1" x14ac:dyDescent="0.35">
      <c r="A11" s="12" t="s">
        <v>435</v>
      </c>
      <c r="B11" s="38">
        <f>(D68+E68+F68)/10^6</f>
        <v>277.66776443774955</v>
      </c>
      <c r="C11" s="38">
        <f>INDEX(BUDGET!$C$198:$R$198,$E$5)/10^6</f>
        <v>0</v>
      </c>
      <c r="D11" s="38">
        <f>B11-C11</f>
        <v>277.66776443774955</v>
      </c>
      <c r="E11" s="5"/>
    </row>
    <row r="12" spans="1:12" ht="14.25" customHeight="1" x14ac:dyDescent="0.35">
      <c r="A12" s="12" t="s">
        <v>436</v>
      </c>
      <c r="B12" s="38">
        <f>(B68+C68)/10^6</f>
        <v>593.31031323425316</v>
      </c>
    </row>
    <row r="13" spans="1:12" ht="14.25" customHeight="1" x14ac:dyDescent="0.35">
      <c r="A13" s="12" t="s">
        <v>437</v>
      </c>
      <c r="B13" s="38">
        <f>(E68+F68)/10^6</f>
        <v>200.99414591931003</v>
      </c>
    </row>
    <row r="14" spans="1:12" ht="14.25" customHeight="1" x14ac:dyDescent="0.35">
      <c r="A14" s="6" t="s">
        <v>438</v>
      </c>
      <c r="B14" s="44">
        <f>G68/10^6</f>
        <v>870.97807767200277</v>
      </c>
      <c r="C14" s="38">
        <f>INDEX(BUDGET!$C$199:$R$199,$E$5)/10^6</f>
        <v>0</v>
      </c>
      <c r="D14" s="38">
        <f>B14-C14</f>
        <v>870.97807767200277</v>
      </c>
    </row>
    <row r="15" spans="1:12" ht="14.25" customHeight="1" x14ac:dyDescent="0.35">
      <c r="A15" s="12" t="s">
        <v>439</v>
      </c>
      <c r="B15" s="39">
        <f>C43</f>
        <v>45653.42</v>
      </c>
    </row>
    <row r="16" spans="1:12" ht="14.25" customHeight="1" x14ac:dyDescent="0.35">
      <c r="A16" s="12" t="s">
        <v>440</v>
      </c>
      <c r="B16" s="39">
        <f>H68</f>
        <v>19078.046675846035</v>
      </c>
    </row>
    <row r="17" spans="1:12" ht="14.25" customHeight="1" x14ac:dyDescent="0.35">
      <c r="A17" s="12" t="s">
        <v>441</v>
      </c>
      <c r="B17" s="38">
        <f>'REKON &amp; KONTROL'!$C$74/10^6</f>
        <v>917.67406059000007</v>
      </c>
    </row>
    <row r="18" spans="1:12" ht="14.25" customHeight="1" x14ac:dyDescent="0.35">
      <c r="A18" s="6" t="s">
        <v>442</v>
      </c>
      <c r="B18" s="44">
        <f>B17-B19</f>
        <v>46.092334982453281</v>
      </c>
      <c r="C18" s="43">
        <f>IF(B17=0,0,B18/B17)</f>
        <v>5.0227348643612245E-2</v>
      </c>
    </row>
    <row r="19" spans="1:12" ht="14.25" customHeight="1" x14ac:dyDescent="0.35">
      <c r="A19" s="6" t="s">
        <v>443</v>
      </c>
      <c r="B19" s="44">
        <f>G93/10^6</f>
        <v>871.58172560754679</v>
      </c>
    </row>
    <row r="20" spans="1:12" ht="14.25" customHeight="1" x14ac:dyDescent="0.35">
      <c r="A20" s="9" t="s">
        <v>444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36" customHeight="1" x14ac:dyDescent="0.35">
      <c r="A21" s="11" t="s">
        <v>445</v>
      </c>
      <c r="B21" s="11" t="s">
        <v>446</v>
      </c>
      <c r="C21" s="11" t="s">
        <v>439</v>
      </c>
      <c r="D21" s="11" t="s">
        <v>447</v>
      </c>
      <c r="E21" s="11" t="s">
        <v>448</v>
      </c>
      <c r="F21" s="11" t="s">
        <v>449</v>
      </c>
      <c r="G21" s="11" t="s">
        <v>450</v>
      </c>
      <c r="H21" s="11" t="s">
        <v>261</v>
      </c>
      <c r="I21" s="11" t="s">
        <v>265</v>
      </c>
      <c r="J21" s="59" t="s">
        <v>74</v>
      </c>
    </row>
    <row r="22" spans="1:12" ht="14.25" customHeight="1" x14ac:dyDescent="0.35">
      <c r="A22" s="12" t="s">
        <v>451</v>
      </c>
      <c r="B22" s="12" t="s">
        <v>452</v>
      </c>
      <c r="C22" s="60">
        <f>'CEM-CEM ORI'!$B$21</f>
        <v>11035.8</v>
      </c>
      <c r="D22" s="60">
        <f>'CEM-CEM ORI'!$B$23</f>
        <v>10411.5</v>
      </c>
      <c r="E22" s="60">
        <f>'CEM-CEM ORI'!$B$24</f>
        <v>0</v>
      </c>
      <c r="F22" s="60">
        <f>'CEM-CEM ORI'!$B$25</f>
        <v>0</v>
      </c>
      <c r="G22" s="61">
        <f>'CEM-CEM ORI'!$E$34</f>
        <v>712800</v>
      </c>
      <c r="H22" s="60">
        <f>'CEM-CEM ORI'!$C$106</f>
        <v>882.28229999999996</v>
      </c>
      <c r="I22" s="60">
        <f>'CEM-CEM ORI'!$C$107</f>
        <v>3936.4737</v>
      </c>
      <c r="J22" s="12" t="s">
        <v>453</v>
      </c>
    </row>
    <row r="23" spans="1:12" ht="14.25" customHeight="1" x14ac:dyDescent="0.35">
      <c r="A23" s="12" t="s">
        <v>454</v>
      </c>
      <c r="B23" s="12" t="s">
        <v>452</v>
      </c>
      <c r="C23" s="60">
        <f>'CEM-CEM BBQ'!$B$21</f>
        <v>10305</v>
      </c>
      <c r="D23" s="60">
        <f>'CEM-CEM BBQ'!$B$23</f>
        <v>9669</v>
      </c>
      <c r="E23" s="60">
        <f>'CEM-CEM BBQ'!$B$24</f>
        <v>0</v>
      </c>
      <c r="F23" s="60">
        <f>'CEM-CEM BBQ'!$B$25</f>
        <v>0</v>
      </c>
      <c r="G23" s="61">
        <f>'CEM-CEM BBQ'!$E$34</f>
        <v>0</v>
      </c>
      <c r="H23" s="60">
        <f>'CEM-CEM BBQ'!$C$106</f>
        <v>787.71770000000004</v>
      </c>
      <c r="I23" s="60">
        <f>'CEM-CEM BBQ'!$C$107</f>
        <v>3528.2620000000002</v>
      </c>
      <c r="J23" s="12" t="s">
        <v>455</v>
      </c>
    </row>
    <row r="24" spans="1:12" ht="14.25" customHeight="1" x14ac:dyDescent="0.35">
      <c r="A24" s="12" t="s">
        <v>456</v>
      </c>
      <c r="B24" s="12" t="s">
        <v>452</v>
      </c>
      <c r="C24" s="60">
        <f>KOPERASI!$M$7</f>
        <v>2967.5</v>
      </c>
      <c r="D24" s="60">
        <f>KOPERASI!$M$9</f>
        <v>10</v>
      </c>
      <c r="E24" s="60">
        <f>KOPERASI!$M$10</f>
        <v>2002</v>
      </c>
      <c r="F24" s="60">
        <f>KOPERASI!$M$11</f>
        <v>770</v>
      </c>
      <c r="G24" s="61">
        <f>KOPERASI!$M$15</f>
        <v>6333602.8489672896</v>
      </c>
      <c r="H24" s="60">
        <f>KOPERASI!$M$12</f>
        <v>89.339699999999993</v>
      </c>
      <c r="I24" s="60">
        <v>0</v>
      </c>
      <c r="J24" s="12" t="s">
        <v>457</v>
      </c>
    </row>
    <row r="25" spans="1:12" ht="14.25" customHeight="1" x14ac:dyDescent="0.35">
      <c r="A25" s="12" t="s">
        <v>458</v>
      </c>
      <c r="B25" s="12" t="s">
        <v>459</v>
      </c>
      <c r="C25" s="60">
        <f>'MCH BASRENG L0'!$B$21+'MCH BASRENG L5'!$B$21+'MCH BASRENG L10'!$B$21</f>
        <v>926.56</v>
      </c>
      <c r="D25" s="60">
        <f>'MCH BASRENG L0'!$B$23+'MCH BASRENG L5'!$B$23+'MCH BASRENG L10'!$B$23</f>
        <v>0</v>
      </c>
      <c r="E25" s="60">
        <f>'MCH BASRENG L0'!$B$24+'MCH BASRENG L5'!$B$24+'MCH BASRENG L10'!$B$24</f>
        <v>0</v>
      </c>
      <c r="F25" s="60">
        <f>'MCH BASRENG L0'!$B$25+'MCH BASRENG L5'!$B$25+'MCH BASRENG L10'!$B$25</f>
        <v>0</v>
      </c>
      <c r="G25" s="61">
        <f>'MCH BASRENG L0'!$E$34+'MCH BASRENG L5'!$E$34+'MCH BASRENG L10'!$E$34</f>
        <v>42696.287090994098</v>
      </c>
      <c r="H25" s="60">
        <f>'MCH BASRENG L0'!$C$106+'MCH BASRENG L5'!$C$106+'MCH BASRENG L10'!$C$106</f>
        <v>61.939900000000002</v>
      </c>
      <c r="I25" s="60">
        <f>'MCH BASRENG L0'!$C$107+'MCH BASRENG L5'!$C$107+'MCH BASRENG L10'!$C$107</f>
        <v>342.88940000000002</v>
      </c>
      <c r="J25" s="12" t="s">
        <v>460</v>
      </c>
    </row>
    <row r="26" spans="1:12" ht="14.25" customHeight="1" x14ac:dyDescent="0.35">
      <c r="A26" s="12" t="s">
        <v>461</v>
      </c>
      <c r="B26" s="12" t="s">
        <v>452</v>
      </c>
      <c r="C26" s="60">
        <f>'MCH KERIPIK LV3'!$B$21+'MCH KERIPIK LV10'!$B$21</f>
        <v>4015.04</v>
      </c>
      <c r="D26" s="60">
        <f>'MCH KERIPIK LV3'!$B$23+'MCH KERIPIK LV10'!$B$23</f>
        <v>2123</v>
      </c>
      <c r="E26" s="60">
        <f>'MCH KERIPIK LV3'!$B$24+'MCH KERIPIK LV10'!$B$24</f>
        <v>1627.781350482318</v>
      </c>
      <c r="F26" s="60">
        <f>'MCH KERIPIK LV3'!$B$25+'MCH KERIPIK LV10'!$B$25</f>
        <v>0</v>
      </c>
      <c r="G26" s="61">
        <f>'MCH KERIPIK LV3'!$E$34+'MCH KERIPIK LV10'!$E$34</f>
        <v>604941.04151813767</v>
      </c>
      <c r="H26" s="60">
        <f>'MCH KERIPIK LV3'!$C$106+'MCH KERIPIK LV10'!$C$106</f>
        <v>257.64890000000003</v>
      </c>
      <c r="I26" s="60">
        <f>'MCH KERIPIK LV3'!$C$107+'MCH KERIPIK LV10'!$C$107</f>
        <v>1557.5872999999999</v>
      </c>
      <c r="J26" s="12" t="s">
        <v>462</v>
      </c>
    </row>
    <row r="27" spans="1:12" ht="14.25" customHeight="1" x14ac:dyDescent="0.35">
      <c r="A27" s="5" t="s">
        <v>463</v>
      </c>
      <c r="B27" s="5" t="s">
        <v>452</v>
      </c>
      <c r="C27" s="60">
        <f>'MCH KERIPIK LV5'!$B$21</f>
        <v>1601.04</v>
      </c>
      <c r="D27" s="60">
        <f>'MCH KERIPIK LV5'!$B$23</f>
        <v>902</v>
      </c>
      <c r="E27" s="60">
        <f>'MCH KERIPIK LV5'!$B$24</f>
        <v>612.21864951768498</v>
      </c>
      <c r="F27" s="60">
        <f>'MCH KERIPIK LV5'!$B$25</f>
        <v>0</v>
      </c>
      <c r="G27" s="61">
        <f>'MCH KERIPIK LV5'!$E$34</f>
        <v>231126.3961158187</v>
      </c>
      <c r="H27" s="60">
        <f>'MCH KERIPIK LV5'!$C$106</f>
        <v>145.22139999999999</v>
      </c>
      <c r="I27" s="60">
        <f>'MCH KERIPIK LV5'!$C$107</f>
        <v>617.84820000000002</v>
      </c>
      <c r="J27" s="12" t="s">
        <v>464</v>
      </c>
    </row>
    <row r="28" spans="1:12" ht="14.25" customHeight="1" x14ac:dyDescent="0.35">
      <c r="A28" s="5" t="s">
        <v>465</v>
      </c>
      <c r="B28" s="5" t="s">
        <v>452</v>
      </c>
      <c r="C28" s="53">
        <v>0</v>
      </c>
      <c r="D28" s="53">
        <v>0</v>
      </c>
      <c r="E28" s="53">
        <v>0</v>
      </c>
      <c r="F28" s="53">
        <v>0</v>
      </c>
      <c r="G28" s="54">
        <v>0</v>
      </c>
      <c r="H28" s="53">
        <v>0</v>
      </c>
      <c r="I28" s="53">
        <v>0</v>
      </c>
    </row>
    <row r="29" spans="1:12" ht="14.25" customHeight="1" x14ac:dyDescent="0.35">
      <c r="A29" s="5" t="s">
        <v>466</v>
      </c>
      <c r="B29" s="5" t="s">
        <v>452</v>
      </c>
      <c r="C29" s="53">
        <v>0</v>
      </c>
      <c r="D29" s="53">
        <v>0</v>
      </c>
      <c r="E29" s="53">
        <v>0</v>
      </c>
      <c r="F29" s="53">
        <v>0</v>
      </c>
      <c r="G29" s="54">
        <v>0</v>
      </c>
      <c r="H29" s="53">
        <v>0</v>
      </c>
      <c r="I29" s="53">
        <v>0</v>
      </c>
    </row>
    <row r="30" spans="1:12" ht="14.25" customHeight="1" x14ac:dyDescent="0.35">
      <c r="A30" s="5" t="s">
        <v>467</v>
      </c>
      <c r="B30" s="5" t="s">
        <v>452</v>
      </c>
      <c r="C30" s="53">
        <v>0</v>
      </c>
      <c r="D30" s="53">
        <v>0</v>
      </c>
      <c r="E30" s="53">
        <v>0</v>
      </c>
      <c r="F30" s="53">
        <v>0</v>
      </c>
      <c r="G30" s="54">
        <v>0</v>
      </c>
      <c r="H30" s="53">
        <v>0</v>
      </c>
      <c r="I30" s="53">
        <v>0</v>
      </c>
    </row>
    <row r="31" spans="1:12" ht="14.25" customHeight="1" x14ac:dyDescent="0.35">
      <c r="A31" s="5" t="s">
        <v>468</v>
      </c>
      <c r="B31" s="5" t="s">
        <v>452</v>
      </c>
      <c r="C31" s="53">
        <v>0</v>
      </c>
      <c r="D31" s="53">
        <v>0</v>
      </c>
      <c r="E31" s="53">
        <v>0</v>
      </c>
      <c r="F31" s="53">
        <v>0</v>
      </c>
      <c r="G31" s="54">
        <v>0</v>
      </c>
      <c r="H31" s="53">
        <v>0</v>
      </c>
      <c r="I31" s="53">
        <v>0</v>
      </c>
    </row>
    <row r="32" spans="1:12" ht="14.25" customHeight="1" x14ac:dyDescent="0.35">
      <c r="A32" s="5" t="s">
        <v>469</v>
      </c>
      <c r="B32" s="5" t="s">
        <v>470</v>
      </c>
      <c r="C32" s="53">
        <v>0</v>
      </c>
      <c r="D32" s="53">
        <v>0</v>
      </c>
      <c r="E32" s="53">
        <v>0</v>
      </c>
      <c r="F32" s="53">
        <v>0</v>
      </c>
      <c r="G32" s="54">
        <v>0</v>
      </c>
      <c r="H32" s="53">
        <v>0</v>
      </c>
      <c r="I32" s="53">
        <v>0</v>
      </c>
    </row>
    <row r="33" spans="1:12" ht="14.25" customHeight="1" x14ac:dyDescent="0.35">
      <c r="A33" s="5" t="s">
        <v>471</v>
      </c>
      <c r="B33" s="5" t="s">
        <v>6</v>
      </c>
      <c r="C33" s="53">
        <v>0</v>
      </c>
      <c r="D33" s="53">
        <v>0</v>
      </c>
      <c r="E33" s="53">
        <v>0</v>
      </c>
      <c r="F33" s="53">
        <v>0</v>
      </c>
      <c r="G33" s="54">
        <v>0</v>
      </c>
      <c r="H33" s="53">
        <v>0</v>
      </c>
      <c r="I33" s="53">
        <v>0</v>
      </c>
    </row>
    <row r="34" spans="1:12" ht="14.25" customHeight="1" x14ac:dyDescent="0.35">
      <c r="A34" s="5" t="s">
        <v>472</v>
      </c>
      <c r="B34" s="5" t="s">
        <v>6</v>
      </c>
      <c r="C34" s="53">
        <v>0</v>
      </c>
      <c r="D34" s="53">
        <v>0</v>
      </c>
      <c r="E34" s="53">
        <v>0</v>
      </c>
      <c r="F34" s="53">
        <v>0</v>
      </c>
      <c r="G34" s="54">
        <v>0</v>
      </c>
      <c r="H34" s="53">
        <v>0</v>
      </c>
      <c r="I34" s="53">
        <v>0</v>
      </c>
    </row>
    <row r="35" spans="1:12" ht="14.25" customHeight="1" x14ac:dyDescent="0.35">
      <c r="A35" s="5" t="s">
        <v>473</v>
      </c>
      <c r="B35" s="5" t="s">
        <v>6</v>
      </c>
      <c r="C35" s="53">
        <v>0</v>
      </c>
      <c r="D35" s="53">
        <v>0</v>
      </c>
      <c r="E35" s="53">
        <v>0</v>
      </c>
      <c r="F35" s="53">
        <v>0</v>
      </c>
      <c r="G35" s="54">
        <v>0</v>
      </c>
      <c r="H35" s="53">
        <v>0</v>
      </c>
      <c r="I35" s="53">
        <v>0</v>
      </c>
    </row>
    <row r="36" spans="1:12" ht="14.25" customHeight="1" x14ac:dyDescent="0.35">
      <c r="A36" s="5" t="s">
        <v>474</v>
      </c>
      <c r="B36" s="5" t="s">
        <v>475</v>
      </c>
      <c r="C36" s="53">
        <v>0</v>
      </c>
      <c r="D36" s="53">
        <v>0</v>
      </c>
      <c r="E36" s="53">
        <v>0</v>
      </c>
      <c r="F36" s="53">
        <v>0</v>
      </c>
      <c r="G36" s="54">
        <v>0</v>
      </c>
      <c r="H36" s="53">
        <v>0</v>
      </c>
      <c r="I36" s="53">
        <v>0</v>
      </c>
    </row>
    <row r="37" spans="1:12" ht="14.25" customHeight="1" x14ac:dyDescent="0.35">
      <c r="A37" s="5" t="s">
        <v>476</v>
      </c>
      <c r="B37" s="5" t="s">
        <v>6</v>
      </c>
      <c r="C37" s="53">
        <v>0</v>
      </c>
      <c r="D37" s="53">
        <v>0</v>
      </c>
      <c r="E37" s="53">
        <v>0</v>
      </c>
      <c r="F37" s="53">
        <v>0</v>
      </c>
      <c r="G37" s="54">
        <v>0</v>
      </c>
      <c r="H37" s="53">
        <v>0</v>
      </c>
      <c r="I37" s="53">
        <v>0</v>
      </c>
    </row>
    <row r="38" spans="1:12" ht="14.25" customHeight="1" x14ac:dyDescent="0.35">
      <c r="A38" s="5" t="s">
        <v>477</v>
      </c>
      <c r="B38" s="5" t="s">
        <v>7</v>
      </c>
      <c r="C38" s="53">
        <v>0</v>
      </c>
      <c r="D38" s="53">
        <v>0</v>
      </c>
      <c r="E38" s="53">
        <v>0</v>
      </c>
      <c r="F38" s="53">
        <v>0</v>
      </c>
      <c r="G38" s="54">
        <v>0</v>
      </c>
      <c r="H38" s="53">
        <v>0</v>
      </c>
      <c r="I38" s="53">
        <v>0</v>
      </c>
    </row>
    <row r="39" spans="1:12" ht="14.25" customHeight="1" x14ac:dyDescent="0.35">
      <c r="A39" s="5" t="s">
        <v>478</v>
      </c>
      <c r="B39" s="5" t="s">
        <v>7</v>
      </c>
      <c r="C39" s="53">
        <v>0</v>
      </c>
      <c r="D39" s="53">
        <v>0</v>
      </c>
      <c r="E39" s="53">
        <v>0</v>
      </c>
      <c r="F39" s="53">
        <v>0</v>
      </c>
      <c r="G39" s="54">
        <v>0</v>
      </c>
      <c r="H39" s="53">
        <v>0</v>
      </c>
      <c r="I39" s="53">
        <v>0</v>
      </c>
    </row>
    <row r="40" spans="1:12" ht="14.25" customHeight="1" x14ac:dyDescent="0.35">
      <c r="A40" s="5" t="s">
        <v>479</v>
      </c>
      <c r="B40" s="5" t="s">
        <v>480</v>
      </c>
      <c r="C40" s="53">
        <v>0</v>
      </c>
      <c r="D40" s="53">
        <v>0</v>
      </c>
      <c r="E40" s="53">
        <v>0</v>
      </c>
      <c r="F40" s="53">
        <v>0</v>
      </c>
      <c r="G40" s="54">
        <v>0</v>
      </c>
      <c r="H40" s="53">
        <v>0</v>
      </c>
      <c r="I40" s="53">
        <v>0</v>
      </c>
    </row>
    <row r="41" spans="1:12" ht="14.25" customHeight="1" x14ac:dyDescent="0.35">
      <c r="A41" s="5" t="s">
        <v>481</v>
      </c>
      <c r="B41" s="5" t="s">
        <v>482</v>
      </c>
      <c r="C41" s="60">
        <f>'UBI PUTIH ACE'!$B$21</f>
        <v>14802.48</v>
      </c>
      <c r="D41" s="60">
        <f>'UBI PUTIH ACE'!$B$23</f>
        <v>0</v>
      </c>
      <c r="E41" s="60">
        <f>'UBI PUTIH ACE'!$B$24</f>
        <v>0</v>
      </c>
      <c r="F41" s="60">
        <f>'UBI PUTIH ACE'!$B$25</f>
        <v>0</v>
      </c>
      <c r="G41" s="61">
        <f>'UBI PUTIH ACE'!$E$34</f>
        <v>68748451.944747299</v>
      </c>
      <c r="H41" s="60">
        <f>'UBI PUTIH ACE'!$C$106</f>
        <v>465</v>
      </c>
      <c r="I41" s="60">
        <f>'UBI PUTIH ACE'!$C$107</f>
        <v>134.99860000000001</v>
      </c>
      <c r="J41" s="12" t="s">
        <v>483</v>
      </c>
    </row>
    <row r="42" spans="1:12" ht="14.25" customHeight="1" x14ac:dyDescent="0.35">
      <c r="A42" s="5" t="s">
        <v>484</v>
      </c>
      <c r="B42" s="5" t="s">
        <v>459</v>
      </c>
      <c r="C42" s="53">
        <v>0</v>
      </c>
      <c r="D42" s="53">
        <v>0</v>
      </c>
      <c r="E42" s="53">
        <v>0</v>
      </c>
      <c r="F42" s="53">
        <v>0</v>
      </c>
      <c r="G42" s="54">
        <v>0</v>
      </c>
      <c r="H42" s="53">
        <v>0</v>
      </c>
      <c r="I42" s="53">
        <v>0</v>
      </c>
    </row>
    <row r="43" spans="1:12" ht="14.25" customHeight="1" x14ac:dyDescent="0.35">
      <c r="A43" s="40" t="s">
        <v>9</v>
      </c>
      <c r="B43" s="45"/>
      <c r="C43" s="41">
        <f t="shared" ref="C43:I43" si="0">SUM(C22:C42)</f>
        <v>45653.42</v>
      </c>
      <c r="D43" s="41">
        <f t="shared" si="0"/>
        <v>23115.5</v>
      </c>
      <c r="E43" s="41">
        <f t="shared" si="0"/>
        <v>4242.0000000000027</v>
      </c>
      <c r="F43" s="41">
        <f t="shared" si="0"/>
        <v>770</v>
      </c>
      <c r="G43" s="42">
        <f t="shared" si="0"/>
        <v>76673618.518439546</v>
      </c>
      <c r="H43" s="41">
        <f t="shared" si="0"/>
        <v>2689.1498999999999</v>
      </c>
      <c r="I43" s="41">
        <f t="shared" si="0"/>
        <v>10118.059200000002</v>
      </c>
    </row>
    <row r="45" spans="1:12" ht="14.25" customHeight="1" x14ac:dyDescent="0.35">
      <c r="A45" s="9" t="s">
        <v>485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24" customHeight="1" x14ac:dyDescent="0.35">
      <c r="A46" s="11" t="s">
        <v>445</v>
      </c>
      <c r="B46" s="11" t="s">
        <v>486</v>
      </c>
      <c r="C46" s="11" t="s">
        <v>251</v>
      </c>
      <c r="D46" s="11" t="s">
        <v>487</v>
      </c>
      <c r="E46" s="11" t="s">
        <v>488</v>
      </c>
      <c r="F46" s="11" t="s">
        <v>489</v>
      </c>
      <c r="G46" s="11" t="s">
        <v>490</v>
      </c>
      <c r="H46" s="11" t="s">
        <v>135</v>
      </c>
    </row>
    <row r="47" spans="1:12" ht="14.25" customHeight="1" x14ac:dyDescent="0.35">
      <c r="A47" s="12" t="str">
        <f t="shared" ref="A47:A67" si="1">A22</f>
        <v>Cem-cem ORI</v>
      </c>
      <c r="B47" s="39">
        <f>D22*FCC!$D$89</f>
        <v>248553197.82766405</v>
      </c>
      <c r="C47" s="39">
        <f>E22*FCC!$C$209+F22*$C$7</f>
        <v>0</v>
      </c>
      <c r="D47" s="39">
        <f t="shared" ref="D47:D67" si="2">G22</f>
        <v>712800</v>
      </c>
      <c r="E47" s="39">
        <f>IF($H$43=0,0,H22/$H$43)*'BIAYA BERSAMA'!$F$115</f>
        <v>19159921.081054471</v>
      </c>
      <c r="F47" s="39">
        <f>IF($H$43=0,0,H22/$H$43)*'BIAYA BERSAMA'!$F$117+IF($I$43=0,0,I22/$I$43)*'BIAYA BERSAMA'!$F$118+IF('BIAYA BERSAMA'!$F$172=0,0,I22/'BIAYA BERSAMA'!$F$172)*'BIAYA BERSAMA'!$F$176+IF($G$43=0,0,G22/$G$43)*'BIAYA BERSAMA'!$F$120</f>
        <v>50035306.033598952</v>
      </c>
      <c r="G47" s="39">
        <f t="shared" ref="G47:G67" si="3">SUM(B47:F47)</f>
        <v>318461224.94231749</v>
      </c>
      <c r="H47" s="39">
        <f t="shared" ref="H47:H68" si="4">IF(C22=0,0,G47/C22)</f>
        <v>28857.103693644094</v>
      </c>
    </row>
    <row r="48" spans="1:12" ht="14.25" customHeight="1" x14ac:dyDescent="0.35">
      <c r="A48" s="12" t="str">
        <f t="shared" si="1"/>
        <v>Cem-cem BBQ</v>
      </c>
      <c r="B48" s="39">
        <f>D23*FCC!$D$89</f>
        <v>230827533.95722842</v>
      </c>
      <c r="C48" s="39">
        <f>E23*FCC!$C$209+F23*$C$7</f>
        <v>0</v>
      </c>
      <c r="D48" s="39">
        <f t="shared" si="2"/>
        <v>0</v>
      </c>
      <c r="E48" s="39">
        <f>IF($H$43=0,0,H23/$H$43)*'BIAYA BERSAMA'!$F$115</f>
        <v>17106326.360791486</v>
      </c>
      <c r="F48" s="39">
        <f>IF($H$43=0,0,H23/$H$43)*'BIAYA BERSAMA'!$F$117+IF($I$43=0,0,I23/$I$43)*'BIAYA BERSAMA'!$F$118+IF('BIAYA BERSAMA'!$F$172=0,0,I23/'BIAYA BERSAMA'!$F$172)*'BIAYA BERSAMA'!$F$176+IF($G$43=0,0,G23/$G$43)*'BIAYA BERSAMA'!$F$120</f>
        <v>44748637.515708603</v>
      </c>
      <c r="G48" s="39">
        <f t="shared" si="3"/>
        <v>292682497.83372849</v>
      </c>
      <c r="H48" s="39">
        <f t="shared" si="4"/>
        <v>28401.989115354536</v>
      </c>
    </row>
    <row r="49" spans="1:8" ht="14.25" customHeight="1" x14ac:dyDescent="0.35">
      <c r="A49" s="12" t="str">
        <f t="shared" si="1"/>
        <v>Koperasi (KW 2 berbumbu, 11 SKU)</v>
      </c>
      <c r="B49" s="39">
        <f>D24*FCC!$D$89</f>
        <v>238729.47973650679</v>
      </c>
      <c r="C49" s="39">
        <f>E24*FCC!$C$209+F24*$C$7</f>
        <v>19574096.904139638</v>
      </c>
      <c r="D49" s="39">
        <f t="shared" si="2"/>
        <v>6333602.8489672896</v>
      </c>
      <c r="E49" s="39">
        <f>IF($H$43=0,0,H24/$H$43)*'BIAYA BERSAMA'!$F$115</f>
        <v>1940129.1416648412</v>
      </c>
      <c r="F49" s="39">
        <f>IF($H$43=0,0,H24/$H$43)*'BIAYA BERSAMA'!$F$117+IF($I$43=0,0,I24/$I$43)*'BIAYA BERSAMA'!$F$118+IF('BIAYA BERSAMA'!$F$172=0,0,I24/'BIAYA BERSAMA'!$F$172)*'BIAYA BERSAMA'!$F$176+IF($G$43=0,0,G24/$G$43)*'BIAYA BERSAMA'!$F$120</f>
        <v>2114887.9070665422</v>
      </c>
      <c r="G49" s="39">
        <f t="shared" si="3"/>
        <v>30201446.281574819</v>
      </c>
      <c r="H49" s="39">
        <f t="shared" si="4"/>
        <v>10177.403970202129</v>
      </c>
    </row>
    <row r="50" spans="1:8" ht="14.25" customHeight="1" x14ac:dyDescent="0.35">
      <c r="A50" s="12" t="str">
        <f t="shared" si="1"/>
        <v>Maicih basreng (maklon, 3 SKU)</v>
      </c>
      <c r="B50" s="39">
        <f>D25*FCC!$D$89</f>
        <v>0</v>
      </c>
      <c r="C50" s="39">
        <f>E25*FCC!$C$209+F25*$C$7</f>
        <v>0</v>
      </c>
      <c r="D50" s="39">
        <f t="shared" si="2"/>
        <v>42696.287090994098</v>
      </c>
      <c r="E50" s="39">
        <f>IF($H$43=0,0,H25/$H$43)*'BIAYA BERSAMA'!$F$115</f>
        <v>1345106.431091733</v>
      </c>
      <c r="F50" s="39">
        <f>IF($H$43=0,0,H25/$H$43)*'BIAYA BERSAMA'!$F$117+IF($I$43=0,0,I25/$I$43)*'BIAYA BERSAMA'!$F$118+IF('BIAYA BERSAMA'!$F$172=0,0,I25/'BIAYA BERSAMA'!$F$172)*'BIAYA BERSAMA'!$F$176+IF($G$43=0,0,G25/$G$43)*'BIAYA BERSAMA'!$F$120</f>
        <v>4067690.7183111552</v>
      </c>
      <c r="G50" s="39">
        <f t="shared" si="3"/>
        <v>5455493.4364938829</v>
      </c>
      <c r="H50" s="39">
        <f t="shared" si="4"/>
        <v>5887.9008768928979</v>
      </c>
    </row>
    <row r="51" spans="1:8" ht="14.25" customHeight="1" x14ac:dyDescent="0.35">
      <c r="A51" s="12" t="str">
        <f t="shared" si="1"/>
        <v>Maicih keripik (LV 3 &amp; 10)</v>
      </c>
      <c r="B51" s="39">
        <f>D26*FCC!$D$89</f>
        <v>50682268.548060395</v>
      </c>
      <c r="C51" s="39">
        <f>E26*FCC!$C$209+F26*$C$7</f>
        <v>15915259.686859231</v>
      </c>
      <c r="D51" s="39">
        <f t="shared" si="2"/>
        <v>604941.04151813767</v>
      </c>
      <c r="E51" s="39">
        <f>IF($H$43=0,0,H26/$H$43)*'BIAYA BERSAMA'!$F$115</f>
        <v>5595184.8865385773</v>
      </c>
      <c r="F51" s="39">
        <f>IF($H$43=0,0,H26/$H$43)*'BIAYA BERSAMA'!$F$117+IF($I$43=0,0,I26/$I$43)*'BIAYA BERSAMA'!$F$118+IF('BIAYA BERSAMA'!$F$172=0,0,I26/'BIAYA BERSAMA'!$F$172)*'BIAYA BERSAMA'!$F$176+IF($G$43=0,0,G26/$G$43)*'BIAYA BERSAMA'!$F$120</f>
        <v>18041897.046092536</v>
      </c>
      <c r="G51" s="39">
        <f t="shared" si="3"/>
        <v>90839551.209068879</v>
      </c>
      <c r="H51" s="39">
        <f t="shared" si="4"/>
        <v>22624.818484764506</v>
      </c>
    </row>
    <row r="52" spans="1:8" ht="14.25" customHeight="1" x14ac:dyDescent="0.35">
      <c r="A52" s="12" t="str">
        <f t="shared" si="1"/>
        <v>Maicih keripik LV 5</v>
      </c>
      <c r="B52" s="39">
        <f>D27*FCC!$D$89</f>
        <v>21533399.072232913</v>
      </c>
      <c r="C52" s="39">
        <f>E27*FCC!$C$209+F27*$C$7</f>
        <v>5985827.758332002</v>
      </c>
      <c r="D52" s="39">
        <f t="shared" si="2"/>
        <v>231126.3961158187</v>
      </c>
      <c r="E52" s="39">
        <f>IF($H$43=0,0,H27/$H$43)*'BIAYA BERSAMA'!$F$115</f>
        <v>3153673.7881744239</v>
      </c>
      <c r="F52" s="39">
        <f>IF($H$43=0,0,H27/$H$43)*'BIAYA BERSAMA'!$F$117+IF($I$43=0,0,I27/$I$43)*'BIAYA BERSAMA'!$F$118+IF('BIAYA BERSAMA'!$F$172=0,0,I27/'BIAYA BERSAMA'!$F$172)*'BIAYA BERSAMA'!$F$176+IF($G$43=0,0,G27/$G$43)*'BIAYA BERSAMA'!$F$120</f>
        <v>7991352.2236515107</v>
      </c>
      <c r="G52" s="39">
        <f t="shared" si="3"/>
        <v>38895379.238506667</v>
      </c>
      <c r="H52" s="39">
        <f t="shared" si="4"/>
        <v>24293.821040390412</v>
      </c>
    </row>
    <row r="53" spans="1:8" ht="14.25" customHeight="1" x14ac:dyDescent="0.35">
      <c r="A53" s="12" t="str">
        <f t="shared" si="1"/>
        <v>FCC Maicih</v>
      </c>
      <c r="B53" s="39">
        <f>D28*FCC!$D$89</f>
        <v>0</v>
      </c>
      <c r="C53" s="39">
        <f>E28*FCC!$C$209+F28*$C$7</f>
        <v>0</v>
      </c>
      <c r="D53" s="39">
        <f t="shared" si="2"/>
        <v>0</v>
      </c>
      <c r="E53" s="39">
        <f>IF($H$43=0,0,H28/$H$43)*'BIAYA BERSAMA'!$F$115</f>
        <v>0</v>
      </c>
      <c r="F53" s="39">
        <f>IF($H$43=0,0,H28/$H$43)*'BIAYA BERSAMA'!$F$117+IF($I$43=0,0,I28/$I$43)*'BIAYA BERSAMA'!$F$118+IF('BIAYA BERSAMA'!$F$172=0,0,I28/'BIAYA BERSAMA'!$F$172)*'BIAYA BERSAMA'!$F$176+IF($G$43=0,0,G28/$G$43)*'BIAYA BERSAMA'!$F$120</f>
        <v>0</v>
      </c>
      <c r="G53" s="39">
        <f t="shared" si="3"/>
        <v>0</v>
      </c>
      <c r="H53" s="39">
        <f t="shared" si="4"/>
        <v>0</v>
      </c>
    </row>
    <row r="54" spans="1:8" ht="14.25" customHeight="1" x14ac:dyDescent="0.35">
      <c r="A54" s="12" t="str">
        <f t="shared" si="1"/>
        <v>FCC Putih</v>
      </c>
      <c r="B54" s="39">
        <f>D29*FCC!$D$89</f>
        <v>0</v>
      </c>
      <c r="C54" s="39">
        <f>E29*FCC!$C$209+F29*$C$7</f>
        <v>0</v>
      </c>
      <c r="D54" s="39">
        <f t="shared" si="2"/>
        <v>0</v>
      </c>
      <c r="E54" s="39">
        <f>IF($H$43=0,0,H29/$H$43)*'BIAYA BERSAMA'!$F$115</f>
        <v>0</v>
      </c>
      <c r="F54" s="39">
        <f>IF($H$43=0,0,H29/$H$43)*'BIAYA BERSAMA'!$F$117+IF($I$43=0,0,I29/$I$43)*'BIAYA BERSAMA'!$F$118+IF('BIAYA BERSAMA'!$F$172=0,0,I29/'BIAYA BERSAMA'!$F$172)*'BIAYA BERSAMA'!$F$176+IF($G$43=0,0,G29/$G$43)*'BIAYA BERSAMA'!$F$120</f>
        <v>0</v>
      </c>
      <c r="G54" s="39">
        <f t="shared" si="3"/>
        <v>0</v>
      </c>
      <c r="H54" s="39">
        <f t="shared" si="4"/>
        <v>0</v>
      </c>
    </row>
    <row r="55" spans="1:8" ht="14.25" customHeight="1" x14ac:dyDescent="0.35">
      <c r="A55" s="12" t="str">
        <f t="shared" si="1"/>
        <v>Kecimpring (goreng &amp; bagging)</v>
      </c>
      <c r="B55" s="39">
        <f>D30*FCC!$D$89</f>
        <v>0</v>
      </c>
      <c r="C55" s="39">
        <f>E30*FCC!$C$209+F30*$C$7</f>
        <v>0</v>
      </c>
      <c r="D55" s="39">
        <f t="shared" si="2"/>
        <v>0</v>
      </c>
      <c r="E55" s="39">
        <f>IF($H$43=0,0,H30/$H$43)*'BIAYA BERSAMA'!$F$115</f>
        <v>0</v>
      </c>
      <c r="F55" s="39">
        <f>IF($H$43=0,0,H30/$H$43)*'BIAYA BERSAMA'!$F$117+IF($I$43=0,0,I30/$I$43)*'BIAYA BERSAMA'!$F$118+IF('BIAYA BERSAMA'!$F$172=0,0,I30/'BIAYA BERSAMA'!$F$172)*'BIAYA BERSAMA'!$F$176+IF($G$43=0,0,G30/$G$43)*'BIAYA BERSAMA'!$F$120</f>
        <v>0</v>
      </c>
      <c r="G55" s="39">
        <f t="shared" si="3"/>
        <v>0</v>
      </c>
      <c r="H55" s="39">
        <f t="shared" si="4"/>
        <v>0</v>
      </c>
    </row>
    <row r="56" spans="1:8" ht="14.25" customHeight="1" x14ac:dyDescent="0.35">
      <c r="A56" s="12" t="str">
        <f t="shared" si="1"/>
        <v>Whole chips rempah 15/90 gr</v>
      </c>
      <c r="B56" s="39">
        <f>D31*FCC!$D$89</f>
        <v>0</v>
      </c>
      <c r="C56" s="39">
        <f>E31*FCC!$C$209+F31*$C$7</f>
        <v>0</v>
      </c>
      <c r="D56" s="39">
        <f t="shared" si="2"/>
        <v>0</v>
      </c>
      <c r="E56" s="39">
        <f>IF($H$43=0,0,H31/$H$43)*'BIAYA BERSAMA'!$F$115</f>
        <v>0</v>
      </c>
      <c r="F56" s="39">
        <f>IF($H$43=0,0,H31/$H$43)*'BIAYA BERSAMA'!$F$117+IF($I$43=0,0,I31/$I$43)*'BIAYA BERSAMA'!$F$118+IF('BIAYA BERSAMA'!$F$172=0,0,I31/'BIAYA BERSAMA'!$F$172)*'BIAYA BERSAMA'!$F$176+IF($G$43=0,0,G31/$G$43)*'BIAYA BERSAMA'!$F$120</f>
        <v>0</v>
      </c>
      <c r="G56" s="39">
        <f t="shared" si="3"/>
        <v>0</v>
      </c>
      <c r="H56" s="39">
        <f t="shared" si="4"/>
        <v>0</v>
      </c>
    </row>
    <row r="57" spans="1:8" ht="14.25" customHeight="1" x14ac:dyDescent="0.35">
      <c r="A57" s="12" t="str">
        <f t="shared" si="1"/>
        <v>Maxi (pellet &amp; goreng)</v>
      </c>
      <c r="B57" s="39">
        <f>D32*FCC!$D$89</f>
        <v>0</v>
      </c>
      <c r="C57" s="39">
        <f>E32*FCC!$C$209+F32*$C$7</f>
        <v>0</v>
      </c>
      <c r="D57" s="39">
        <f t="shared" si="2"/>
        <v>0</v>
      </c>
      <c r="E57" s="39">
        <f>IF($H$43=0,0,H32/$H$43)*'BIAYA BERSAMA'!$F$115</f>
        <v>0</v>
      </c>
      <c r="F57" s="39">
        <f>IF($H$43=0,0,H32/$H$43)*'BIAYA BERSAMA'!$F$117+IF($I$43=0,0,I32/$I$43)*'BIAYA BERSAMA'!$F$118+IF('BIAYA BERSAMA'!$F$172=0,0,I32/'BIAYA BERSAMA'!$F$172)*'BIAYA BERSAMA'!$F$176+IF($G$43=0,0,G32/$G$43)*'BIAYA BERSAMA'!$F$120</f>
        <v>0</v>
      </c>
      <c r="G57" s="39">
        <f t="shared" si="3"/>
        <v>0</v>
      </c>
      <c r="H57" s="39">
        <f t="shared" si="4"/>
        <v>0</v>
      </c>
    </row>
    <row r="58" spans="1:8" ht="14.25" customHeight="1" x14ac:dyDescent="0.35">
      <c r="A58" s="12" t="str">
        <f t="shared" si="1"/>
        <v>Pellet ubi ungu FG (1,2x1,5 &amp; 3x3)</v>
      </c>
      <c r="B58" s="39">
        <f>D33*FCC!$D$89</f>
        <v>0</v>
      </c>
      <c r="C58" s="39">
        <f>E33*FCC!$C$209+F33*$C$7</f>
        <v>0</v>
      </c>
      <c r="D58" s="39">
        <f t="shared" si="2"/>
        <v>0</v>
      </c>
      <c r="E58" s="39">
        <f>IF($H$43=0,0,H33/$H$43)*'BIAYA BERSAMA'!$F$115</f>
        <v>0</v>
      </c>
      <c r="F58" s="39">
        <f>IF($H$43=0,0,H33/$H$43)*'BIAYA BERSAMA'!$F$117+IF($I$43=0,0,I33/$I$43)*'BIAYA BERSAMA'!$F$118+IF('BIAYA BERSAMA'!$F$172=0,0,I33/'BIAYA BERSAMA'!$F$172)*'BIAYA BERSAMA'!$F$176+IF($G$43=0,0,G33/$G$43)*'BIAYA BERSAMA'!$F$120</f>
        <v>0</v>
      </c>
      <c r="G58" s="39">
        <f t="shared" si="3"/>
        <v>0</v>
      </c>
      <c r="H58" s="39">
        <f t="shared" si="4"/>
        <v>0</v>
      </c>
    </row>
    <row r="59" spans="1:8" ht="14.25" customHeight="1" x14ac:dyDescent="0.35">
      <c r="A59" s="12" t="str">
        <f t="shared" si="1"/>
        <v>Keripik ubi ungu retail (goreng, bagging bakar/ori, NYEE)</v>
      </c>
      <c r="B59" s="39">
        <f>D34*FCC!$D$89</f>
        <v>0</v>
      </c>
      <c r="C59" s="39">
        <f>E34*FCC!$C$209+F34*$C$7</f>
        <v>0</v>
      </c>
      <c r="D59" s="39">
        <f t="shared" si="2"/>
        <v>0</v>
      </c>
      <c r="E59" s="39">
        <f>IF($H$43=0,0,H34/$H$43)*'BIAYA BERSAMA'!$F$115</f>
        <v>0</v>
      </c>
      <c r="F59" s="39">
        <f>IF($H$43=0,0,H34/$H$43)*'BIAYA BERSAMA'!$F$117+IF($I$43=0,0,I34/$I$43)*'BIAYA BERSAMA'!$F$118+IF('BIAYA BERSAMA'!$F$172=0,0,I34/'BIAYA BERSAMA'!$F$172)*'BIAYA BERSAMA'!$F$176+IF($G$43=0,0,G34/$G$43)*'BIAYA BERSAMA'!$F$120</f>
        <v>0</v>
      </c>
      <c r="G59" s="39">
        <f t="shared" si="3"/>
        <v>0</v>
      </c>
      <c r="H59" s="39">
        <f t="shared" si="4"/>
        <v>0</v>
      </c>
    </row>
    <row r="60" spans="1:8" ht="14.25" customHeight="1" x14ac:dyDescent="0.35">
      <c r="A60" s="12" t="str">
        <f t="shared" si="1"/>
        <v>Whole chips ubi ungu 15/90 gr</v>
      </c>
      <c r="B60" s="39">
        <f>D35*FCC!$D$89</f>
        <v>0</v>
      </c>
      <c r="C60" s="39">
        <f>E35*FCC!$C$209+F35*$C$7</f>
        <v>0</v>
      </c>
      <c r="D60" s="39">
        <f t="shared" si="2"/>
        <v>0</v>
      </c>
      <c r="E60" s="39">
        <f>IF($H$43=0,0,H35/$H$43)*'BIAYA BERSAMA'!$F$115</f>
        <v>0</v>
      </c>
      <c r="F60" s="39">
        <f>IF($H$43=0,0,H35/$H$43)*'BIAYA BERSAMA'!$F$117+IF($I$43=0,0,I35/$I$43)*'BIAYA BERSAMA'!$F$118+IF('BIAYA BERSAMA'!$F$172=0,0,I35/'BIAYA BERSAMA'!$F$172)*'BIAYA BERSAMA'!$F$176+IF($G$43=0,0,G35/$G$43)*'BIAYA BERSAMA'!$F$120</f>
        <v>0</v>
      </c>
      <c r="G60" s="39">
        <f t="shared" si="3"/>
        <v>0</v>
      </c>
      <c r="H60" s="39">
        <f t="shared" si="4"/>
        <v>0</v>
      </c>
    </row>
    <row r="61" spans="1:8" ht="14.25" customHeight="1" x14ac:dyDescent="0.35">
      <c r="A61" s="12" t="str">
        <f t="shared" si="1"/>
        <v>Umbiis (goreng &amp; bagging)</v>
      </c>
      <c r="B61" s="39">
        <f>D36*FCC!$D$89</f>
        <v>0</v>
      </c>
      <c r="C61" s="39">
        <f>E36*FCC!$C$209+F36*$C$7</f>
        <v>0</v>
      </c>
      <c r="D61" s="39">
        <f t="shared" si="2"/>
        <v>0</v>
      </c>
      <c r="E61" s="39">
        <f>IF($H$43=0,0,H36/$H$43)*'BIAYA BERSAMA'!$F$115</f>
        <v>0</v>
      </c>
      <c r="F61" s="39">
        <f>IF($H$43=0,0,H36/$H$43)*'BIAYA BERSAMA'!$F$117+IF($I$43=0,0,I36/$I$43)*'BIAYA BERSAMA'!$F$118+IF('BIAYA BERSAMA'!$F$172=0,0,I36/'BIAYA BERSAMA'!$F$172)*'BIAYA BERSAMA'!$F$176+IF($G$43=0,0,G36/$G$43)*'BIAYA BERSAMA'!$F$120</f>
        <v>0</v>
      </c>
      <c r="G61" s="39">
        <f t="shared" si="3"/>
        <v>0</v>
      </c>
      <c r="H61" s="39">
        <f t="shared" si="4"/>
        <v>0</v>
      </c>
    </row>
    <row r="62" spans="1:8" ht="14.25" customHeight="1" x14ac:dyDescent="0.35">
      <c r="A62" s="12" t="str">
        <f t="shared" si="1"/>
        <v>Ubi ungu chips</v>
      </c>
      <c r="B62" s="39">
        <f>D37*FCC!$D$89</f>
        <v>0</v>
      </c>
      <c r="C62" s="39">
        <f>E37*FCC!$C$209+F37*$C$7</f>
        <v>0</v>
      </c>
      <c r="D62" s="39">
        <f t="shared" si="2"/>
        <v>0</v>
      </c>
      <c r="E62" s="39">
        <f>IF($H$43=0,0,H37/$H$43)*'BIAYA BERSAMA'!$F$115</f>
        <v>0</v>
      </c>
      <c r="F62" s="39">
        <f>IF($H$43=0,0,H37/$H$43)*'BIAYA BERSAMA'!$F$117+IF($I$43=0,0,I37/$I$43)*'BIAYA BERSAMA'!$F$118+IF('BIAYA BERSAMA'!$F$172=0,0,I37/'BIAYA BERSAMA'!$F$172)*'BIAYA BERSAMA'!$F$176+IF($G$43=0,0,G37/$G$43)*'BIAYA BERSAMA'!$F$120</f>
        <v>0</v>
      </c>
      <c r="G62" s="39">
        <f t="shared" si="3"/>
        <v>0</v>
      </c>
      <c r="H62" s="39">
        <f t="shared" si="4"/>
        <v>0</v>
      </c>
    </row>
    <row r="63" spans="1:8" ht="14.25" customHeight="1" x14ac:dyDescent="0.35">
      <c r="A63" s="12" t="str">
        <f t="shared" si="1"/>
        <v>Pellet ubi orange FG 3x3</v>
      </c>
      <c r="B63" s="39">
        <f>D38*FCC!$D$89</f>
        <v>0</v>
      </c>
      <c r="C63" s="39">
        <f>E38*FCC!$C$209+F38*$C$7</f>
        <v>0</v>
      </c>
      <c r="D63" s="39">
        <f t="shared" si="2"/>
        <v>0</v>
      </c>
      <c r="E63" s="39">
        <f>IF($H$43=0,0,H38/$H$43)*'BIAYA BERSAMA'!$F$115</f>
        <v>0</v>
      </c>
      <c r="F63" s="39">
        <f>IF($H$43=0,0,H38/$H$43)*'BIAYA BERSAMA'!$F$117+IF($I$43=0,0,I38/$I$43)*'BIAYA BERSAMA'!$F$118+IF('BIAYA BERSAMA'!$F$172=0,0,I38/'BIAYA BERSAMA'!$F$172)*'BIAYA BERSAMA'!$F$176+IF($G$43=0,0,G38/$G$43)*'BIAYA BERSAMA'!$F$120</f>
        <v>0</v>
      </c>
      <c r="G63" s="39">
        <f t="shared" si="3"/>
        <v>0</v>
      </c>
      <c r="H63" s="39">
        <f t="shared" si="4"/>
        <v>0</v>
      </c>
    </row>
    <row r="64" spans="1:8" ht="14.25" customHeight="1" x14ac:dyDescent="0.35">
      <c r="A64" s="12" t="str">
        <f t="shared" si="1"/>
        <v>Ubi orange chips</v>
      </c>
      <c r="B64" s="39">
        <f>D39*FCC!$D$89</f>
        <v>0</v>
      </c>
      <c r="C64" s="39">
        <f>E39*FCC!$C$209+F39*$C$7</f>
        <v>0</v>
      </c>
      <c r="D64" s="39">
        <f t="shared" si="2"/>
        <v>0</v>
      </c>
      <c r="E64" s="39">
        <f>IF($H$43=0,0,H39/$H$43)*'BIAYA BERSAMA'!$F$115</f>
        <v>0</v>
      </c>
      <c r="F64" s="39">
        <f>IF($H$43=0,0,H39/$H$43)*'BIAYA BERSAMA'!$F$117+IF($I$43=0,0,I39/$I$43)*'BIAYA BERSAMA'!$F$118+IF('BIAYA BERSAMA'!$F$172=0,0,I39/'BIAYA BERSAMA'!$F$172)*'BIAYA BERSAMA'!$F$176+IF($G$43=0,0,G39/$G$43)*'BIAYA BERSAMA'!$F$120</f>
        <v>0</v>
      </c>
      <c r="G64" s="39">
        <f t="shared" si="3"/>
        <v>0</v>
      </c>
      <c r="H64" s="39">
        <f t="shared" si="4"/>
        <v>0</v>
      </c>
    </row>
    <row r="65" spans="1:12" ht="14.25" customHeight="1" x14ac:dyDescent="0.35">
      <c r="A65" s="12" t="str">
        <f t="shared" si="1"/>
        <v>Pellet lainnya</v>
      </c>
      <c r="B65" s="39">
        <f>D40*FCC!$D$89</f>
        <v>0</v>
      </c>
      <c r="C65" s="39">
        <f>E40*FCC!$C$209+F40*$C$7</f>
        <v>0</v>
      </c>
      <c r="D65" s="39">
        <f t="shared" si="2"/>
        <v>0</v>
      </c>
      <c r="E65" s="39">
        <f>IF($H$43=0,0,H40/$H$43)*'BIAYA BERSAMA'!$F$115</f>
        <v>0</v>
      </c>
      <c r="F65" s="39">
        <f>IF($H$43=0,0,H40/$H$43)*'BIAYA BERSAMA'!$F$117+IF($I$43=0,0,I40/$I$43)*'BIAYA BERSAMA'!$F$118+IF('BIAYA BERSAMA'!$F$172=0,0,I40/'BIAYA BERSAMA'!$F$172)*'BIAYA BERSAMA'!$F$176+IF($G$43=0,0,G40/$G$43)*'BIAYA BERSAMA'!$F$120</f>
        <v>0</v>
      </c>
      <c r="G65" s="39">
        <f t="shared" si="3"/>
        <v>0</v>
      </c>
      <c r="H65" s="39">
        <f t="shared" si="4"/>
        <v>0</v>
      </c>
    </row>
    <row r="66" spans="1:12" ht="14.25" customHeight="1" x14ac:dyDescent="0.35">
      <c r="A66" s="12" t="str">
        <f t="shared" si="1"/>
        <v>Ubi putih ACE (Sweet Potato N110), ubi putih &amp; talas chips</v>
      </c>
      <c r="B66" s="39">
        <f>D41*FCC!$D$89</f>
        <v>0</v>
      </c>
      <c r="C66" s="39">
        <f>E41*FCC!$C$209+F41*$C$7</f>
        <v>0</v>
      </c>
      <c r="D66" s="39">
        <f t="shared" si="2"/>
        <v>68748451.944747299</v>
      </c>
      <c r="E66" s="39">
        <f>IF($H$43=0,0,H41/$H$43)*'BIAYA BERSAMA'!$F$115</f>
        <v>10098086.862549921</v>
      </c>
      <c r="F66" s="39">
        <f>IF($H$43=0,0,H41/$H$43)*'BIAYA BERSAMA'!$F$117+IF($I$43=0,0,I41/$I$43)*'BIAYA BERSAMA'!$F$118+'BIAYA BERSAMA'!$F$177+IF($G$43=0,0,G41/$G$43)*'BIAYA BERSAMA'!$F$120</f>
        <v>15595945.923015276</v>
      </c>
      <c r="G66" s="39">
        <f t="shared" si="3"/>
        <v>94442484.730312496</v>
      </c>
      <c r="H66" s="39">
        <f t="shared" si="4"/>
        <v>6380.1798570450692</v>
      </c>
    </row>
    <row r="67" spans="1:12" ht="14.25" customHeight="1" x14ac:dyDescent="0.35">
      <c r="A67" s="12" t="str">
        <f t="shared" si="1"/>
        <v>WRP (Delichips, Mixfruit, chips) – maklon</v>
      </c>
      <c r="B67" s="39">
        <f>D42*FCC!$D$89</f>
        <v>0</v>
      </c>
      <c r="C67" s="39">
        <f>E42*FCC!$C$209+F42*$C$7</f>
        <v>0</v>
      </c>
      <c r="D67" s="39">
        <f t="shared" si="2"/>
        <v>0</v>
      </c>
      <c r="E67" s="39">
        <f>IF($H$43=0,0,H42/$H$43)*'BIAYA BERSAMA'!$F$115</f>
        <v>0</v>
      </c>
      <c r="F67" s="39">
        <f>IF($H$43=0,0,H42/$H$43)*'BIAYA BERSAMA'!$F$117+IF($I$43=0,0,I42/$I$43)*'BIAYA BERSAMA'!$F$118+IF('BIAYA BERSAMA'!$F$172=0,0,I42/'BIAYA BERSAMA'!$F$172)*'BIAYA BERSAMA'!$F$176+IF($G$43=0,0,G42/$G$43)*'BIAYA BERSAMA'!$F$120</f>
        <v>0</v>
      </c>
      <c r="G67" s="39">
        <f t="shared" si="3"/>
        <v>0</v>
      </c>
      <c r="H67" s="39">
        <f t="shared" si="4"/>
        <v>0</v>
      </c>
    </row>
    <row r="68" spans="1:12" ht="14.25" customHeight="1" x14ac:dyDescent="0.35">
      <c r="A68" s="40" t="s">
        <v>9</v>
      </c>
      <c r="B68" s="42">
        <f t="shared" ref="B68:G68" si="5">SUM(B47:B67)</f>
        <v>551835128.88492227</v>
      </c>
      <c r="C68" s="42">
        <f t="shared" si="5"/>
        <v>41475184.349330872</v>
      </c>
      <c r="D68" s="42">
        <f t="shared" si="5"/>
        <v>76673618.518439546</v>
      </c>
      <c r="E68" s="42">
        <f t="shared" si="5"/>
        <v>58398428.551865451</v>
      </c>
      <c r="F68" s="42">
        <f t="shared" si="5"/>
        <v>142595717.36744457</v>
      </c>
      <c r="G68" s="42">
        <f t="shared" si="5"/>
        <v>870978077.67200279</v>
      </c>
      <c r="H68" s="42">
        <f t="shared" si="4"/>
        <v>19078.046675846035</v>
      </c>
    </row>
    <row r="70" spans="1:12" ht="14.25" customHeight="1" x14ac:dyDescent="0.35">
      <c r="A70" s="9" t="s">
        <v>491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4.25" customHeight="1" x14ac:dyDescent="0.35">
      <c r="A71" s="11" t="s">
        <v>202</v>
      </c>
      <c r="B71" s="11"/>
      <c r="C71" s="11" t="s">
        <v>231</v>
      </c>
      <c r="D71" s="11" t="s">
        <v>50</v>
      </c>
    </row>
    <row r="72" spans="1:12" ht="14.25" customHeight="1" x14ac:dyDescent="0.35">
      <c r="A72" s="12" t="s">
        <v>492</v>
      </c>
      <c r="C72" s="46">
        <f>H43-'BIAYA BERSAMA'!$F$91</f>
        <v>0</v>
      </c>
      <c r="D72" s="7" t="str">
        <f>IF(ISERROR(C72),"GAGAL",IF(ABS(C72)&lt;=0.01,"LULUS","GAGAL"))</f>
        <v>LULUS</v>
      </c>
    </row>
    <row r="73" spans="1:12" ht="14.25" customHeight="1" x14ac:dyDescent="0.35">
      <c r="A73" s="12" t="s">
        <v>493</v>
      </c>
      <c r="C73" s="46">
        <f>I43-'BIAYA BERSAMA'!$F$93</f>
        <v>0</v>
      </c>
      <c r="D73" s="7" t="str">
        <f>IF(ISERROR(C73),"GAGAL",IF(ABS(C73)&lt;=0.01,"LULUS","GAGAL"))</f>
        <v>LULUS</v>
      </c>
    </row>
    <row r="74" spans="1:12" ht="14.25" customHeight="1" x14ac:dyDescent="0.35">
      <c r="A74" s="12" t="s">
        <v>494</v>
      </c>
      <c r="C74" s="46">
        <f>E68+F68-('BIAYA BERSAMA'!$F$121-'BIAYA BERSAMA'!$F$116)</f>
        <v>0</v>
      </c>
      <c r="D74" s="7" t="str">
        <f>IF(ISERROR(C74),"GAGAL",IF(ABS(C74)&lt;=1,"LULUS","GAGAL"))</f>
        <v>LULUS</v>
      </c>
    </row>
    <row r="75" spans="1:12" ht="14.25" customHeight="1" x14ac:dyDescent="0.35">
      <c r="A75" s="12" t="s">
        <v>241</v>
      </c>
      <c r="C75" s="46">
        <f>SUMPRODUCT(--ISERROR(A9:L70))</f>
        <v>0</v>
      </c>
      <c r="D75" s="7" t="str">
        <f>IF(ISERROR(C75),"GAGAL",IF(ABS(C75)&lt;=0.5,"LULUS","GAGAL"))</f>
        <v>LULUS</v>
      </c>
    </row>
    <row r="77" spans="1:12" ht="14.25" customHeight="1" x14ac:dyDescent="0.35">
      <c r="A77" s="5"/>
    </row>
    <row r="80" spans="1:12" ht="14.25" customHeight="1" x14ac:dyDescent="0.35">
      <c r="A80" s="62" t="s">
        <v>495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1" ht="25.5" customHeight="1" x14ac:dyDescent="0.35">
      <c r="A81" s="19" t="s">
        <v>496</v>
      </c>
      <c r="B81" s="20" t="s">
        <v>497</v>
      </c>
      <c r="C81" s="20" t="s">
        <v>439</v>
      </c>
      <c r="D81" s="20" t="s">
        <v>11</v>
      </c>
      <c r="E81" s="20" t="s">
        <v>498</v>
      </c>
      <c r="F81" s="20" t="s">
        <v>499</v>
      </c>
      <c r="G81" s="20" t="s">
        <v>13</v>
      </c>
      <c r="H81" s="20" t="s">
        <v>53</v>
      </c>
      <c r="I81" s="20" t="s">
        <v>500</v>
      </c>
      <c r="J81" s="20" t="s">
        <v>501</v>
      </c>
      <c r="K81" s="20" t="s">
        <v>502</v>
      </c>
    </row>
    <row r="82" spans="1:11" ht="14.25" customHeight="1" x14ac:dyDescent="0.35">
      <c r="A82" s="63" t="s">
        <v>503</v>
      </c>
      <c r="B82" s="63">
        <v>22</v>
      </c>
      <c r="C82" s="23">
        <f>'CEM-CEM ORI'!$B$21</f>
        <v>11035.8</v>
      </c>
      <c r="D82" s="47">
        <f>'CEM-CEM ORI'!$E$43</f>
        <v>318461224.94231749</v>
      </c>
      <c r="E82" s="47">
        <f>'CEM-CEM ORI'!$D$47</f>
        <v>14727246.922700001</v>
      </c>
      <c r="F82" s="47">
        <f>'CEM-CEM ORI'!$D$52</f>
        <v>828183.24527579302</v>
      </c>
      <c r="G82" s="47">
        <f>'CEM-CEM ORI'!$D$54</f>
        <v>332360288.61974168</v>
      </c>
      <c r="H82" s="47">
        <f>'CEM-CEM ORI'!$C$118</f>
        <v>329346000</v>
      </c>
      <c r="I82" s="64">
        <f t="shared" ref="I82:I92" si="6">H82-G82</f>
        <v>-3014288.6197416782</v>
      </c>
      <c r="J82" s="65">
        <f t="shared" ref="J82:J91" si="7">IF(H82=0,0,I82/H82)</f>
        <v>-9.1523462247656822E-3</v>
      </c>
      <c r="K82" s="66" t="str">
        <f>'CEM-CEM ORI'!$C$4</f>
        <v>LULUS</v>
      </c>
    </row>
    <row r="83" spans="1:11" ht="14.25" customHeight="1" x14ac:dyDescent="0.35">
      <c r="A83" s="63" t="s">
        <v>504</v>
      </c>
      <c r="B83" s="63">
        <v>23</v>
      </c>
      <c r="C83" s="23">
        <f>'CEM-CEM BBQ'!$B$21</f>
        <v>10305</v>
      </c>
      <c r="D83" s="47">
        <f>'CEM-CEM BBQ'!$E$43</f>
        <v>292682497.83372849</v>
      </c>
      <c r="E83" s="47">
        <f>'CEM-CEM BBQ'!$D$47</f>
        <v>47681.8658</v>
      </c>
      <c r="F83" s="47">
        <f>'CEM-CEM BBQ'!$D$52</f>
        <v>13343097.60768022</v>
      </c>
      <c r="G83" s="47">
        <f>'CEM-CEM BBQ'!$D$54</f>
        <v>279387082.09184831</v>
      </c>
      <c r="H83" s="47">
        <f>'CEM-CEM BBQ'!$C$118</f>
        <v>277895250</v>
      </c>
      <c r="I83" s="64">
        <f t="shared" si="6"/>
        <v>-1491832.0918483138</v>
      </c>
      <c r="J83" s="65">
        <f t="shared" si="7"/>
        <v>-5.368325265898981E-3</v>
      </c>
      <c r="K83" s="66" t="str">
        <f>'CEM-CEM BBQ'!$C$4</f>
        <v>LULUS</v>
      </c>
    </row>
    <row r="84" spans="1:11" ht="14.25" customHeight="1" x14ac:dyDescent="0.35">
      <c r="A84" s="63" t="s">
        <v>505</v>
      </c>
      <c r="B84" s="63">
        <v>24</v>
      </c>
      <c r="C84" s="23">
        <f>KOPERASI!$M$7</f>
        <v>2967.5</v>
      </c>
      <c r="D84" s="47">
        <f>KOPERASI!$M$22</f>
        <v>30201446.281574823</v>
      </c>
      <c r="E84" s="47">
        <f>KOPERASI!$M$28</f>
        <v>0</v>
      </c>
      <c r="F84" s="47">
        <f>KOPERASI!$M$35</f>
        <v>0</v>
      </c>
      <c r="G84" s="47">
        <f>KOPERASI!$M$38</f>
        <v>30201446.281574823</v>
      </c>
      <c r="H84" s="47">
        <f>KOPERASI!$M$136</f>
        <v>28518903.469999995</v>
      </c>
      <c r="I84" s="64">
        <f t="shared" si="6"/>
        <v>-1682542.8115748279</v>
      </c>
      <c r="J84" s="65">
        <f t="shared" si="7"/>
        <v>-5.8997458066533025E-2</v>
      </c>
      <c r="K84" s="66" t="str">
        <f>KOPERASI!$C$4</f>
        <v>LULUS</v>
      </c>
    </row>
    <row r="85" spans="1:11" ht="14.25" customHeight="1" x14ac:dyDescent="0.35">
      <c r="A85" s="63" t="s">
        <v>506</v>
      </c>
      <c r="B85" s="63">
        <v>25</v>
      </c>
      <c r="C85" s="23">
        <f>'MCH BASRENG L0'!$B$21</f>
        <v>0</v>
      </c>
      <c r="D85" s="47">
        <f>'MCH BASRENG L0'!$E$43</f>
        <v>0</v>
      </c>
      <c r="E85" s="47">
        <f>'MCH BASRENG L0'!$D$47</f>
        <v>0</v>
      </c>
      <c r="F85" s="47">
        <f>'MCH BASRENG L0'!$D$52</f>
        <v>0</v>
      </c>
      <c r="G85" s="47">
        <f>'MCH BASRENG L0'!$D$54</f>
        <v>0</v>
      </c>
      <c r="H85" s="47">
        <f>'MCH BASRENG L0'!$C$118</f>
        <v>0</v>
      </c>
      <c r="I85" s="64">
        <f t="shared" si="6"/>
        <v>0</v>
      </c>
      <c r="J85" s="65">
        <f t="shared" si="7"/>
        <v>0</v>
      </c>
      <c r="K85" s="66" t="str">
        <f>'MCH BASRENG L0'!$C$4</f>
        <v>LULUS</v>
      </c>
    </row>
    <row r="86" spans="1:11" ht="14.25" customHeight="1" x14ac:dyDescent="0.35">
      <c r="A86" s="63" t="s">
        <v>507</v>
      </c>
      <c r="B86" s="63">
        <v>25</v>
      </c>
      <c r="C86" s="23">
        <f>'MCH BASRENG L5'!$B$21</f>
        <v>353.28</v>
      </c>
      <c r="D86" s="47">
        <f>'MCH BASRENG L5'!$E$43</f>
        <v>2187051.8832696839</v>
      </c>
      <c r="E86" s="47">
        <f>'MCH BASRENG L5'!$D$47</f>
        <v>0</v>
      </c>
      <c r="F86" s="47">
        <f>'MCH BASRENG L5'!$D$52</f>
        <v>0</v>
      </c>
      <c r="G86" s="47">
        <f>'MCH BASRENG L5'!$D$54</f>
        <v>2187051.8832696839</v>
      </c>
      <c r="H86" s="47">
        <f>'MCH BASRENG L5'!$C$118</f>
        <v>1766400</v>
      </c>
      <c r="I86" s="64">
        <f t="shared" si="6"/>
        <v>-420651.88326968392</v>
      </c>
      <c r="J86" s="65">
        <f t="shared" si="7"/>
        <v>-0.23814078536553665</v>
      </c>
      <c r="K86" s="66" t="str">
        <f>'MCH BASRENG L5'!$C$4</f>
        <v>LULUS</v>
      </c>
    </row>
    <row r="87" spans="1:11" ht="14.25" customHeight="1" x14ac:dyDescent="0.35">
      <c r="A87" s="63" t="s">
        <v>508</v>
      </c>
      <c r="B87" s="63">
        <v>25</v>
      </c>
      <c r="C87" s="23">
        <f>'MCH BASRENG L10'!$B$21</f>
        <v>573.28</v>
      </c>
      <c r="D87" s="47">
        <f>'MCH BASRENG L10'!$E$43</f>
        <v>3268441.5532241999</v>
      </c>
      <c r="E87" s="47">
        <f>'MCH BASRENG L10'!$D$47</f>
        <v>0</v>
      </c>
      <c r="F87" s="47">
        <f>'MCH BASRENG L10'!$D$52</f>
        <v>0</v>
      </c>
      <c r="G87" s="47">
        <f>'MCH BASRENG L10'!$D$54</f>
        <v>3268441.5532241999</v>
      </c>
      <c r="H87" s="47">
        <f>'MCH BASRENG L10'!$C$118</f>
        <v>2866400</v>
      </c>
      <c r="I87" s="64">
        <f t="shared" si="6"/>
        <v>-402041.55322419992</v>
      </c>
      <c r="J87" s="65">
        <f t="shared" si="7"/>
        <v>-0.14026010090154895</v>
      </c>
      <c r="K87" s="66" t="str">
        <f>'MCH BASRENG L10'!$C$4</f>
        <v>LULUS</v>
      </c>
    </row>
    <row r="88" spans="1:11" ht="14.25" customHeight="1" x14ac:dyDescent="0.35">
      <c r="A88" s="63" t="s">
        <v>509</v>
      </c>
      <c r="B88" s="63">
        <v>26</v>
      </c>
      <c r="C88" s="23">
        <f>'MCH KERIPIK LV3'!$B$21</f>
        <v>1966</v>
      </c>
      <c r="D88" s="47">
        <f>'MCH KERIPIK LV3'!$E$43</f>
        <v>39680414.242097206</v>
      </c>
      <c r="E88" s="47">
        <f>'MCH KERIPIK LV3'!$D$47</f>
        <v>0</v>
      </c>
      <c r="F88" s="47">
        <f>'MCH KERIPIK LV3'!$D$52</f>
        <v>0</v>
      </c>
      <c r="G88" s="47">
        <f>'MCH KERIPIK LV3'!$D$54</f>
        <v>39680414.242097206</v>
      </c>
      <c r="H88" s="47">
        <f>'MCH KERIPIK LV3'!$C$118</f>
        <v>55850000</v>
      </c>
      <c r="I88" s="64">
        <f t="shared" si="6"/>
        <v>16169585.757902794</v>
      </c>
      <c r="J88" s="65">
        <f t="shared" si="7"/>
        <v>0.28951809772431142</v>
      </c>
      <c r="K88" s="66" t="str">
        <f>'MCH KERIPIK LV3'!$C$4</f>
        <v>LULUS</v>
      </c>
    </row>
    <row r="89" spans="1:11" ht="14.25" customHeight="1" x14ac:dyDescent="0.35">
      <c r="A89" s="63" t="s">
        <v>510</v>
      </c>
      <c r="B89" s="63">
        <v>26</v>
      </c>
      <c r="C89" s="23">
        <f>'MCH KERIPIK LV10'!$B$21</f>
        <v>2049.04</v>
      </c>
      <c r="D89" s="47">
        <f>'MCH KERIPIK LV10'!$E$43</f>
        <v>51159136.966971666</v>
      </c>
      <c r="E89" s="47">
        <f>'MCH KERIPIK LV10'!$D$47</f>
        <v>0</v>
      </c>
      <c r="F89" s="47">
        <f>'MCH KERIPIK LV10'!$D$52</f>
        <v>0</v>
      </c>
      <c r="G89" s="47">
        <f>'MCH KERIPIK LV10'!$D$54</f>
        <v>51159136.966971666</v>
      </c>
      <c r="H89" s="47">
        <f>'MCH KERIPIK LV10'!$C$118</f>
        <v>67482000</v>
      </c>
      <c r="I89" s="64">
        <f t="shared" si="6"/>
        <v>16322863.033028334</v>
      </c>
      <c r="J89" s="65">
        <f t="shared" si="7"/>
        <v>0.24188469566741255</v>
      </c>
      <c r="K89" s="66" t="str">
        <f>'MCH KERIPIK LV10'!$C$4</f>
        <v>LULUS</v>
      </c>
    </row>
    <row r="90" spans="1:11" ht="14.25" customHeight="1" x14ac:dyDescent="0.35">
      <c r="A90" s="63" t="s">
        <v>511</v>
      </c>
      <c r="B90" s="63">
        <v>27</v>
      </c>
      <c r="C90" s="23">
        <f>'MCH KERIPIK LV5'!$B$21</f>
        <v>1601.04</v>
      </c>
      <c r="D90" s="47">
        <f>'MCH KERIPIK LV5'!$E$43</f>
        <v>38895379.238506667</v>
      </c>
      <c r="E90" s="47">
        <f>'MCH KERIPIK LV5'!$D$47</f>
        <v>0</v>
      </c>
      <c r="F90" s="47">
        <f>'MCH KERIPIK LV5'!$D$52</f>
        <v>0</v>
      </c>
      <c r="G90" s="47">
        <f>'MCH KERIPIK LV5'!$D$54</f>
        <v>38895379.238506667</v>
      </c>
      <c r="H90" s="47">
        <f>'MCH KERIPIK LV5'!$C$118</f>
        <v>49606000</v>
      </c>
      <c r="I90" s="64">
        <f t="shared" si="6"/>
        <v>10710620.761493333</v>
      </c>
      <c r="J90" s="65">
        <f t="shared" si="7"/>
        <v>0.21591381610074048</v>
      </c>
      <c r="K90" s="66" t="str">
        <f>'MCH KERIPIK LV5'!$C$4</f>
        <v>LULUS</v>
      </c>
    </row>
    <row r="91" spans="1:11" ht="14.25" customHeight="1" x14ac:dyDescent="0.35">
      <c r="A91" s="63" t="s">
        <v>512</v>
      </c>
      <c r="B91" s="63">
        <v>41</v>
      </c>
      <c r="C91" s="23">
        <f>'UBI PUTIH ACE'!$B$21</f>
        <v>14802.48</v>
      </c>
      <c r="D91" s="47">
        <f>'UBI PUTIH ACE'!$E$43</f>
        <v>94442484.730312496</v>
      </c>
      <c r="E91" s="47">
        <f>'UBI PUTIH ACE'!$D$47</f>
        <v>0</v>
      </c>
      <c r="F91" s="47">
        <f>'UBI PUTIH ACE'!$D$52</f>
        <v>0</v>
      </c>
      <c r="G91" s="47">
        <f>'UBI PUTIH ACE'!$D$54</f>
        <v>94442484.730312482</v>
      </c>
      <c r="H91" s="47">
        <f>'UBI PUTIH ACE'!$C$118</f>
        <v>103910690</v>
      </c>
      <c r="I91" s="64">
        <f t="shared" si="6"/>
        <v>9468205.2696875185</v>
      </c>
      <c r="J91" s="65">
        <f t="shared" si="7"/>
        <v>9.1118683454873783E-2</v>
      </c>
      <c r="K91" s="66" t="str">
        <f>'UBI PUTIH ACE'!$C$4</f>
        <v>LULUS</v>
      </c>
    </row>
    <row r="92" spans="1:11" ht="14.25" customHeight="1" x14ac:dyDescent="0.35">
      <c r="A92" s="63" t="s">
        <v>513</v>
      </c>
      <c r="G92" s="64">
        <v>0</v>
      </c>
      <c r="H92" s="64">
        <f>'REKON &amp; KONTROL'!$C$74-SUM(H82:H91)</f>
        <v>432417.12000000477</v>
      </c>
      <c r="I92" s="64">
        <f t="shared" si="6"/>
        <v>432417.12000000477</v>
      </c>
      <c r="K92" s="67" t="s">
        <v>514</v>
      </c>
    </row>
    <row r="93" spans="1:11" ht="14.25" customHeight="1" x14ac:dyDescent="0.35">
      <c r="A93" s="68" t="s">
        <v>515</v>
      </c>
      <c r="B93" s="29"/>
      <c r="C93" s="69">
        <f t="shared" ref="C93:I93" si="8">SUM(C82:C92)</f>
        <v>45653.42</v>
      </c>
      <c r="D93" s="70">
        <f t="shared" si="8"/>
        <v>870978077.67200279</v>
      </c>
      <c r="E93" s="70">
        <f t="shared" si="8"/>
        <v>14774928.788500002</v>
      </c>
      <c r="F93" s="70">
        <f t="shared" si="8"/>
        <v>14171280.852956014</v>
      </c>
      <c r="G93" s="70">
        <f t="shared" si="8"/>
        <v>871581725.60754681</v>
      </c>
      <c r="H93" s="70">
        <f t="shared" si="8"/>
        <v>917674060.59000003</v>
      </c>
      <c r="I93" s="70">
        <f t="shared" si="8"/>
        <v>46092334.982453279</v>
      </c>
      <c r="J93" s="71">
        <f>IF(H93=0,0,I93/H93)</f>
        <v>5.0227348643612245E-2</v>
      </c>
      <c r="K93" s="29"/>
    </row>
    <row r="95" spans="1:11" ht="14.25" customHeight="1" x14ac:dyDescent="0.35">
      <c r="A95" s="72" t="s">
        <v>516</v>
      </c>
    </row>
    <row r="96" spans="1:11" ht="25.5" customHeight="1" x14ac:dyDescent="0.35">
      <c r="A96" s="19" t="s">
        <v>517</v>
      </c>
      <c r="B96" s="20" t="s">
        <v>518</v>
      </c>
      <c r="C96" s="20" t="s">
        <v>519</v>
      </c>
      <c r="D96" s="20" t="s">
        <v>20</v>
      </c>
    </row>
    <row r="97" spans="1:12" ht="14.25" customHeight="1" x14ac:dyDescent="0.35">
      <c r="A97" s="63" t="str">
        <f t="shared" ref="A97:A102" si="9">A22</f>
        <v>Cem-cem ORI</v>
      </c>
      <c r="B97" s="64">
        <f>SUMIF($B$82:$B$91,22,$D$82:$D$91)</f>
        <v>318461224.94231749</v>
      </c>
      <c r="C97" s="64">
        <f t="shared" ref="C97:C102" si="10">G47</f>
        <v>318461224.94231749</v>
      </c>
      <c r="D97" s="64">
        <f t="shared" ref="D97:D103" si="11">B97-C97</f>
        <v>0</v>
      </c>
    </row>
    <row r="98" spans="1:12" ht="14.25" customHeight="1" x14ac:dyDescent="0.35">
      <c r="A98" s="63" t="str">
        <f t="shared" si="9"/>
        <v>Cem-cem BBQ</v>
      </c>
      <c r="B98" s="64">
        <f>SUMIF($B$82:$B$91,23,$D$82:$D$91)</f>
        <v>292682497.83372849</v>
      </c>
      <c r="C98" s="64">
        <f t="shared" si="10"/>
        <v>292682497.83372849</v>
      </c>
      <c r="D98" s="64">
        <f t="shared" si="11"/>
        <v>0</v>
      </c>
    </row>
    <row r="99" spans="1:12" ht="14.25" customHeight="1" x14ac:dyDescent="0.35">
      <c r="A99" s="63" t="str">
        <f t="shared" si="9"/>
        <v>Koperasi (KW 2 berbumbu, 11 SKU)</v>
      </c>
      <c r="B99" s="64">
        <f>SUMIF($B$82:$B$91,24,$D$82:$D$91)</f>
        <v>30201446.281574823</v>
      </c>
      <c r="C99" s="64">
        <f t="shared" si="10"/>
        <v>30201446.281574819</v>
      </c>
      <c r="D99" s="64">
        <f t="shared" si="11"/>
        <v>0</v>
      </c>
    </row>
    <row r="100" spans="1:12" ht="14.25" customHeight="1" x14ac:dyDescent="0.35">
      <c r="A100" s="63" t="str">
        <f t="shared" si="9"/>
        <v>Maicih basreng (maklon, 3 SKU)</v>
      </c>
      <c r="B100" s="64">
        <f>SUMIF($B$82:$B$91,25,$D$82:$D$91)</f>
        <v>5455493.4364938838</v>
      </c>
      <c r="C100" s="64">
        <f t="shared" si="10"/>
        <v>5455493.4364938829</v>
      </c>
      <c r="D100" s="64">
        <f t="shared" si="11"/>
        <v>0</v>
      </c>
    </row>
    <row r="101" spans="1:12" ht="14.25" customHeight="1" x14ac:dyDescent="0.35">
      <c r="A101" s="63" t="str">
        <f t="shared" si="9"/>
        <v>Maicih keripik (LV 3 &amp; 10)</v>
      </c>
      <c r="B101" s="64">
        <f>SUMIF($B$82:$B$91,26,$D$82:$D$91)</f>
        <v>90839551.209068865</v>
      </c>
      <c r="C101" s="64">
        <f t="shared" si="10"/>
        <v>90839551.209068879</v>
      </c>
      <c r="D101" s="64">
        <f t="shared" si="11"/>
        <v>0</v>
      </c>
    </row>
    <row r="102" spans="1:12" ht="14.25" customHeight="1" x14ac:dyDescent="0.35">
      <c r="A102" s="63" t="str">
        <f t="shared" si="9"/>
        <v>Maicih keripik LV 5</v>
      </c>
      <c r="B102" s="64">
        <f>SUMIF($B$82:$B$91,27,$D$82:$D$91)</f>
        <v>38895379.238506667</v>
      </c>
      <c r="C102" s="64">
        <f t="shared" si="10"/>
        <v>38895379.238506667</v>
      </c>
      <c r="D102" s="64">
        <f t="shared" si="11"/>
        <v>0</v>
      </c>
    </row>
    <row r="103" spans="1:12" ht="14.25" customHeight="1" x14ac:dyDescent="0.35">
      <c r="A103" s="63" t="str">
        <f>A41</f>
        <v>Ubi putih ACE (Sweet Potato N110), ubi putih &amp; talas chips</v>
      </c>
      <c r="B103" s="64">
        <f>SUMIF($B$82:$B$91,41,$D$82:$D$91)</f>
        <v>94442484.730312496</v>
      </c>
      <c r="C103" s="64">
        <f>G66</f>
        <v>94442484.730312496</v>
      </c>
      <c r="D103" s="64">
        <f t="shared" si="11"/>
        <v>0</v>
      </c>
    </row>
    <row r="105" spans="1:12" ht="14.25" customHeight="1" x14ac:dyDescent="0.35">
      <c r="A105" s="62" t="s">
        <v>520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25.5" customHeight="1" x14ac:dyDescent="0.35">
      <c r="A106" s="19" t="s">
        <v>202</v>
      </c>
      <c r="B106" s="20"/>
      <c r="C106" s="20" t="s">
        <v>231</v>
      </c>
      <c r="D106" s="20" t="s">
        <v>50</v>
      </c>
    </row>
    <row r="107" spans="1:12" ht="14.25" customHeight="1" x14ac:dyDescent="0.35">
      <c r="A107" s="63" t="s">
        <v>521</v>
      </c>
      <c r="C107" s="73">
        <f>SUMPRODUCT(ABS(D97:D103))</f>
        <v>0</v>
      </c>
      <c r="D107" s="72" t="str">
        <f>IF(ISERROR(C107),"GAGAL",IF(ABS(C107)&lt;=1,"LULUS","GAGAL"))</f>
        <v>LULUS</v>
      </c>
    </row>
    <row r="108" spans="1:12" ht="14.25" customHeight="1" x14ac:dyDescent="0.35">
      <c r="A108" s="63" t="s">
        <v>522</v>
      </c>
      <c r="C108" s="73">
        <f>D93-G68</f>
        <v>0</v>
      </c>
      <c r="D108" s="72" t="str">
        <f>IF(ISERROR(C108),"GAGAL",IF(ABS(C108)&lt;=1,"LULUS","GAGAL"))</f>
        <v>LULUS</v>
      </c>
    </row>
    <row r="109" spans="1:12" ht="14.25" customHeight="1" x14ac:dyDescent="0.35">
      <c r="A109" s="63" t="s">
        <v>523</v>
      </c>
      <c r="C109" s="73">
        <f>COUNTIF(K82:K91,"GAGAL")</f>
        <v>0</v>
      </c>
      <c r="D109" s="72" t="str">
        <f>IF(ISERROR(C109),"GAGAL",IF(ABS(C109)&lt;=0.5,"LULUS","GAGAL"))</f>
        <v>LULUS</v>
      </c>
    </row>
    <row r="110" spans="1:12" ht="14.25" customHeight="1" x14ac:dyDescent="0.35">
      <c r="A110" s="63" t="s">
        <v>524</v>
      </c>
      <c r="C110" s="73">
        <f>MIN(0,H92)</f>
        <v>0</v>
      </c>
      <c r="D110" s="72" t="str">
        <f>IF(ISERROR(C110),"GAGAL",IF(ABS(C110)&lt;=1,"LULUS","GAGAL"))</f>
        <v>LULUS</v>
      </c>
    </row>
  </sheetData>
  <dataValidations count="1">
    <dataValidation type="list" sqref="C5" xr:uid="{00000000-0002-0000-04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525</v>
      </c>
    </row>
    <row r="2" spans="1:8" ht="15" customHeight="1" x14ac:dyDescent="0.35">
      <c r="A2" s="75" t="s">
        <v>526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248.55319782766404</v>
      </c>
      <c r="C7" s="64">
        <f>F31</f>
        <v>22522.444936267788</v>
      </c>
      <c r="D7" s="65">
        <f t="shared" ref="D7:D12" si="0">IF($B$12=0,0,B7/$B$12)</f>
        <v>0.78048182434983793</v>
      </c>
    </row>
    <row r="8" spans="1:8" ht="15" customHeight="1" x14ac:dyDescent="0.35">
      <c r="A8" s="63" t="s">
        <v>530</v>
      </c>
      <c r="B8" s="73">
        <f>(E32+E33)/10^6</f>
        <v>0</v>
      </c>
      <c r="C8" s="64">
        <f>F32+F33</f>
        <v>0</v>
      </c>
      <c r="D8" s="65">
        <f t="shared" si="0"/>
        <v>0</v>
      </c>
    </row>
    <row r="9" spans="1:8" ht="15" customHeight="1" x14ac:dyDescent="0.35">
      <c r="A9" s="63" t="s">
        <v>487</v>
      </c>
      <c r="B9" s="73">
        <f>E34/10^6</f>
        <v>0.71279999999999999</v>
      </c>
      <c r="C9" s="64">
        <f>F34</f>
        <v>64.589789593867238</v>
      </c>
      <c r="D9" s="65">
        <f t="shared" si="0"/>
        <v>2.2382630730918927E-3</v>
      </c>
    </row>
    <row r="10" spans="1:8" ht="15" customHeight="1" x14ac:dyDescent="0.35">
      <c r="A10" s="63" t="s">
        <v>109</v>
      </c>
      <c r="B10" s="73">
        <f>E37/10^6</f>
        <v>19.15992108105447</v>
      </c>
      <c r="C10" s="64">
        <f>F37</f>
        <v>1736.1605937996767</v>
      </c>
      <c r="D10" s="65">
        <f t="shared" si="0"/>
        <v>6.0164062624970704E-2</v>
      </c>
    </row>
    <row r="11" spans="1:8" ht="15" customHeight="1" x14ac:dyDescent="0.35">
      <c r="A11" s="63" t="s">
        <v>110</v>
      </c>
      <c r="B11" s="73">
        <f>E41/10^6</f>
        <v>50.03530603359895</v>
      </c>
      <c r="C11" s="64">
        <f>F41</f>
        <v>4533.9083739827611</v>
      </c>
      <c r="D11" s="65">
        <f t="shared" si="0"/>
        <v>0.15711584995209948</v>
      </c>
    </row>
    <row r="12" spans="1:8" ht="15" customHeight="1" x14ac:dyDescent="0.35">
      <c r="A12" s="72" t="s">
        <v>11</v>
      </c>
      <c r="B12" s="76">
        <f>E43/10^6</f>
        <v>318.46122494231747</v>
      </c>
      <c r="C12" s="64">
        <f>F43</f>
        <v>28857.103693644094</v>
      </c>
      <c r="D12" s="65">
        <f t="shared" si="0"/>
        <v>1</v>
      </c>
    </row>
    <row r="13" spans="1:8" ht="15" customHeight="1" x14ac:dyDescent="0.35">
      <c r="A13" s="63" t="s">
        <v>531</v>
      </c>
      <c r="B13" s="73">
        <f>B21</f>
        <v>11035.8</v>
      </c>
      <c r="C13" s="73">
        <f>C21</f>
        <v>183930</v>
      </c>
    </row>
    <row r="14" spans="1:8" ht="15" customHeight="1" x14ac:dyDescent="0.35">
      <c r="A14" s="63" t="s">
        <v>532</v>
      </c>
      <c r="B14" s="73">
        <f>D54/10^6</f>
        <v>332.36028861974165</v>
      </c>
      <c r="C14" s="64">
        <f>C55</f>
        <v>1725.6505120443494</v>
      </c>
    </row>
    <row r="15" spans="1:8" ht="15" customHeight="1" x14ac:dyDescent="0.35">
      <c r="A15" s="63" t="s">
        <v>533</v>
      </c>
      <c r="B15" s="73">
        <f>$C$118/10^6</f>
        <v>329.346</v>
      </c>
      <c r="C15" s="64">
        <f>IF($C$117=0,0,$C$118/$C$117)</f>
        <v>1710</v>
      </c>
    </row>
    <row r="16" spans="1:8" ht="15" customHeight="1" x14ac:dyDescent="0.35">
      <c r="A16" s="72" t="s">
        <v>115</v>
      </c>
      <c r="B16" s="76">
        <f>B15-B14</f>
        <v>-3.0142886197416487</v>
      </c>
      <c r="C16" s="77">
        <f>IF(B15=0,0,B16/B15)</f>
        <v>-9.152346224765592E-3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535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11035.8</v>
      </c>
      <c r="C21" s="73">
        <f>$C$103</f>
        <v>183930</v>
      </c>
      <c r="D21" s="67"/>
    </row>
    <row r="22" spans="1:8" ht="15" customHeight="1" x14ac:dyDescent="0.35">
      <c r="A22" s="63" t="s">
        <v>537</v>
      </c>
      <c r="B22" s="73">
        <f>$C$104</f>
        <v>19.440000000000001</v>
      </c>
      <c r="C22" s="73">
        <f>$C$105</f>
        <v>324</v>
      </c>
      <c r="D22" s="67" t="s">
        <v>538</v>
      </c>
    </row>
    <row r="23" spans="1:8" ht="15" customHeight="1" x14ac:dyDescent="0.35">
      <c r="A23" s="63" t="s">
        <v>539</v>
      </c>
      <c r="B23" s="73">
        <f>SUMIF($B$128:$B$130,"FCC",$C$128:$C$130)</f>
        <v>10411.5</v>
      </c>
      <c r="D23" s="67" t="s">
        <v>540</v>
      </c>
    </row>
    <row r="24" spans="1:8" ht="15" customHeight="1" x14ac:dyDescent="0.35">
      <c r="A24" s="63" t="s">
        <v>541</v>
      </c>
      <c r="B24" s="73">
        <f>SUMIF($B$128:$B$130,"KW2",$C$128:$C$130)</f>
        <v>0</v>
      </c>
      <c r="D24" s="67" t="s">
        <v>540</v>
      </c>
    </row>
    <row r="25" spans="1:8" ht="15" customHeight="1" x14ac:dyDescent="0.35">
      <c r="A25" s="63" t="s">
        <v>542</v>
      </c>
      <c r="B25" s="73">
        <f>SUMIF($B$128:$B$130,"KW2UBI",$C$128:$C$130)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1.0599625414205445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10411.5</v>
      </c>
      <c r="C31" s="63" t="s">
        <v>137</v>
      </c>
      <c r="D31" s="47">
        <f>FCC!$D$89</f>
        <v>23872.94797365068</v>
      </c>
      <c r="E31" s="64">
        <f>B31*D31</f>
        <v>248553197.82766405</v>
      </c>
      <c r="F31" s="64">
        <f>IF($B$21=0,0,E31/$B$21)</f>
        <v>22522.444936267788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0</v>
      </c>
      <c r="C32" s="63" t="s">
        <v>137</v>
      </c>
      <c r="D32" s="47">
        <f>FCC!$C$209</f>
        <v>9777.2711808889308</v>
      </c>
      <c r="E32" s="64">
        <f>B32*D32</f>
        <v>0</v>
      </c>
      <c r="F32" s="64">
        <f>IF($B$21=0,0,E32/$B$21)</f>
        <v>0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SUMIF($B$128:$B$130,"EXT",$F$128:$F$130)</f>
        <v>712800</v>
      </c>
      <c r="F34" s="64">
        <f>IF($B$21=0,0,E34/$B$21)</f>
        <v>64.589789593867238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249265997.82766405</v>
      </c>
      <c r="F35" s="64">
        <f>IF($B$21=0,0,E35/$B$21)</f>
        <v>22587.034725861657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882.28229999999996</v>
      </c>
      <c r="C37" s="63" t="s">
        <v>262</v>
      </c>
      <c r="D37" s="80">
        <f>IF('LAIN-LAIN'!$H$43=0,0,B37/'LAIN-LAIN'!$H$43)</f>
        <v>0.32808966878343226</v>
      </c>
      <c r="E37" s="47">
        <f>D37*'BIAYA BERSAMA'!$F$115</f>
        <v>19159921.081054471</v>
      </c>
      <c r="F37" s="64">
        <f t="shared" ref="F37:F43" si="1">IF($B$21=0,0,E37/$B$21)</f>
        <v>1736.1605937996767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882.28229999999996</v>
      </c>
      <c r="C38" s="63" t="s">
        <v>262</v>
      </c>
      <c r="D38" s="80">
        <f>IF('LAIN-LAIN'!$H$43=0,0,B38/'LAIN-LAIN'!$H$43)</f>
        <v>0.32808966878343226</v>
      </c>
      <c r="E38" s="47">
        <f>D38*'BIAYA BERSAMA'!$F$117</f>
        <v>17128969.428098891</v>
      </c>
      <c r="F38" s="64">
        <f t="shared" si="1"/>
        <v>1552.1275691928897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3936.4737</v>
      </c>
      <c r="C39" s="63" t="s">
        <v>265</v>
      </c>
      <c r="D39" s="80">
        <f>IF('LAIN-LAIN'!$I$43=0,0,B39/'LAIN-LAIN'!$I$43)</f>
        <v>0.38905422692130515</v>
      </c>
      <c r="E39" s="47">
        <f>D39*'BIAYA BERSAMA'!$F$118+IF('BIAYA BERSAMA'!$F$172=0,0,B39/'BIAYA BERSAMA'!$F$172)*'BIAYA BERSAMA'!$F$176</f>
        <v>32863524.006525859</v>
      </c>
      <c r="F39" s="64">
        <f t="shared" si="1"/>
        <v>2977.9013761146325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712800</v>
      </c>
      <c r="C40" s="63" t="s">
        <v>140</v>
      </c>
      <c r="D40" s="80">
        <f>IF('LAIN-LAIN'!$G$43=0,0,B40/'LAIN-LAIN'!$G$43)</f>
        <v>9.2965483274873202E-3</v>
      </c>
      <c r="E40" s="47">
        <f>D40*'BIAYA BERSAMA'!$F$120</f>
        <v>42812.598974207802</v>
      </c>
      <c r="F40" s="64">
        <f t="shared" si="1"/>
        <v>3.8794286752394758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50035306.033598952</v>
      </c>
      <c r="F41" s="64">
        <f t="shared" si="1"/>
        <v>4533.9083739827611</v>
      </c>
    </row>
    <row r="42" spans="1:8" ht="15" customHeight="1" x14ac:dyDescent="0.35">
      <c r="A42" s="72" t="s">
        <v>164</v>
      </c>
      <c r="E42" s="79">
        <f>E37+E41</f>
        <v>69195227.114653423</v>
      </c>
      <c r="F42" s="64">
        <f t="shared" si="1"/>
        <v>6270.0689677824375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318461224.94231749</v>
      </c>
      <c r="F43" s="81">
        <f t="shared" si="1"/>
        <v>28857.103693644094</v>
      </c>
      <c r="G43" s="29"/>
    </row>
    <row r="45" spans="1:8" ht="15" customHeight="1" x14ac:dyDescent="0.35">
      <c r="A45" s="62" t="s">
        <v>561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562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9180</v>
      </c>
      <c r="C47" s="64"/>
      <c r="D47" s="64">
        <f>$C$109</f>
        <v>14727246.922700001</v>
      </c>
      <c r="E47" s="73">
        <f>$C$108</f>
        <v>9180</v>
      </c>
      <c r="F47" s="64">
        <f>$C$110</f>
        <v>12074636.68</v>
      </c>
      <c r="G47" s="64">
        <f>D47-F47</f>
        <v>2652610.2427000012</v>
      </c>
    </row>
    <row r="48" spans="1:8" ht="15" customHeight="1" x14ac:dyDescent="0.35">
      <c r="A48" s="63" t="s">
        <v>180</v>
      </c>
      <c r="B48" s="73">
        <f>C21</f>
        <v>183930</v>
      </c>
      <c r="C48" s="64"/>
      <c r="D48" s="64">
        <f>E43</f>
        <v>318461224.94231749</v>
      </c>
      <c r="E48" s="73">
        <f>$C$111</f>
        <v>183900</v>
      </c>
      <c r="F48" s="64">
        <f>$C$112</f>
        <v>238283522.13</v>
      </c>
      <c r="G48" s="64">
        <f>D48-F48</f>
        <v>80177702.812317491</v>
      </c>
    </row>
    <row r="49" spans="1:8" ht="15" customHeight="1" x14ac:dyDescent="0.35">
      <c r="A49" s="63" t="s">
        <v>181</v>
      </c>
      <c r="B49" s="73">
        <f>B47+B48</f>
        <v>193110</v>
      </c>
      <c r="C49" s="64"/>
      <c r="D49" s="64">
        <f>D47+D48</f>
        <v>333188471.86501747</v>
      </c>
      <c r="E49" s="73">
        <f>E47+E48</f>
        <v>193080</v>
      </c>
      <c r="F49" s="64">
        <f>F47+F48</f>
        <v>250358158.81</v>
      </c>
      <c r="G49" s="64">
        <f>D49-F49</f>
        <v>82830313.055017471</v>
      </c>
    </row>
    <row r="50" spans="1:8" ht="15" customHeight="1" x14ac:dyDescent="0.35">
      <c r="A50" s="63" t="s">
        <v>568</v>
      </c>
      <c r="B50" s="73"/>
      <c r="C50" s="64">
        <f>IF(B49=0,0,D49/B49)</f>
        <v>1725.3817609912355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192600</v>
      </c>
      <c r="C51" s="64"/>
      <c r="D51" s="64">
        <f>B51*$C$50</f>
        <v>332308527.16691196</v>
      </c>
      <c r="E51" s="73">
        <f>$C$113</f>
        <v>192600</v>
      </c>
      <c r="F51" s="64">
        <f>$C$114</f>
        <v>249720345</v>
      </c>
      <c r="G51" s="64">
        <f>D51-F51</f>
        <v>82588182.16691196</v>
      </c>
    </row>
    <row r="52" spans="1:8" ht="15" customHeight="1" x14ac:dyDescent="0.35">
      <c r="A52" s="63" t="s">
        <v>570</v>
      </c>
      <c r="B52" s="73">
        <f>$C$115</f>
        <v>480</v>
      </c>
      <c r="C52" s="64"/>
      <c r="D52" s="64">
        <f>B52*$C$50</f>
        <v>828183.24527579302</v>
      </c>
      <c r="E52" s="73">
        <f>$C$115</f>
        <v>480</v>
      </c>
      <c r="F52" s="64">
        <f>$C$116</f>
        <v>637813.81000000006</v>
      </c>
      <c r="G52" s="64">
        <f>D52-F52</f>
        <v>190369.43527579296</v>
      </c>
    </row>
    <row r="53" spans="1:8" ht="15" customHeight="1" x14ac:dyDescent="0.35">
      <c r="A53" s="63" t="s">
        <v>571</v>
      </c>
      <c r="B53" s="73">
        <f>B49-B51-B52</f>
        <v>30</v>
      </c>
      <c r="C53" s="64"/>
      <c r="D53" s="64">
        <f>B53*$C$50</f>
        <v>51761.452829737063</v>
      </c>
      <c r="E53" s="73">
        <f>E49-E51-E52</f>
        <v>0</v>
      </c>
      <c r="F53" s="64">
        <f>F49-F51-F52</f>
        <v>2.3283064365386963E-9</v>
      </c>
      <c r="G53" s="64">
        <f>D53-F53</f>
        <v>51761.452829734735</v>
      </c>
    </row>
    <row r="54" spans="1:8" ht="15" customHeight="1" x14ac:dyDescent="0.35">
      <c r="A54" s="68" t="s">
        <v>572</v>
      </c>
      <c r="B54" s="29"/>
      <c r="C54" s="29"/>
      <c r="D54" s="70">
        <f>D51+D53</f>
        <v>332360288.61974168</v>
      </c>
      <c r="E54" s="29"/>
      <c r="F54" s="81">
        <f>F51+F53</f>
        <v>249720345</v>
      </c>
      <c r="G54" s="81">
        <f>D54-F54</f>
        <v>82639943.619741678</v>
      </c>
    </row>
    <row r="55" spans="1:8" ht="15" customHeight="1" x14ac:dyDescent="0.35">
      <c r="A55" s="63" t="s">
        <v>573</v>
      </c>
      <c r="C55" s="64">
        <f>IF(B51=0,0,D54/B51)</f>
        <v>1725.6505120443494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30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224440818.39359999</v>
      </c>
      <c r="C61" s="64">
        <f>E35</f>
        <v>249265997.82766405</v>
      </c>
      <c r="D61" s="64">
        <f t="shared" ref="D61:D66" si="2">C61-B61</f>
        <v>24825179.43406406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15819480.101</v>
      </c>
      <c r="C62" s="64">
        <f>E37+E38</f>
        <v>36288890.509153366</v>
      </c>
      <c r="D62" s="64">
        <f t="shared" si="2"/>
        <v>20469410.408153366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4257557.7333000004</v>
      </c>
      <c r="C63" s="64">
        <f>E39+E40</f>
        <v>32906336.605500069</v>
      </c>
      <c r="D63" s="64">
        <f t="shared" si="2"/>
        <v>28648778.872200068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244517856.2279</v>
      </c>
      <c r="C64" s="64">
        <f>SUM(C61:C63)</f>
        <v>318461224.94231743</v>
      </c>
      <c r="D64" s="64">
        <f t="shared" si="2"/>
        <v>73943368.714417428</v>
      </c>
      <c r="E64" s="67"/>
    </row>
    <row r="65" spans="1:8" ht="15" customHeight="1" x14ac:dyDescent="0.35">
      <c r="A65" s="63" t="s">
        <v>584</v>
      </c>
      <c r="B65" s="73">
        <f>$C$122</f>
        <v>882.28229999999996</v>
      </c>
      <c r="C65" s="73">
        <f>$C$106</f>
        <v>882.28229999999996</v>
      </c>
      <c r="D65" s="73">
        <f t="shared" si="2"/>
        <v>0</v>
      </c>
    </row>
    <row r="66" spans="1:8" ht="15" customHeight="1" x14ac:dyDescent="0.35">
      <c r="A66" s="63" t="s">
        <v>585</v>
      </c>
      <c r="B66" s="73">
        <f>$C$123</f>
        <v>3936.4737</v>
      </c>
      <c r="C66" s="73">
        <f>$C$107</f>
        <v>3936.4737</v>
      </c>
      <c r="D66" s="73">
        <f t="shared" si="2"/>
        <v>0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E34-SUMIF($B$128:$B$130,"EXT",$F$128:$F$130)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COUNTA($A$128:$A$130)-COUNTIF($B$128:$B$130,"FCC")-COUNTIF($B$128:$B$130,"KW2")-COUNTIF($B$128:$B$130,"KW2UBI")-COUNTIF($B$128:$B$130,"EXT")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-1.6028934624046087E-8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11035.8</v>
      </c>
      <c r="D102" s="63" t="s">
        <v>246</v>
      </c>
      <c r="E102" s="67" t="s">
        <v>593</v>
      </c>
    </row>
    <row r="103" spans="1:8" ht="15" customHeight="1" x14ac:dyDescent="0.35">
      <c r="A103" s="63" t="s">
        <v>536</v>
      </c>
      <c r="B103" s="63" t="s">
        <v>594</v>
      </c>
      <c r="C103" s="82">
        <v>183930</v>
      </c>
      <c r="D103" s="63" t="s">
        <v>246</v>
      </c>
      <c r="E103" s="67" t="s">
        <v>595</v>
      </c>
    </row>
    <row r="104" spans="1:8" ht="15" customHeight="1" x14ac:dyDescent="0.35">
      <c r="A104" s="63" t="s">
        <v>537</v>
      </c>
      <c r="B104" s="63" t="s">
        <v>137</v>
      </c>
      <c r="C104" s="82">
        <v>19.440000000000001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594</v>
      </c>
      <c r="C105" s="82">
        <v>324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882.28229999999996</v>
      </c>
      <c r="D106" s="63" t="s">
        <v>246</v>
      </c>
      <c r="E106" s="67" t="s">
        <v>599</v>
      </c>
    </row>
    <row r="107" spans="1:8" ht="15" customHeight="1" x14ac:dyDescent="0.35">
      <c r="A107" s="63" t="s">
        <v>600</v>
      </c>
      <c r="B107" s="63" t="s">
        <v>265</v>
      </c>
      <c r="C107" s="82">
        <v>3936.4737</v>
      </c>
      <c r="D107" s="63" t="s">
        <v>246</v>
      </c>
      <c r="E107" s="67" t="s">
        <v>601</v>
      </c>
    </row>
    <row r="108" spans="1:8" ht="15" customHeight="1" x14ac:dyDescent="0.35">
      <c r="A108" s="63" t="s">
        <v>602</v>
      </c>
      <c r="B108" s="63" t="s">
        <v>594</v>
      </c>
      <c r="C108" s="82">
        <v>9180</v>
      </c>
      <c r="D108" s="63" t="s">
        <v>246</v>
      </c>
      <c r="E108" s="67" t="s">
        <v>603</v>
      </c>
    </row>
    <row r="109" spans="1:8" ht="15" customHeight="1" x14ac:dyDescent="0.35">
      <c r="A109" s="63" t="s">
        <v>604</v>
      </c>
      <c r="B109" s="63" t="s">
        <v>140</v>
      </c>
      <c r="C109" s="33">
        <v>14727246.922700001</v>
      </c>
      <c r="D109" s="63" t="s">
        <v>605</v>
      </c>
      <c r="E109" s="67" t="s">
        <v>606</v>
      </c>
    </row>
    <row r="110" spans="1:8" ht="15" customHeight="1" x14ac:dyDescent="0.35">
      <c r="A110" s="63" t="s">
        <v>607</v>
      </c>
      <c r="B110" s="63" t="s">
        <v>140</v>
      </c>
      <c r="C110" s="33">
        <v>12074636.68</v>
      </c>
      <c r="D110" s="63" t="s">
        <v>246</v>
      </c>
      <c r="E110" s="67" t="s">
        <v>608</v>
      </c>
    </row>
    <row r="111" spans="1:8" ht="15" customHeight="1" x14ac:dyDescent="0.35">
      <c r="A111" s="63" t="s">
        <v>609</v>
      </c>
      <c r="B111" s="63" t="s">
        <v>594</v>
      </c>
      <c r="C111" s="82">
        <v>183900</v>
      </c>
      <c r="D111" s="63" t="s">
        <v>246</v>
      </c>
      <c r="E111" s="67" t="s">
        <v>610</v>
      </c>
    </row>
    <row r="112" spans="1:8" ht="15" customHeight="1" x14ac:dyDescent="0.35">
      <c r="A112" s="63" t="s">
        <v>611</v>
      </c>
      <c r="B112" s="63" t="s">
        <v>140</v>
      </c>
      <c r="C112" s="33">
        <v>238283522.13</v>
      </c>
      <c r="D112" s="63" t="s">
        <v>246</v>
      </c>
      <c r="E112" s="67" t="s">
        <v>610</v>
      </c>
    </row>
    <row r="113" spans="1:8" ht="15" customHeight="1" x14ac:dyDescent="0.35">
      <c r="A113" s="63" t="s">
        <v>612</v>
      </c>
      <c r="B113" s="63" t="s">
        <v>594</v>
      </c>
      <c r="C113" s="82">
        <v>192600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249720345</v>
      </c>
      <c r="D114" s="63" t="s">
        <v>246</v>
      </c>
      <c r="E114" s="67" t="s">
        <v>613</v>
      </c>
    </row>
    <row r="115" spans="1:8" ht="15" customHeight="1" x14ac:dyDescent="0.35">
      <c r="A115" s="63" t="s">
        <v>615</v>
      </c>
      <c r="B115" s="63" t="s">
        <v>594</v>
      </c>
      <c r="C115" s="82">
        <v>480</v>
      </c>
      <c r="D115" s="63" t="s">
        <v>246</v>
      </c>
      <c r="E115" s="67" t="s">
        <v>616</v>
      </c>
    </row>
    <row r="116" spans="1:8" ht="15" customHeight="1" x14ac:dyDescent="0.35">
      <c r="A116" s="63" t="s">
        <v>617</v>
      </c>
      <c r="B116" s="63" t="s">
        <v>140</v>
      </c>
      <c r="C116" s="33">
        <v>637813.81000000006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594</v>
      </c>
      <c r="C117" s="82">
        <v>192600</v>
      </c>
      <c r="D117" s="63" t="s">
        <v>246</v>
      </c>
      <c r="E117" s="67" t="s">
        <v>619</v>
      </c>
    </row>
    <row r="118" spans="1:8" ht="15" customHeight="1" x14ac:dyDescent="0.35">
      <c r="A118" s="63" t="s">
        <v>53</v>
      </c>
      <c r="B118" s="63" t="s">
        <v>140</v>
      </c>
      <c r="C118" s="33">
        <v>329346000</v>
      </c>
      <c r="D118" s="63" t="s">
        <v>246</v>
      </c>
      <c r="E118" s="67" t="s">
        <v>619</v>
      </c>
    </row>
    <row r="119" spans="1:8" ht="15" customHeight="1" x14ac:dyDescent="0.35">
      <c r="A119" s="63" t="s">
        <v>620</v>
      </c>
      <c r="B119" s="63" t="s">
        <v>140</v>
      </c>
      <c r="C119" s="33">
        <v>224440818.39359999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15819480.101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4257557.7333000004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882.28229999999996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3936.4737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632</v>
      </c>
      <c r="B128" s="63" t="s">
        <v>5</v>
      </c>
      <c r="C128" s="82">
        <v>10411.5</v>
      </c>
      <c r="D128" s="63" t="s">
        <v>137</v>
      </c>
      <c r="E128" s="33">
        <v>21488.548085640501</v>
      </c>
      <c r="F128" s="33">
        <v>223728018.393646</v>
      </c>
      <c r="G128" s="67" t="s">
        <v>633</v>
      </c>
    </row>
    <row r="129" spans="1:7" ht="15" customHeight="1" x14ac:dyDescent="0.35">
      <c r="A129" s="63" t="s">
        <v>634</v>
      </c>
      <c r="B129" s="63" t="s">
        <v>635</v>
      </c>
      <c r="C129" s="82">
        <v>622.54999999999995</v>
      </c>
      <c r="D129" s="63" t="s">
        <v>137</v>
      </c>
      <c r="E129" s="33">
        <v>0</v>
      </c>
      <c r="F129" s="33">
        <v>0</v>
      </c>
      <c r="G129" s="67" t="s">
        <v>636</v>
      </c>
    </row>
    <row r="130" spans="1:7" ht="15" customHeight="1" x14ac:dyDescent="0.35">
      <c r="A130" s="63" t="s">
        <v>637</v>
      </c>
      <c r="B130" s="63" t="s">
        <v>635</v>
      </c>
      <c r="C130" s="82">
        <v>108</v>
      </c>
      <c r="D130" s="63" t="s">
        <v>327</v>
      </c>
      <c r="E130" s="33">
        <v>6600</v>
      </c>
      <c r="F130" s="33">
        <v>712800</v>
      </c>
      <c r="G130" s="67" t="s">
        <v>638</v>
      </c>
    </row>
    <row r="131" spans="1:7" ht="15" customHeight="1" x14ac:dyDescent="0.35">
      <c r="A131" s="72" t="s">
        <v>9</v>
      </c>
      <c r="F131" s="79">
        <f>SUM(F128:F130)</f>
        <v>224440818.393646</v>
      </c>
    </row>
    <row r="132" spans="1:7" ht="15" customHeight="1" x14ac:dyDescent="0.35">
      <c r="A132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640</v>
      </c>
    </row>
    <row r="2" spans="1:8" ht="15" customHeight="1" x14ac:dyDescent="0.35">
      <c r="A2" s="75" t="s">
        <v>641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230.82753395722841</v>
      </c>
      <c r="C7" s="64">
        <f>F31</f>
        <v>22399.566613995965</v>
      </c>
      <c r="D7" s="65">
        <f t="shared" ref="D7:D12" si="0">IF($B$12=0,0,B7/$B$12)</f>
        <v>0.78866189698968736</v>
      </c>
    </row>
    <row r="8" spans="1:8" ht="15" customHeight="1" x14ac:dyDescent="0.35">
      <c r="A8" s="63" t="s">
        <v>530</v>
      </c>
      <c r="B8" s="73">
        <f>(E32+E33)/10^6</f>
        <v>0</v>
      </c>
      <c r="C8" s="64">
        <f>F32+F33</f>
        <v>0</v>
      </c>
      <c r="D8" s="65">
        <f t="shared" si="0"/>
        <v>0</v>
      </c>
    </row>
    <row r="9" spans="1:8" ht="15" customHeight="1" x14ac:dyDescent="0.35">
      <c r="A9" s="63" t="s">
        <v>487</v>
      </c>
      <c r="B9" s="73">
        <f>E34/10^6</f>
        <v>0</v>
      </c>
      <c r="C9" s="64">
        <f>F34</f>
        <v>0</v>
      </c>
      <c r="D9" s="65">
        <f t="shared" si="0"/>
        <v>0</v>
      </c>
    </row>
    <row r="10" spans="1:8" ht="15" customHeight="1" x14ac:dyDescent="0.35">
      <c r="A10" s="63" t="s">
        <v>109</v>
      </c>
      <c r="B10" s="73">
        <f>E37/10^6</f>
        <v>17.106326360791485</v>
      </c>
      <c r="C10" s="64">
        <f>F37</f>
        <v>1660.0025580583683</v>
      </c>
      <c r="D10" s="65">
        <f t="shared" si="0"/>
        <v>5.8446700733398499E-2</v>
      </c>
    </row>
    <row r="11" spans="1:8" ht="15" customHeight="1" x14ac:dyDescent="0.35">
      <c r="A11" s="63" t="s">
        <v>110</v>
      </c>
      <c r="B11" s="73">
        <f>E41/10^6</f>
        <v>44.748637515708602</v>
      </c>
      <c r="C11" s="64">
        <f>F41</f>
        <v>4342.4199433002041</v>
      </c>
      <c r="D11" s="65">
        <f t="shared" si="0"/>
        <v>0.152891402276914</v>
      </c>
    </row>
    <row r="12" spans="1:8" ht="15" customHeight="1" x14ac:dyDescent="0.35">
      <c r="A12" s="72" t="s">
        <v>11</v>
      </c>
      <c r="B12" s="76">
        <f>E43/10^6</f>
        <v>292.68249783372852</v>
      </c>
      <c r="C12" s="64">
        <f>F43</f>
        <v>28401.989115354536</v>
      </c>
      <c r="D12" s="65">
        <f t="shared" si="0"/>
        <v>1</v>
      </c>
    </row>
    <row r="13" spans="1:8" ht="15" customHeight="1" x14ac:dyDescent="0.35">
      <c r="A13" s="63" t="s">
        <v>531</v>
      </c>
      <c r="B13" s="73">
        <f>B21</f>
        <v>10305</v>
      </c>
      <c r="C13" s="73">
        <f>C21</f>
        <v>171750</v>
      </c>
    </row>
    <row r="14" spans="1:8" ht="15" customHeight="1" x14ac:dyDescent="0.35">
      <c r="A14" s="63" t="s">
        <v>532</v>
      </c>
      <c r="B14" s="73">
        <f>D54/10^6</f>
        <v>279.3870820918483</v>
      </c>
      <c r="C14" s="64">
        <f>C55</f>
        <v>1704.0993113256989</v>
      </c>
    </row>
    <row r="15" spans="1:8" ht="15" customHeight="1" x14ac:dyDescent="0.35">
      <c r="A15" s="63" t="s">
        <v>533</v>
      </c>
      <c r="B15" s="73">
        <f>$C$118/10^6</f>
        <v>277.89524999999998</v>
      </c>
      <c r="C15" s="64">
        <f>IF($C$117=0,0,$C$118/$C$117)</f>
        <v>1695</v>
      </c>
    </row>
    <row r="16" spans="1:8" ht="15" customHeight="1" x14ac:dyDescent="0.35">
      <c r="A16" s="72" t="s">
        <v>115</v>
      </c>
      <c r="B16" s="76">
        <f>B15-B14</f>
        <v>-1.4918320918483232</v>
      </c>
      <c r="C16" s="77">
        <f>IF(B15=0,0,B16/B15)</f>
        <v>-5.3683252658990157E-3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535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10305</v>
      </c>
      <c r="C21" s="73">
        <f>$C$103</f>
        <v>171750</v>
      </c>
      <c r="D21" s="67"/>
    </row>
    <row r="22" spans="1:8" ht="15" customHeight="1" x14ac:dyDescent="0.35">
      <c r="A22" s="63" t="s">
        <v>537</v>
      </c>
      <c r="B22" s="73">
        <f>$C$104</f>
        <v>12.24</v>
      </c>
      <c r="C22" s="73">
        <f>$C$105</f>
        <v>204</v>
      </c>
      <c r="D22" s="67" t="s">
        <v>538</v>
      </c>
    </row>
    <row r="23" spans="1:8" ht="15" customHeight="1" x14ac:dyDescent="0.35">
      <c r="A23" s="63" t="s">
        <v>539</v>
      </c>
      <c r="B23" s="73">
        <f>SUMIF($B$128:$B$130,"FCC",$C$128:$C$130)</f>
        <v>9669</v>
      </c>
      <c r="D23" s="67" t="s">
        <v>540</v>
      </c>
    </row>
    <row r="24" spans="1:8" ht="15" customHeight="1" x14ac:dyDescent="0.35">
      <c r="A24" s="63" t="s">
        <v>541</v>
      </c>
      <c r="B24" s="73">
        <f>SUMIF($B$128:$B$130,"KW2",$C$128:$C$130)</f>
        <v>0</v>
      </c>
      <c r="D24" s="67" t="s">
        <v>540</v>
      </c>
    </row>
    <row r="25" spans="1:8" ht="15" customHeight="1" x14ac:dyDescent="0.35">
      <c r="A25" s="63" t="s">
        <v>542</v>
      </c>
      <c r="B25" s="73">
        <f>SUMIF($B$128:$B$130,"KW2UBI",$C$128:$C$130)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1.0657772261867826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9669</v>
      </c>
      <c r="C31" s="63" t="s">
        <v>137</v>
      </c>
      <c r="D31" s="47">
        <f>FCC!$D$89</f>
        <v>23872.94797365068</v>
      </c>
      <c r="E31" s="64">
        <f>B31*D31</f>
        <v>230827533.95722842</v>
      </c>
      <c r="F31" s="64">
        <f>IF($B$21=0,0,E31/$B$21)</f>
        <v>22399.566613995965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0</v>
      </c>
      <c r="C32" s="63" t="s">
        <v>137</v>
      </c>
      <c r="D32" s="47">
        <f>FCC!$C$209</f>
        <v>9777.2711808889308</v>
      </c>
      <c r="E32" s="64">
        <f>B32*D32</f>
        <v>0</v>
      </c>
      <c r="F32" s="64">
        <f>IF($B$21=0,0,E32/$B$21)</f>
        <v>0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SUMIF($B$128:$B$130,"EXT",$F$128:$F$130)</f>
        <v>0</v>
      </c>
      <c r="F34" s="64">
        <f>IF($B$21=0,0,E34/$B$21)</f>
        <v>0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230827533.95722842</v>
      </c>
      <c r="F35" s="64">
        <f>IF($B$21=0,0,E35/$B$21)</f>
        <v>22399.566613995965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787.71770000000004</v>
      </c>
      <c r="C37" s="63" t="s">
        <v>262</v>
      </c>
      <c r="D37" s="80">
        <f>IF('LAIN-LAIN'!$H$43=0,0,B37/'LAIN-LAIN'!$H$43)</f>
        <v>0.29292442938937696</v>
      </c>
      <c r="E37" s="47">
        <f>D37*'BIAYA BERSAMA'!$F$115</f>
        <v>17106326.360791486</v>
      </c>
      <c r="F37" s="64">
        <f t="shared" ref="F37:F43" si="1">IF($B$21=0,0,E37/$B$21)</f>
        <v>1660.0025580583683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787.71770000000004</v>
      </c>
      <c r="C38" s="63" t="s">
        <v>262</v>
      </c>
      <c r="D38" s="80">
        <f>IF('LAIN-LAIN'!$H$43=0,0,B38/'LAIN-LAIN'!$H$43)</f>
        <v>0.29292442938937696</v>
      </c>
      <c r="E38" s="47">
        <f>D38*'BIAYA BERSAMA'!$F$117</f>
        <v>15293055.75015205</v>
      </c>
      <c r="F38" s="64">
        <f t="shared" si="1"/>
        <v>1484.0422853131538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3528.2620000000002</v>
      </c>
      <c r="C39" s="63" t="s">
        <v>265</v>
      </c>
      <c r="D39" s="80">
        <f>IF('LAIN-LAIN'!$I$43=0,0,B39/'LAIN-LAIN'!$I$43)</f>
        <v>0.34870936513200079</v>
      </c>
      <c r="E39" s="47">
        <f>D39*'BIAYA BERSAMA'!$F$118+IF('BIAYA BERSAMA'!$F$172=0,0,B39/'BIAYA BERSAMA'!$F$172)*'BIAYA BERSAMA'!$F$176</f>
        <v>29455581.765556555</v>
      </c>
      <c r="F39" s="64">
        <f t="shared" si="1"/>
        <v>2858.3776579870505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0</v>
      </c>
      <c r="C40" s="63" t="s">
        <v>140</v>
      </c>
      <c r="D40" s="80">
        <f>IF('LAIN-LAIN'!$G$43=0,0,B40/'LAIN-LAIN'!$G$43)</f>
        <v>0</v>
      </c>
      <c r="E40" s="47">
        <f>D40*'BIAYA BERSAMA'!$F$120</f>
        <v>0</v>
      </c>
      <c r="F40" s="64">
        <f t="shared" si="1"/>
        <v>0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44748637.515708603</v>
      </c>
      <c r="F41" s="64">
        <f t="shared" si="1"/>
        <v>4342.4199433002041</v>
      </c>
    </row>
    <row r="42" spans="1:8" ht="15" customHeight="1" x14ac:dyDescent="0.35">
      <c r="A42" s="72" t="s">
        <v>164</v>
      </c>
      <c r="E42" s="79">
        <f>E37+E41</f>
        <v>61854963.876500085</v>
      </c>
      <c r="F42" s="64">
        <f t="shared" si="1"/>
        <v>6002.4225013585719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292682497.83372849</v>
      </c>
      <c r="F43" s="81">
        <f t="shared" si="1"/>
        <v>28401.989115354536</v>
      </c>
      <c r="G43" s="29"/>
    </row>
    <row r="45" spans="1:8" ht="15" customHeight="1" x14ac:dyDescent="0.35">
      <c r="A45" s="62" t="s">
        <v>642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562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30</v>
      </c>
      <c r="C47" s="64"/>
      <c r="D47" s="64">
        <f>$C$109</f>
        <v>47681.8658</v>
      </c>
      <c r="E47" s="73">
        <f>$C$108</f>
        <v>30</v>
      </c>
      <c r="F47" s="64">
        <f>$C$110</f>
        <v>38991.89</v>
      </c>
      <c r="G47" s="64">
        <f>D47-F47</f>
        <v>8689.9758000000002</v>
      </c>
    </row>
    <row r="48" spans="1:8" ht="15" customHeight="1" x14ac:dyDescent="0.35">
      <c r="A48" s="63" t="s">
        <v>180</v>
      </c>
      <c r="B48" s="73">
        <f>C21</f>
        <v>171750</v>
      </c>
      <c r="C48" s="64"/>
      <c r="D48" s="64">
        <f>E43</f>
        <v>292682497.83372849</v>
      </c>
      <c r="E48" s="73">
        <f>$C$111</f>
        <v>171750</v>
      </c>
      <c r="F48" s="64">
        <f>$C$112</f>
        <v>220656443.16999999</v>
      </c>
      <c r="G48" s="64">
        <f>D48-F48</f>
        <v>72026054.663728505</v>
      </c>
    </row>
    <row r="49" spans="1:8" ht="15" customHeight="1" x14ac:dyDescent="0.35">
      <c r="A49" s="63" t="s">
        <v>181</v>
      </c>
      <c r="B49" s="73">
        <f>B47+B48</f>
        <v>171780</v>
      </c>
      <c r="C49" s="64"/>
      <c r="D49" s="64">
        <f>D47+D48</f>
        <v>292730179.69952852</v>
      </c>
      <c r="E49" s="73">
        <f>E47+E48</f>
        <v>171780</v>
      </c>
      <c r="F49" s="64">
        <f>F47+F48</f>
        <v>220695435.05999997</v>
      </c>
      <c r="G49" s="64">
        <f>D49-F49</f>
        <v>72034744.639528543</v>
      </c>
    </row>
    <row r="50" spans="1:8" ht="15" customHeight="1" x14ac:dyDescent="0.35">
      <c r="A50" s="63" t="s">
        <v>568</v>
      </c>
      <c r="B50" s="73"/>
      <c r="C50" s="64">
        <f>IF(B49=0,0,D49/B49)</f>
        <v>1704.0993113256986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163950</v>
      </c>
      <c r="C51" s="64"/>
      <c r="D51" s="64">
        <f>B51*$C$50</f>
        <v>279387082.09184831</v>
      </c>
      <c r="E51" s="73">
        <f>$C$113</f>
        <v>163950</v>
      </c>
      <c r="F51" s="64">
        <f>$C$114</f>
        <v>210385197.81</v>
      </c>
      <c r="G51" s="64">
        <f>D51-F51</f>
        <v>69001884.281848311</v>
      </c>
    </row>
    <row r="52" spans="1:8" ht="15" customHeight="1" x14ac:dyDescent="0.35">
      <c r="A52" s="63" t="s">
        <v>570</v>
      </c>
      <c r="B52" s="73">
        <f>$C$115</f>
        <v>7830</v>
      </c>
      <c r="C52" s="64"/>
      <c r="D52" s="64">
        <f>B52*$C$50</f>
        <v>13343097.60768022</v>
      </c>
      <c r="E52" s="73">
        <f>$C$115</f>
        <v>7830</v>
      </c>
      <c r="F52" s="64">
        <f>$C$116</f>
        <v>10310237.26</v>
      </c>
      <c r="G52" s="64">
        <f>D52-F52</f>
        <v>3032860.3476802204</v>
      </c>
    </row>
    <row r="53" spans="1:8" ht="15" customHeight="1" x14ac:dyDescent="0.35">
      <c r="A53" s="63" t="s">
        <v>571</v>
      </c>
      <c r="B53" s="73">
        <f>B49-B51-B52</f>
        <v>0</v>
      </c>
      <c r="C53" s="64"/>
      <c r="D53" s="64">
        <f>B53*$C$50</f>
        <v>0</v>
      </c>
      <c r="E53" s="73">
        <f>E49-E51-E52</f>
        <v>0</v>
      </c>
      <c r="F53" s="64">
        <f>F49-F51-F52</f>
        <v>-1.000002957880497E-2</v>
      </c>
      <c r="G53" s="64">
        <f>D53-F53</f>
        <v>1.000002957880497E-2</v>
      </c>
    </row>
    <row r="54" spans="1:8" ht="15" customHeight="1" x14ac:dyDescent="0.35">
      <c r="A54" s="68" t="s">
        <v>572</v>
      </c>
      <c r="B54" s="29"/>
      <c r="C54" s="29"/>
      <c r="D54" s="70">
        <f>D51+D53</f>
        <v>279387082.09184831</v>
      </c>
      <c r="E54" s="29"/>
      <c r="F54" s="81">
        <f>F51+F53</f>
        <v>210385197.79999998</v>
      </c>
      <c r="G54" s="81">
        <f>D54-F54</f>
        <v>69001884.291848332</v>
      </c>
    </row>
    <row r="55" spans="1:8" ht="15" customHeight="1" x14ac:dyDescent="0.35">
      <c r="A55" s="63" t="s">
        <v>573</v>
      </c>
      <c r="C55" s="64">
        <f>IF(B51=0,0,D54/B51)</f>
        <v>1704.0993113256989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0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207772771.44010001</v>
      </c>
      <c r="C61" s="64">
        <f>E35</f>
        <v>230827533.95722842</v>
      </c>
      <c r="D61" s="64">
        <f t="shared" ref="D61:D66" si="2">C61-B61</f>
        <v>23054762.517128408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14123919.6851</v>
      </c>
      <c r="C62" s="64">
        <f>E37+E38</f>
        <v>32399382.110943533</v>
      </c>
      <c r="D62" s="64">
        <f t="shared" si="2"/>
        <v>18275462.425843533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4257557.7333000004</v>
      </c>
      <c r="C63" s="64">
        <f>E39+E40</f>
        <v>29455581.765556555</v>
      </c>
      <c r="D63" s="64">
        <f t="shared" si="2"/>
        <v>25198024.032256555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226154248.8585</v>
      </c>
      <c r="C64" s="64">
        <f>SUM(C61:C63)</f>
        <v>292682497.83372849</v>
      </c>
      <c r="D64" s="64">
        <f t="shared" si="2"/>
        <v>66528248.975228488</v>
      </c>
      <c r="E64" s="67"/>
    </row>
    <row r="65" spans="1:8" ht="15" customHeight="1" x14ac:dyDescent="0.35">
      <c r="A65" s="63" t="s">
        <v>584</v>
      </c>
      <c r="B65" s="73">
        <f>$C$122</f>
        <v>787.71770000000004</v>
      </c>
      <c r="C65" s="73">
        <f>$C$106</f>
        <v>787.71770000000004</v>
      </c>
      <c r="D65" s="73">
        <f t="shared" si="2"/>
        <v>0</v>
      </c>
    </row>
    <row r="66" spans="1:8" ht="15" customHeight="1" x14ac:dyDescent="0.35">
      <c r="A66" s="63" t="s">
        <v>585</v>
      </c>
      <c r="B66" s="73">
        <f>$C$123</f>
        <v>3936.4737</v>
      </c>
      <c r="C66" s="73">
        <f>$C$107</f>
        <v>3528.2620000000002</v>
      </c>
      <c r="D66" s="73">
        <f t="shared" si="2"/>
        <v>-408.21169999999984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E34-SUMIF($B$128:$B$130,"EXT",$F$128:$F$130)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COUNTA($A$128:$A$130)-COUNTIF($B$128:$B$130,"FCC")-COUNTIF($B$128:$B$130,"KW2")-COUNTIF($B$128:$B$130,"KW2UBI")-COUNTIF($B$128:$B$130,"EXT")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-1.862645149230957E-8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10305</v>
      </c>
      <c r="D102" s="63" t="s">
        <v>246</v>
      </c>
      <c r="E102" s="67" t="s">
        <v>593</v>
      </c>
    </row>
    <row r="103" spans="1:8" ht="15" customHeight="1" x14ac:dyDescent="0.35">
      <c r="A103" s="63" t="s">
        <v>536</v>
      </c>
      <c r="B103" s="63" t="s">
        <v>594</v>
      </c>
      <c r="C103" s="82">
        <v>171750</v>
      </c>
      <c r="D103" s="63" t="s">
        <v>246</v>
      </c>
      <c r="E103" s="67" t="s">
        <v>595</v>
      </c>
    </row>
    <row r="104" spans="1:8" ht="15" customHeight="1" x14ac:dyDescent="0.35">
      <c r="A104" s="63" t="s">
        <v>537</v>
      </c>
      <c r="B104" s="63" t="s">
        <v>137</v>
      </c>
      <c r="C104" s="82">
        <v>12.24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594</v>
      </c>
      <c r="C105" s="82">
        <v>204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787.71770000000004</v>
      </c>
      <c r="D106" s="63" t="s">
        <v>246</v>
      </c>
      <c r="E106" s="67" t="s">
        <v>643</v>
      </c>
    </row>
    <row r="107" spans="1:8" ht="15" customHeight="1" x14ac:dyDescent="0.35">
      <c r="A107" s="63" t="s">
        <v>600</v>
      </c>
      <c r="B107" s="63" t="s">
        <v>265</v>
      </c>
      <c r="C107" s="82">
        <v>3528.2620000000002</v>
      </c>
      <c r="D107" s="63" t="s">
        <v>246</v>
      </c>
      <c r="E107" s="67" t="s">
        <v>644</v>
      </c>
    </row>
    <row r="108" spans="1:8" ht="15" customHeight="1" x14ac:dyDescent="0.35">
      <c r="A108" s="63" t="s">
        <v>645</v>
      </c>
      <c r="B108" s="63" t="s">
        <v>594</v>
      </c>
      <c r="C108" s="82">
        <v>30</v>
      </c>
      <c r="D108" s="63" t="s">
        <v>246</v>
      </c>
      <c r="E108" s="67" t="s">
        <v>603</v>
      </c>
    </row>
    <row r="109" spans="1:8" ht="15" customHeight="1" x14ac:dyDescent="0.35">
      <c r="A109" s="63" t="s">
        <v>646</v>
      </c>
      <c r="B109" s="63" t="s">
        <v>140</v>
      </c>
      <c r="C109" s="33">
        <v>47681.8658</v>
      </c>
      <c r="D109" s="63" t="s">
        <v>605</v>
      </c>
      <c r="E109" s="67" t="s">
        <v>647</v>
      </c>
    </row>
    <row r="110" spans="1:8" ht="15" customHeight="1" x14ac:dyDescent="0.35">
      <c r="A110" s="63" t="s">
        <v>648</v>
      </c>
      <c r="B110" s="63" t="s">
        <v>140</v>
      </c>
      <c r="C110" s="33">
        <v>38991.89</v>
      </c>
      <c r="D110" s="63" t="s">
        <v>246</v>
      </c>
      <c r="E110" s="67" t="s">
        <v>608</v>
      </c>
    </row>
    <row r="111" spans="1:8" ht="15" customHeight="1" x14ac:dyDescent="0.35">
      <c r="A111" s="63" t="s">
        <v>649</v>
      </c>
      <c r="B111" s="63" t="s">
        <v>594</v>
      </c>
      <c r="C111" s="82">
        <v>171750</v>
      </c>
      <c r="D111" s="63" t="s">
        <v>246</v>
      </c>
      <c r="E111" s="67" t="s">
        <v>610</v>
      </c>
    </row>
    <row r="112" spans="1:8" ht="15" customHeight="1" x14ac:dyDescent="0.35">
      <c r="A112" s="63" t="s">
        <v>650</v>
      </c>
      <c r="B112" s="63" t="s">
        <v>140</v>
      </c>
      <c r="C112" s="33">
        <v>220656443.16999999</v>
      </c>
      <c r="D112" s="63" t="s">
        <v>246</v>
      </c>
      <c r="E112" s="67" t="s">
        <v>610</v>
      </c>
    </row>
    <row r="113" spans="1:8" ht="15" customHeight="1" x14ac:dyDescent="0.35">
      <c r="A113" s="63" t="s">
        <v>651</v>
      </c>
      <c r="B113" s="63" t="s">
        <v>594</v>
      </c>
      <c r="C113" s="82">
        <v>163950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210385197.81</v>
      </c>
      <c r="D114" s="63" t="s">
        <v>246</v>
      </c>
      <c r="E114" s="67" t="s">
        <v>613</v>
      </c>
    </row>
    <row r="115" spans="1:8" ht="15" customHeight="1" x14ac:dyDescent="0.35">
      <c r="A115" s="63" t="s">
        <v>652</v>
      </c>
      <c r="B115" s="63" t="s">
        <v>594</v>
      </c>
      <c r="C115" s="82">
        <v>7830</v>
      </c>
      <c r="D115" s="63" t="s">
        <v>246</v>
      </c>
      <c r="E115" s="67" t="s">
        <v>616</v>
      </c>
    </row>
    <row r="116" spans="1:8" ht="15" customHeight="1" x14ac:dyDescent="0.35">
      <c r="A116" s="63" t="s">
        <v>653</v>
      </c>
      <c r="B116" s="63" t="s">
        <v>140</v>
      </c>
      <c r="C116" s="33">
        <v>10310237.26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594</v>
      </c>
      <c r="C117" s="82">
        <v>163950</v>
      </c>
      <c r="D117" s="63" t="s">
        <v>246</v>
      </c>
      <c r="E117" s="67" t="s">
        <v>654</v>
      </c>
    </row>
    <row r="118" spans="1:8" ht="15" customHeight="1" x14ac:dyDescent="0.35">
      <c r="A118" s="63" t="s">
        <v>53</v>
      </c>
      <c r="B118" s="63" t="s">
        <v>140</v>
      </c>
      <c r="C118" s="33">
        <v>277895250</v>
      </c>
      <c r="D118" s="63" t="s">
        <v>246</v>
      </c>
      <c r="E118" s="67" t="s">
        <v>654</v>
      </c>
    </row>
    <row r="119" spans="1:8" ht="15" customHeight="1" x14ac:dyDescent="0.35">
      <c r="A119" s="63" t="s">
        <v>620</v>
      </c>
      <c r="B119" s="63" t="s">
        <v>140</v>
      </c>
      <c r="C119" s="33">
        <v>207772771.44010001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14123919.6851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4257557.7333000004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787.71770000000004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3936.4737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632</v>
      </c>
      <c r="B128" s="63" t="s">
        <v>5</v>
      </c>
      <c r="C128" s="82">
        <v>9669</v>
      </c>
      <c r="D128" s="63" t="s">
        <v>137</v>
      </c>
      <c r="E128" s="33">
        <v>21488.548085640501</v>
      </c>
      <c r="F128" s="33">
        <v>207772771.44005799</v>
      </c>
      <c r="G128" s="67" t="s">
        <v>633</v>
      </c>
    </row>
    <row r="129" spans="1:7" ht="15" customHeight="1" x14ac:dyDescent="0.35">
      <c r="A129" s="63" t="s">
        <v>655</v>
      </c>
      <c r="B129" s="63" t="s">
        <v>635</v>
      </c>
      <c r="C129" s="82">
        <v>671.55</v>
      </c>
      <c r="D129" s="63" t="s">
        <v>137</v>
      </c>
      <c r="E129" s="33">
        <v>0</v>
      </c>
      <c r="F129" s="33">
        <v>0</v>
      </c>
      <c r="G129" s="67" t="s">
        <v>636</v>
      </c>
    </row>
    <row r="130" spans="1:7" ht="15" customHeight="1" x14ac:dyDescent="0.35">
      <c r="A130" s="63" t="s">
        <v>637</v>
      </c>
      <c r="B130" s="63" t="s">
        <v>635</v>
      </c>
      <c r="C130" s="82">
        <v>0</v>
      </c>
      <c r="D130" s="63" t="s">
        <v>327</v>
      </c>
      <c r="E130" s="33">
        <v>6600</v>
      </c>
      <c r="F130" s="33">
        <v>0</v>
      </c>
      <c r="G130" s="67" t="s">
        <v>638</v>
      </c>
    </row>
    <row r="131" spans="1:7" ht="15" customHeight="1" x14ac:dyDescent="0.35">
      <c r="A131" s="72" t="s">
        <v>9</v>
      </c>
      <c r="F131" s="79">
        <f>SUM(F128:F130)</f>
        <v>207772771.44005799</v>
      </c>
    </row>
    <row r="132" spans="1:7" ht="15" customHeight="1" x14ac:dyDescent="0.35">
      <c r="A132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94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328125" defaultRowHeight="14.5" x14ac:dyDescent="0.35"/>
  <cols>
    <col min="1" max="1" width="50" customWidth="1"/>
    <col min="2" max="13" width="14" customWidth="1"/>
    <col min="14" max="14" width="46" customWidth="1"/>
  </cols>
  <sheetData>
    <row r="1" spans="1:14" ht="15.75" customHeight="1" x14ac:dyDescent="0.35">
      <c r="A1" s="74" t="s">
        <v>656</v>
      </c>
    </row>
    <row r="2" spans="1:14" ht="15" customHeight="1" x14ac:dyDescent="0.35">
      <c r="A2" s="75" t="s">
        <v>657</v>
      </c>
    </row>
    <row r="4" spans="1:14" ht="15" customHeight="1" x14ac:dyDescent="0.35">
      <c r="A4" s="72" t="s">
        <v>527</v>
      </c>
      <c r="C4" s="72" t="str">
        <f>IF(COUNTIF(C56:C60,"GAGAL")=0,"LULUS","GAGAL")</f>
        <v>LULUS</v>
      </c>
    </row>
    <row r="5" spans="1:14" ht="15" customHeight="1" x14ac:dyDescent="0.35">
      <c r="A5" s="62" t="s">
        <v>658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25.5" customHeight="1" x14ac:dyDescent="0.35">
      <c r="A6" s="19" t="s">
        <v>4</v>
      </c>
      <c r="B6" s="20" t="s">
        <v>659</v>
      </c>
      <c r="C6" s="20" t="s">
        <v>660</v>
      </c>
      <c r="D6" s="20" t="s">
        <v>661</v>
      </c>
      <c r="E6" s="20" t="s">
        <v>662</v>
      </c>
      <c r="F6" s="20" t="s">
        <v>663</v>
      </c>
      <c r="G6" s="20" t="s">
        <v>664</v>
      </c>
      <c r="H6" s="20" t="s">
        <v>665</v>
      </c>
      <c r="I6" s="20" t="s">
        <v>666</v>
      </c>
      <c r="J6" s="20" t="s">
        <v>667</v>
      </c>
      <c r="K6" s="20" t="s">
        <v>668</v>
      </c>
      <c r="L6" s="20" t="s">
        <v>669</v>
      </c>
      <c r="M6" s="20" t="s">
        <v>9</v>
      </c>
      <c r="N6" s="20" t="s">
        <v>546</v>
      </c>
    </row>
    <row r="7" spans="1:14" ht="15" customHeight="1" x14ac:dyDescent="0.35">
      <c r="A7" s="63" t="s">
        <v>670</v>
      </c>
      <c r="B7" s="73">
        <f t="shared" ref="B7:L7" si="0">B122</f>
        <v>434</v>
      </c>
      <c r="C7" s="73">
        <f t="shared" si="0"/>
        <v>808</v>
      </c>
      <c r="D7" s="73">
        <f t="shared" si="0"/>
        <v>209</v>
      </c>
      <c r="E7" s="73">
        <f t="shared" si="0"/>
        <v>70</v>
      </c>
      <c r="F7" s="73">
        <f t="shared" si="0"/>
        <v>150</v>
      </c>
      <c r="G7" s="73">
        <f t="shared" si="0"/>
        <v>452.5</v>
      </c>
      <c r="H7" s="73">
        <f t="shared" si="0"/>
        <v>7.5</v>
      </c>
      <c r="I7" s="73">
        <f t="shared" si="0"/>
        <v>7.5</v>
      </c>
      <c r="J7" s="73">
        <f t="shared" si="0"/>
        <v>10</v>
      </c>
      <c r="K7" s="73">
        <f t="shared" si="0"/>
        <v>415</v>
      </c>
      <c r="L7" s="73">
        <f t="shared" si="0"/>
        <v>404</v>
      </c>
      <c r="M7" s="76">
        <f t="shared" ref="M7:M22" si="1">SUM(B7:L7)</f>
        <v>2967.5</v>
      </c>
    </row>
    <row r="8" spans="1:14" ht="15" customHeight="1" x14ac:dyDescent="0.35">
      <c r="A8" s="63" t="s">
        <v>671</v>
      </c>
      <c r="B8" s="73">
        <f t="shared" ref="B8:L8" si="2">IF(B123=0,0,B7/B123)</f>
        <v>434</v>
      </c>
      <c r="C8" s="73">
        <f t="shared" si="2"/>
        <v>808</v>
      </c>
      <c r="D8" s="73">
        <f t="shared" si="2"/>
        <v>209</v>
      </c>
      <c r="E8" s="73">
        <f t="shared" si="2"/>
        <v>70</v>
      </c>
      <c r="F8" s="73">
        <f t="shared" si="2"/>
        <v>60</v>
      </c>
      <c r="G8" s="73">
        <f t="shared" si="2"/>
        <v>181</v>
      </c>
      <c r="H8" s="73">
        <f t="shared" si="2"/>
        <v>3</v>
      </c>
      <c r="I8" s="73">
        <f t="shared" si="2"/>
        <v>3</v>
      </c>
      <c r="J8" s="73">
        <f t="shared" si="2"/>
        <v>10</v>
      </c>
      <c r="K8" s="73">
        <f t="shared" si="2"/>
        <v>415</v>
      </c>
      <c r="L8" s="73">
        <f t="shared" si="2"/>
        <v>404</v>
      </c>
      <c r="M8" s="76">
        <f t="shared" si="1"/>
        <v>2597</v>
      </c>
    </row>
    <row r="9" spans="1:14" ht="15" customHeight="1" x14ac:dyDescent="0.35">
      <c r="A9" s="63" t="s">
        <v>447</v>
      </c>
      <c r="B9" s="73">
        <f t="shared" ref="B9:L9" si="3">SUMIF($N$143:$N$167,"FCC",B$143:B$167)</f>
        <v>0</v>
      </c>
      <c r="C9" s="73">
        <f t="shared" si="3"/>
        <v>0</v>
      </c>
      <c r="D9" s="73">
        <f t="shared" si="3"/>
        <v>0</v>
      </c>
      <c r="E9" s="73">
        <f t="shared" si="3"/>
        <v>0</v>
      </c>
      <c r="F9" s="73">
        <f t="shared" si="3"/>
        <v>0</v>
      </c>
      <c r="G9" s="73">
        <f t="shared" si="3"/>
        <v>0</v>
      </c>
      <c r="H9" s="73">
        <f t="shared" si="3"/>
        <v>0</v>
      </c>
      <c r="I9" s="73">
        <f t="shared" si="3"/>
        <v>0</v>
      </c>
      <c r="J9" s="73">
        <f t="shared" si="3"/>
        <v>10</v>
      </c>
      <c r="K9" s="73">
        <f t="shared" si="3"/>
        <v>0</v>
      </c>
      <c r="L9" s="73">
        <f t="shared" si="3"/>
        <v>0</v>
      </c>
      <c r="M9" s="76">
        <f t="shared" si="1"/>
        <v>10</v>
      </c>
      <c r="N9" s="67" t="s">
        <v>540</v>
      </c>
    </row>
    <row r="10" spans="1:14" ht="15" customHeight="1" x14ac:dyDescent="0.35">
      <c r="A10" s="63" t="s">
        <v>448</v>
      </c>
      <c r="B10" s="73">
        <f t="shared" ref="B10:L10" si="4">SUMIF($N$143:$N$167,"KW2",B$143:B$167)</f>
        <v>406</v>
      </c>
      <c r="C10" s="73">
        <f t="shared" si="4"/>
        <v>756</v>
      </c>
      <c r="D10" s="73">
        <f t="shared" si="4"/>
        <v>195.5</v>
      </c>
      <c r="E10" s="73">
        <f t="shared" si="4"/>
        <v>70</v>
      </c>
      <c r="F10" s="73">
        <f t="shared" si="4"/>
        <v>140</v>
      </c>
      <c r="G10" s="73">
        <f t="shared" si="4"/>
        <v>420</v>
      </c>
      <c r="H10" s="73">
        <f t="shared" si="4"/>
        <v>7</v>
      </c>
      <c r="I10" s="73">
        <f t="shared" si="4"/>
        <v>7.5</v>
      </c>
      <c r="J10" s="73">
        <f t="shared" si="4"/>
        <v>0</v>
      </c>
      <c r="K10" s="73">
        <f t="shared" si="4"/>
        <v>0</v>
      </c>
      <c r="L10" s="73">
        <f t="shared" si="4"/>
        <v>0</v>
      </c>
      <c r="M10" s="76">
        <f t="shared" si="1"/>
        <v>2002</v>
      </c>
      <c r="N10" s="67" t="s">
        <v>540</v>
      </c>
    </row>
    <row r="11" spans="1:14" ht="15" customHeight="1" x14ac:dyDescent="0.35">
      <c r="A11" s="63" t="s">
        <v>449</v>
      </c>
      <c r="B11" s="73">
        <f t="shared" ref="B11:L11" si="5">SUMIF($N$143:$N$167,"KW2UBI",B$143:B$167)</f>
        <v>0</v>
      </c>
      <c r="C11" s="73">
        <f t="shared" si="5"/>
        <v>0</v>
      </c>
      <c r="D11" s="73">
        <f t="shared" si="5"/>
        <v>0</v>
      </c>
      <c r="E11" s="73">
        <f t="shared" si="5"/>
        <v>0</v>
      </c>
      <c r="F11" s="73">
        <f t="shared" si="5"/>
        <v>0</v>
      </c>
      <c r="G11" s="73">
        <f t="shared" si="5"/>
        <v>0</v>
      </c>
      <c r="H11" s="73">
        <f t="shared" si="5"/>
        <v>0</v>
      </c>
      <c r="I11" s="73">
        <f t="shared" si="5"/>
        <v>0</v>
      </c>
      <c r="J11" s="73">
        <f t="shared" si="5"/>
        <v>0</v>
      </c>
      <c r="K11" s="73">
        <f t="shared" si="5"/>
        <v>392</v>
      </c>
      <c r="L11" s="73">
        <f t="shared" si="5"/>
        <v>378</v>
      </c>
      <c r="M11" s="76">
        <f t="shared" si="1"/>
        <v>770</v>
      </c>
      <c r="N11" s="67" t="s">
        <v>540</v>
      </c>
    </row>
    <row r="12" spans="1:14" ht="15" customHeight="1" x14ac:dyDescent="0.35">
      <c r="A12" s="63" t="s">
        <v>672</v>
      </c>
      <c r="B12" s="73">
        <f t="shared" ref="B12:L12" si="6">B125</f>
        <v>14.763</v>
      </c>
      <c r="C12" s="73">
        <f t="shared" si="6"/>
        <v>27.485099999999999</v>
      </c>
      <c r="D12" s="73">
        <f t="shared" si="6"/>
        <v>7.1093999999999999</v>
      </c>
      <c r="E12" s="73">
        <f t="shared" si="6"/>
        <v>2.3811</v>
      </c>
      <c r="F12" s="73">
        <f t="shared" si="6"/>
        <v>2.0409999999999999</v>
      </c>
      <c r="G12" s="73">
        <f t="shared" si="6"/>
        <v>6.1569000000000003</v>
      </c>
      <c r="H12" s="73">
        <f t="shared" si="6"/>
        <v>0.10199999999999999</v>
      </c>
      <c r="I12" s="73">
        <f t="shared" si="6"/>
        <v>0.10199999999999999</v>
      </c>
      <c r="J12" s="73">
        <f t="shared" si="6"/>
        <v>1.3399000000000001</v>
      </c>
      <c r="K12" s="73">
        <f t="shared" si="6"/>
        <v>14.1167</v>
      </c>
      <c r="L12" s="73">
        <f t="shared" si="6"/>
        <v>13.742599999999999</v>
      </c>
      <c r="M12" s="76">
        <f t="shared" si="1"/>
        <v>89.339699999999993</v>
      </c>
    </row>
    <row r="13" spans="1:14" ht="15" customHeight="1" x14ac:dyDescent="0.35">
      <c r="A13" s="63" t="s">
        <v>673</v>
      </c>
      <c r="B13" s="64">
        <f>B9*FCC!$D$89</f>
        <v>0</v>
      </c>
      <c r="C13" s="64">
        <f>C9*FCC!$D$89</f>
        <v>0</v>
      </c>
      <c r="D13" s="64">
        <f>D9*FCC!$D$89</f>
        <v>0</v>
      </c>
      <c r="E13" s="64">
        <f>E9*FCC!$D$89</f>
        <v>0</v>
      </c>
      <c r="F13" s="64">
        <f>F9*FCC!$D$89</f>
        <v>0</v>
      </c>
      <c r="G13" s="64">
        <f>G9*FCC!$D$89</f>
        <v>0</v>
      </c>
      <c r="H13" s="64">
        <f>H9*FCC!$D$89</f>
        <v>0</v>
      </c>
      <c r="I13" s="64">
        <f>I9*FCC!$D$89</f>
        <v>0</v>
      </c>
      <c r="J13" s="64">
        <f>J9*FCC!$D$89</f>
        <v>238729.47973650679</v>
      </c>
      <c r="K13" s="64">
        <f>K9*FCC!$D$89</f>
        <v>0</v>
      </c>
      <c r="L13" s="64">
        <f>L9*FCC!$D$89</f>
        <v>0</v>
      </c>
      <c r="M13" s="79">
        <f t="shared" si="1"/>
        <v>238729.47973650679</v>
      </c>
      <c r="N13" s="67" t="s">
        <v>674</v>
      </c>
    </row>
    <row r="14" spans="1:14" ht="15" customHeight="1" x14ac:dyDescent="0.35">
      <c r="A14" s="63" t="s">
        <v>675</v>
      </c>
      <c r="B14" s="64">
        <f>B10*FCC!$C$209+B11*'LAIN-LAIN'!$C$7</f>
        <v>3969572.0994409057</v>
      </c>
      <c r="C14" s="64">
        <f>C10*FCC!$C$209+C11*'LAIN-LAIN'!$C$7</f>
        <v>7391617.0127520319</v>
      </c>
      <c r="D14" s="64">
        <f>D10*FCC!$C$209+D11*'LAIN-LAIN'!$C$7</f>
        <v>1911456.515863786</v>
      </c>
      <c r="E14" s="64">
        <f>E10*FCC!$C$209+E11*'LAIN-LAIN'!$C$7</f>
        <v>684408.98266222514</v>
      </c>
      <c r="F14" s="64">
        <f>F10*FCC!$C$209+F11*'LAIN-LAIN'!$C$7</f>
        <v>1368817.9653244503</v>
      </c>
      <c r="G14" s="64">
        <f>G10*FCC!$C$209+G11*'LAIN-LAIN'!$C$7</f>
        <v>4106453.8959733509</v>
      </c>
      <c r="H14" s="64">
        <f>H10*FCC!$C$209+H11*'LAIN-LAIN'!$C$7</f>
        <v>68440.898266222517</v>
      </c>
      <c r="I14" s="64">
        <f>I10*FCC!$C$209+I11*'LAIN-LAIN'!$C$7</f>
        <v>73329.533856666982</v>
      </c>
      <c r="J14" s="64">
        <f>J10*FCC!$C$209+J11*'LAIN-LAIN'!$C$7</f>
        <v>0</v>
      </c>
      <c r="K14" s="64">
        <f>K10*FCC!$C$209+K11*'LAIN-LAIN'!$C$7</f>
        <v>0</v>
      </c>
      <c r="L14" s="64">
        <f>L10*FCC!$C$209+L11*'LAIN-LAIN'!$C$7</f>
        <v>0</v>
      </c>
      <c r="M14" s="79">
        <f t="shared" si="1"/>
        <v>19574096.904139642</v>
      </c>
      <c r="N14" s="67" t="s">
        <v>676</v>
      </c>
    </row>
    <row r="15" spans="1:14" ht="15" customHeight="1" x14ac:dyDescent="0.35">
      <c r="A15" s="63" t="s">
        <v>677</v>
      </c>
      <c r="B15" s="64">
        <f t="shared" ref="B15:L15" si="7">SUMIF($N$170:$N$194,"EXT",B$170:B$194)</f>
        <v>842769.40156509401</v>
      </c>
      <c r="C15" s="64">
        <f t="shared" si="7"/>
        <v>1634122.6034841542</v>
      </c>
      <c r="D15" s="64">
        <f t="shared" si="7"/>
        <v>416489.3066088325</v>
      </c>
      <c r="E15" s="64">
        <f t="shared" si="7"/>
        <v>20360.1255994479</v>
      </c>
      <c r="F15" s="64">
        <f t="shared" si="7"/>
        <v>379194.35849256092</v>
      </c>
      <c r="G15" s="64">
        <f t="shared" si="7"/>
        <v>1319934.555074071</v>
      </c>
      <c r="H15" s="64">
        <f t="shared" si="7"/>
        <v>17899.058919579482</v>
      </c>
      <c r="I15" s="64">
        <f t="shared" si="7"/>
        <v>213.75</v>
      </c>
      <c r="J15" s="64">
        <f t="shared" si="7"/>
        <v>285</v>
      </c>
      <c r="K15" s="64">
        <f t="shared" si="7"/>
        <v>906084.00371089194</v>
      </c>
      <c r="L15" s="64">
        <f t="shared" si="7"/>
        <v>796250.68551265704</v>
      </c>
      <c r="M15" s="79">
        <f t="shared" si="1"/>
        <v>6333602.8489672896</v>
      </c>
      <c r="N15" s="67" t="s">
        <v>678</v>
      </c>
    </row>
    <row r="16" spans="1:14" ht="15" customHeight="1" x14ac:dyDescent="0.35">
      <c r="A16" s="72" t="s">
        <v>556</v>
      </c>
      <c r="B16" s="79">
        <f t="shared" ref="B16:L16" si="8">SUM(B13:B15)</f>
        <v>4812341.5010059997</v>
      </c>
      <c r="C16" s="79">
        <f t="shared" si="8"/>
        <v>9025739.6162361857</v>
      </c>
      <c r="D16" s="79">
        <f t="shared" si="8"/>
        <v>2327945.8224726184</v>
      </c>
      <c r="E16" s="79">
        <f t="shared" si="8"/>
        <v>704769.10826167301</v>
      </c>
      <c r="F16" s="79">
        <f t="shared" si="8"/>
        <v>1748012.3238170112</v>
      </c>
      <c r="G16" s="79">
        <f t="shared" si="8"/>
        <v>5426388.4510474224</v>
      </c>
      <c r="H16" s="79">
        <f t="shared" si="8"/>
        <v>86339.957185801992</v>
      </c>
      <c r="I16" s="79">
        <f t="shared" si="8"/>
        <v>73543.283856666982</v>
      </c>
      <c r="J16" s="79">
        <f t="shared" si="8"/>
        <v>239014.47973650679</v>
      </c>
      <c r="K16" s="79">
        <f t="shared" si="8"/>
        <v>906084.00371089194</v>
      </c>
      <c r="L16" s="79">
        <f t="shared" si="8"/>
        <v>796250.68551265704</v>
      </c>
      <c r="M16" s="79">
        <f t="shared" si="1"/>
        <v>26146429.23284344</v>
      </c>
    </row>
    <row r="17" spans="1:14" ht="15" customHeight="1" x14ac:dyDescent="0.35">
      <c r="A17" s="63" t="s">
        <v>679</v>
      </c>
      <c r="B17" s="64">
        <f>IF('LAIN-LAIN'!$H$43=0,0,B12/'LAIN-LAIN'!$H$43)*'BIAYA BERSAMA'!$F$115</f>
        <v>320597.97064908495</v>
      </c>
      <c r="C17" s="64">
        <f>IF('LAIN-LAIN'!$H$43=0,0,C12/'LAIN-LAIN'!$H$43)*'BIAYA BERSAMA'!$F$115</f>
        <v>596875.11231370072</v>
      </c>
      <c r="D17" s="64">
        <f>IF('LAIN-LAIN'!$H$43=0,0,D12/'LAIN-LAIN'!$H$43)*'BIAYA BERSAMA'!$F$115</f>
        <v>154389.97578626324</v>
      </c>
      <c r="E17" s="64">
        <f>IF('LAIN-LAIN'!$H$43=0,0,E12/'LAIN-LAIN'!$H$43)*'BIAYA BERSAMA'!$F$115</f>
        <v>51708.719631005632</v>
      </c>
      <c r="F17" s="64">
        <f>IF('LAIN-LAIN'!$H$43=0,0,F12/'LAIN-LAIN'!$H$43)*'BIAYA BERSAMA'!$F$115</f>
        <v>44323.000616052457</v>
      </c>
      <c r="G17" s="64">
        <f>IF('LAIN-LAIN'!$H$43=0,0,G12/'LAIN-LAIN'!$H$43)*'BIAYA BERSAMA'!$F$115</f>
        <v>133705.184954911</v>
      </c>
      <c r="H17" s="64">
        <f>IF('LAIN-LAIN'!$H$43=0,0,H12/'LAIN-LAIN'!$H$43)*'BIAYA BERSAMA'!$F$115</f>
        <v>2215.0642150109502</v>
      </c>
      <c r="I17" s="64">
        <f>IF('LAIN-LAIN'!$H$43=0,0,I12/'LAIN-LAIN'!$H$43)*'BIAYA BERSAMA'!$F$115</f>
        <v>2215.0642150109502</v>
      </c>
      <c r="J17" s="64">
        <f>IF('LAIN-LAIN'!$H$43=0,0,J12/'LAIN-LAIN'!$H$43)*'BIAYA BERSAMA'!$F$115</f>
        <v>29097.691585227189</v>
      </c>
      <c r="K17" s="64">
        <f>IF('LAIN-LAIN'!$H$43=0,0,K12/'LAIN-LAIN'!$H$43)*'BIAYA BERSAMA'!$F$115</f>
        <v>306562.71572593221</v>
      </c>
      <c r="L17" s="64">
        <f>IF('LAIN-LAIN'!$H$43=0,0,L12/'LAIN-LAIN'!$H$43)*'BIAYA BERSAMA'!$F$115</f>
        <v>298438.64197264204</v>
      </c>
      <c r="M17" s="79">
        <f t="shared" si="1"/>
        <v>1940129.1416648412</v>
      </c>
      <c r="N17" s="67" t="s">
        <v>680</v>
      </c>
    </row>
    <row r="18" spans="1:14" ht="15" customHeight="1" x14ac:dyDescent="0.35">
      <c r="A18" s="63" t="s">
        <v>681</v>
      </c>
      <c r="B18" s="64">
        <f>IF('LAIN-LAIN'!$H$43=0,0,B12/'LAIN-LAIN'!$H$43)*'BIAYA BERSAMA'!$F$117</f>
        <v>286614.58545300516</v>
      </c>
      <c r="C18" s="64">
        <f>IF('LAIN-LAIN'!$H$43=0,0,C12/'LAIN-LAIN'!$H$43)*'BIAYA BERSAMA'!$F$117</f>
        <v>533606.34983637417</v>
      </c>
      <c r="D18" s="64">
        <f>IF('LAIN-LAIN'!$H$43=0,0,D12/'LAIN-LAIN'!$H$43)*'BIAYA BERSAMA'!$F$117</f>
        <v>138024.63820494444</v>
      </c>
      <c r="E18" s="64">
        <f>IF('LAIN-LAIN'!$H$43=0,0,E12/'LAIN-LAIN'!$H$43)*'BIAYA BERSAMA'!$F$117</f>
        <v>46227.595300558867</v>
      </c>
      <c r="F18" s="64">
        <f>IF('LAIN-LAIN'!$H$43=0,0,F12/'LAIN-LAIN'!$H$43)*'BIAYA BERSAMA'!$F$117</f>
        <v>39624.762508269559</v>
      </c>
      <c r="G18" s="64">
        <f>IF('LAIN-LAIN'!$H$43=0,0,G12/'LAIN-LAIN'!$H$43)*'BIAYA BERSAMA'!$F$117</f>
        <v>119532.43522154084</v>
      </c>
      <c r="H18" s="64">
        <f>IF('LAIN-LAIN'!$H$43=0,0,H12/'LAIN-LAIN'!$H$43)*'BIAYA BERSAMA'!$F$117</f>
        <v>1980.2674060967638</v>
      </c>
      <c r="I18" s="64">
        <f>IF('LAIN-LAIN'!$H$43=0,0,I12/'LAIN-LAIN'!$H$43)*'BIAYA BERSAMA'!$F$117</f>
        <v>1980.2674060967638</v>
      </c>
      <c r="J18" s="64">
        <f>IF('LAIN-LAIN'!$H$43=0,0,J12/'LAIN-LAIN'!$H$43)*'BIAYA BERSAMA'!$F$117</f>
        <v>26013.336249304455</v>
      </c>
      <c r="K18" s="64">
        <f>IF('LAIN-LAIN'!$H$43=0,0,K12/'LAIN-LAIN'!$H$43)*'BIAYA BERSAMA'!$F$117</f>
        <v>274067.06756515871</v>
      </c>
      <c r="L18" s="64">
        <f>IF('LAIN-LAIN'!$H$43=0,0,L12/'LAIN-LAIN'!$H$43)*'BIAYA BERSAMA'!$F$117</f>
        <v>266804.14563750383</v>
      </c>
      <c r="M18" s="79">
        <f t="shared" si="1"/>
        <v>1734475.4507888532</v>
      </c>
      <c r="N18" s="67" t="s">
        <v>261</v>
      </c>
    </row>
    <row r="19" spans="1:14" ht="15" customHeight="1" x14ac:dyDescent="0.35">
      <c r="A19" s="63" t="s">
        <v>682</v>
      </c>
      <c r="B19" s="64">
        <f>0</f>
        <v>0</v>
      </c>
      <c r="C19" s="64">
        <f>0</f>
        <v>0</v>
      </c>
      <c r="D19" s="64">
        <f>0</f>
        <v>0</v>
      </c>
      <c r="E19" s="64">
        <f>0</f>
        <v>0</v>
      </c>
      <c r="F19" s="64">
        <f>0</f>
        <v>0</v>
      </c>
      <c r="G19" s="64">
        <f>0</f>
        <v>0</v>
      </c>
      <c r="H19" s="64">
        <f>0</f>
        <v>0</v>
      </c>
      <c r="I19" s="64">
        <f>0</f>
        <v>0</v>
      </c>
      <c r="J19" s="64">
        <f>0</f>
        <v>0</v>
      </c>
      <c r="K19" s="64">
        <f>0</f>
        <v>0</v>
      </c>
      <c r="L19" s="64">
        <f>0</f>
        <v>0</v>
      </c>
      <c r="M19" s="79">
        <f t="shared" si="1"/>
        <v>0</v>
      </c>
      <c r="N19" s="67" t="s">
        <v>683</v>
      </c>
    </row>
    <row r="20" spans="1:14" ht="15" customHeight="1" x14ac:dyDescent="0.35">
      <c r="A20" s="63" t="s">
        <v>684</v>
      </c>
      <c r="B20" s="64">
        <f>IF('LAIN-LAIN'!$G$43=0,0,B15/'LAIN-LAIN'!$G$43)*'BIAYA BERSAMA'!$F$120</f>
        <v>50618.895085493081</v>
      </c>
      <c r="C20" s="64">
        <f>IF('LAIN-LAIN'!$G$43=0,0,C15/'LAIN-LAIN'!$G$43)*'BIAYA BERSAMA'!$F$120</f>
        <v>98149.601147103647</v>
      </c>
      <c r="D20" s="64">
        <f>IF('LAIN-LAIN'!$G$43=0,0,D15/'LAIN-LAIN'!$G$43)*'BIAYA BERSAMA'!$F$120</f>
        <v>25015.417593840939</v>
      </c>
      <c r="E20" s="64">
        <f>IF('LAIN-LAIN'!$G$43=0,0,E15/'LAIN-LAIN'!$G$43)*'BIAYA BERSAMA'!$F$120</f>
        <v>1222.8814426959389</v>
      </c>
      <c r="F20" s="64">
        <f>IF('LAIN-LAIN'!$G$43=0,0,F15/'LAIN-LAIN'!$G$43)*'BIAYA BERSAMA'!$F$120</f>
        <v>22775.387210190795</v>
      </c>
      <c r="G20" s="64">
        <f>IF('LAIN-LAIN'!$G$43=0,0,G15/'LAIN-LAIN'!$G$43)*'BIAYA BERSAMA'!$F$120</f>
        <v>79278.659902617292</v>
      </c>
      <c r="H20" s="64">
        <f>IF('LAIN-LAIN'!$G$43=0,0,H15/'LAIN-LAIN'!$G$43)*'BIAYA BERSAMA'!$F$120</f>
        <v>1075.063456144323</v>
      </c>
      <c r="I20" s="64">
        <f>IF('LAIN-LAIN'!$G$43=0,0,I15/'LAIN-LAIN'!$G$43)*'BIAYA BERSAMA'!$F$120</f>
        <v>12.838374061078728</v>
      </c>
      <c r="J20" s="64">
        <f>IF('LAIN-LAIN'!$G$43=0,0,J15/'LAIN-LAIN'!$G$43)*'BIAYA BERSAMA'!$F$120</f>
        <v>17.117832081438305</v>
      </c>
      <c r="K20" s="64">
        <f>IF('LAIN-LAIN'!$G$43=0,0,K15/'LAIN-LAIN'!$G$43)*'BIAYA BERSAMA'!$F$120</f>
        <v>54421.73272701884</v>
      </c>
      <c r="L20" s="64">
        <f>IF('LAIN-LAIN'!$G$43=0,0,L15/'LAIN-LAIN'!$G$43)*'BIAYA BERSAMA'!$F$120</f>
        <v>47824.861506441412</v>
      </c>
      <c r="M20" s="79">
        <f t="shared" si="1"/>
        <v>380412.45627768879</v>
      </c>
      <c r="N20" s="67" t="s">
        <v>560</v>
      </c>
    </row>
    <row r="21" spans="1:14" ht="15" customHeight="1" x14ac:dyDescent="0.35">
      <c r="A21" s="72" t="s">
        <v>163</v>
      </c>
      <c r="B21" s="79">
        <f t="shared" ref="B21:L21" si="9">SUM(B18:B20)</f>
        <v>337233.48053849826</v>
      </c>
      <c r="C21" s="79">
        <f t="shared" si="9"/>
        <v>631755.95098347776</v>
      </c>
      <c r="D21" s="79">
        <f t="shared" si="9"/>
        <v>163040.05579878538</v>
      </c>
      <c r="E21" s="79">
        <f t="shared" si="9"/>
        <v>47450.476743254803</v>
      </c>
      <c r="F21" s="79">
        <f t="shared" si="9"/>
        <v>62400.14971846035</v>
      </c>
      <c r="G21" s="79">
        <f t="shared" si="9"/>
        <v>198811.09512415814</v>
      </c>
      <c r="H21" s="79">
        <f t="shared" si="9"/>
        <v>3055.3308622410868</v>
      </c>
      <c r="I21" s="79">
        <f t="shared" si="9"/>
        <v>1993.1057801578424</v>
      </c>
      <c r="J21" s="79">
        <f t="shared" si="9"/>
        <v>26030.454081385895</v>
      </c>
      <c r="K21" s="79">
        <f t="shared" si="9"/>
        <v>328488.80029217753</v>
      </c>
      <c r="L21" s="79">
        <f t="shared" si="9"/>
        <v>314629.00714394526</v>
      </c>
      <c r="M21" s="79">
        <f t="shared" si="1"/>
        <v>2114887.9070665422</v>
      </c>
    </row>
    <row r="22" spans="1:14" ht="15" customHeight="1" x14ac:dyDescent="0.35">
      <c r="A22" s="72" t="s">
        <v>685</v>
      </c>
      <c r="B22" s="79">
        <f t="shared" ref="B22:L22" si="10">B16+B17+B21</f>
        <v>5470172.9521935834</v>
      </c>
      <c r="C22" s="79">
        <f t="shared" si="10"/>
        <v>10254370.679533364</v>
      </c>
      <c r="D22" s="79">
        <f t="shared" si="10"/>
        <v>2645375.8540576668</v>
      </c>
      <c r="E22" s="79">
        <f t="shared" si="10"/>
        <v>803928.30463593348</v>
      </c>
      <c r="F22" s="79">
        <f t="shared" si="10"/>
        <v>1854735.474151524</v>
      </c>
      <c r="G22" s="79">
        <f t="shared" si="10"/>
        <v>5758904.7311264919</v>
      </c>
      <c r="H22" s="79">
        <f t="shared" si="10"/>
        <v>91610.352263054025</v>
      </c>
      <c r="I22" s="79">
        <f t="shared" si="10"/>
        <v>77751.453851835773</v>
      </c>
      <c r="J22" s="79">
        <f t="shared" si="10"/>
        <v>294142.62540311989</v>
      </c>
      <c r="K22" s="79">
        <f t="shared" si="10"/>
        <v>1541135.5197290017</v>
      </c>
      <c r="L22" s="79">
        <f t="shared" si="10"/>
        <v>1409318.3346292444</v>
      </c>
      <c r="M22" s="79">
        <f t="shared" si="1"/>
        <v>30201446.281574823</v>
      </c>
    </row>
    <row r="23" spans="1:14" ht="15" customHeight="1" x14ac:dyDescent="0.35">
      <c r="A23" s="63" t="s">
        <v>686</v>
      </c>
      <c r="B23" s="64">
        <f t="shared" ref="B23:M23" si="11">IF(B7=0,0,B22/B7)</f>
        <v>12604.085143303188</v>
      </c>
      <c r="C23" s="64">
        <f t="shared" si="11"/>
        <v>12691.052821204659</v>
      </c>
      <c r="D23" s="64">
        <f t="shared" si="11"/>
        <v>12657.300737118023</v>
      </c>
      <c r="E23" s="64">
        <f t="shared" si="11"/>
        <v>11484.690066227622</v>
      </c>
      <c r="F23" s="64">
        <f t="shared" si="11"/>
        <v>12364.903161010159</v>
      </c>
      <c r="G23" s="64">
        <f t="shared" si="11"/>
        <v>12726.86128425744</v>
      </c>
      <c r="H23" s="64">
        <f t="shared" si="11"/>
        <v>12214.713635073869</v>
      </c>
      <c r="I23" s="64">
        <f t="shared" si="11"/>
        <v>10366.860513578104</v>
      </c>
      <c r="J23" s="64">
        <f t="shared" si="11"/>
        <v>29414.262540311989</v>
      </c>
      <c r="K23" s="64">
        <f t="shared" si="11"/>
        <v>3713.5795656120522</v>
      </c>
      <c r="L23" s="64">
        <f t="shared" si="11"/>
        <v>3488.4117193793177</v>
      </c>
      <c r="M23" s="79">
        <f t="shared" si="11"/>
        <v>10177.403970202131</v>
      </c>
    </row>
    <row r="25" spans="1:14" ht="15" customHeight="1" x14ac:dyDescent="0.35">
      <c r="A25" s="62" t="s">
        <v>687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25.5" customHeight="1" x14ac:dyDescent="0.35">
      <c r="A26" s="19" t="s">
        <v>4</v>
      </c>
      <c r="B26" s="20" t="s">
        <v>659</v>
      </c>
      <c r="C26" s="20" t="s">
        <v>660</v>
      </c>
      <c r="D26" s="20" t="s">
        <v>661</v>
      </c>
      <c r="E26" s="20" t="s">
        <v>662</v>
      </c>
      <c r="F26" s="20" t="s">
        <v>663</v>
      </c>
      <c r="G26" s="20" t="s">
        <v>664</v>
      </c>
      <c r="H26" s="20" t="s">
        <v>665</v>
      </c>
      <c r="I26" s="20" t="s">
        <v>666</v>
      </c>
      <c r="J26" s="20" t="s">
        <v>667</v>
      </c>
      <c r="K26" s="20" t="s">
        <v>668</v>
      </c>
      <c r="L26" s="20" t="s">
        <v>669</v>
      </c>
      <c r="M26" s="20" t="s">
        <v>9</v>
      </c>
      <c r="N26" s="20" t="s">
        <v>546</v>
      </c>
    </row>
    <row r="27" spans="1:14" ht="15" customHeight="1" x14ac:dyDescent="0.35">
      <c r="A27" s="63" t="s">
        <v>688</v>
      </c>
      <c r="B27" s="73">
        <f t="shared" ref="B27:L27" si="12">B126</f>
        <v>0</v>
      </c>
      <c r="C27" s="73">
        <f t="shared" si="12"/>
        <v>0</v>
      </c>
      <c r="D27" s="73">
        <f t="shared" si="12"/>
        <v>0</v>
      </c>
      <c r="E27" s="73">
        <f t="shared" si="12"/>
        <v>0</v>
      </c>
      <c r="F27" s="73">
        <f t="shared" si="12"/>
        <v>0</v>
      </c>
      <c r="G27" s="73">
        <f t="shared" si="12"/>
        <v>0</v>
      </c>
      <c r="H27" s="73">
        <f t="shared" si="12"/>
        <v>0</v>
      </c>
      <c r="I27" s="73">
        <f t="shared" si="12"/>
        <v>0</v>
      </c>
      <c r="J27" s="73">
        <f t="shared" si="12"/>
        <v>0</v>
      </c>
      <c r="K27" s="73">
        <f t="shared" si="12"/>
        <v>0</v>
      </c>
      <c r="L27" s="73">
        <f t="shared" si="12"/>
        <v>0</v>
      </c>
      <c r="M27" s="76">
        <f>SUM(B27:L27)</f>
        <v>0</v>
      </c>
    </row>
    <row r="28" spans="1:14" ht="15" customHeight="1" x14ac:dyDescent="0.35">
      <c r="A28" s="63" t="s">
        <v>689</v>
      </c>
      <c r="B28" s="64">
        <f t="shared" ref="B28:L28" si="13">B127</f>
        <v>0</v>
      </c>
      <c r="C28" s="64">
        <f t="shared" si="13"/>
        <v>0</v>
      </c>
      <c r="D28" s="64">
        <f t="shared" si="13"/>
        <v>0</v>
      </c>
      <c r="E28" s="64">
        <f t="shared" si="13"/>
        <v>0</v>
      </c>
      <c r="F28" s="64">
        <f t="shared" si="13"/>
        <v>0</v>
      </c>
      <c r="G28" s="64">
        <f t="shared" si="13"/>
        <v>0</v>
      </c>
      <c r="H28" s="64">
        <f t="shared" si="13"/>
        <v>0</v>
      </c>
      <c r="I28" s="64">
        <f t="shared" si="13"/>
        <v>0</v>
      </c>
      <c r="J28" s="64">
        <f t="shared" si="13"/>
        <v>0</v>
      </c>
      <c r="K28" s="64">
        <f t="shared" si="13"/>
        <v>0</v>
      </c>
      <c r="L28" s="64">
        <f t="shared" si="13"/>
        <v>0</v>
      </c>
      <c r="M28" s="79">
        <f>SUM(B28:L28)</f>
        <v>0</v>
      </c>
    </row>
    <row r="29" spans="1:14" ht="15" customHeight="1" x14ac:dyDescent="0.35">
      <c r="A29" s="63" t="s">
        <v>690</v>
      </c>
      <c r="B29" s="73">
        <f t="shared" ref="B29:L29" si="14">B8</f>
        <v>434</v>
      </c>
      <c r="C29" s="73">
        <f t="shared" si="14"/>
        <v>808</v>
      </c>
      <c r="D29" s="73">
        <f t="shared" si="14"/>
        <v>209</v>
      </c>
      <c r="E29" s="73">
        <f t="shared" si="14"/>
        <v>70</v>
      </c>
      <c r="F29" s="73">
        <f t="shared" si="14"/>
        <v>60</v>
      </c>
      <c r="G29" s="73">
        <f t="shared" si="14"/>
        <v>181</v>
      </c>
      <c r="H29" s="73">
        <f t="shared" si="14"/>
        <v>3</v>
      </c>
      <c r="I29" s="73">
        <f t="shared" si="14"/>
        <v>3</v>
      </c>
      <c r="J29" s="73">
        <f t="shared" si="14"/>
        <v>10</v>
      </c>
      <c r="K29" s="73">
        <f t="shared" si="14"/>
        <v>415</v>
      </c>
      <c r="L29" s="73">
        <f t="shared" si="14"/>
        <v>404</v>
      </c>
      <c r="M29" s="76">
        <f>SUM(B29:L29)</f>
        <v>2597</v>
      </c>
    </row>
    <row r="30" spans="1:14" ht="15" customHeight="1" x14ac:dyDescent="0.35">
      <c r="A30" s="63" t="s">
        <v>691</v>
      </c>
      <c r="B30" s="64">
        <f t="shared" ref="B30:L30" si="15">B22</f>
        <v>5470172.9521935834</v>
      </c>
      <c r="C30" s="64">
        <f t="shared" si="15"/>
        <v>10254370.679533364</v>
      </c>
      <c r="D30" s="64">
        <f t="shared" si="15"/>
        <v>2645375.8540576668</v>
      </c>
      <c r="E30" s="64">
        <f t="shared" si="15"/>
        <v>803928.30463593348</v>
      </c>
      <c r="F30" s="64">
        <f t="shared" si="15"/>
        <v>1854735.474151524</v>
      </c>
      <c r="G30" s="64">
        <f t="shared" si="15"/>
        <v>5758904.7311264919</v>
      </c>
      <c r="H30" s="64">
        <f t="shared" si="15"/>
        <v>91610.352263054025</v>
      </c>
      <c r="I30" s="64">
        <f t="shared" si="15"/>
        <v>77751.453851835773</v>
      </c>
      <c r="J30" s="64">
        <f t="shared" si="15"/>
        <v>294142.62540311989</v>
      </c>
      <c r="K30" s="64">
        <f t="shared" si="15"/>
        <v>1541135.5197290017</v>
      </c>
      <c r="L30" s="64">
        <f t="shared" si="15"/>
        <v>1409318.3346292444</v>
      </c>
      <c r="M30" s="79">
        <f>SUM(B30:L30)</f>
        <v>30201446.281574823</v>
      </c>
    </row>
    <row r="31" spans="1:14" ht="15" customHeight="1" x14ac:dyDescent="0.35">
      <c r="A31" s="63" t="s">
        <v>692</v>
      </c>
      <c r="B31" s="64">
        <f t="shared" ref="B31:L31" si="16">IF(B27+B29=0,0,(B28+B30)/(B27+B29))</f>
        <v>12604.085143303188</v>
      </c>
      <c r="C31" s="64">
        <f t="shared" si="16"/>
        <v>12691.052821204659</v>
      </c>
      <c r="D31" s="64">
        <f t="shared" si="16"/>
        <v>12657.300737118023</v>
      </c>
      <c r="E31" s="64">
        <f t="shared" si="16"/>
        <v>11484.690066227622</v>
      </c>
      <c r="F31" s="64">
        <f t="shared" si="16"/>
        <v>30912.257902525402</v>
      </c>
      <c r="G31" s="64">
        <f t="shared" si="16"/>
        <v>31817.153210643603</v>
      </c>
      <c r="H31" s="64">
        <f t="shared" si="16"/>
        <v>30536.784087684675</v>
      </c>
      <c r="I31" s="64">
        <f t="shared" si="16"/>
        <v>25917.151283945259</v>
      </c>
      <c r="J31" s="64">
        <f t="shared" si="16"/>
        <v>29414.262540311989</v>
      </c>
      <c r="K31" s="64">
        <f t="shared" si="16"/>
        <v>3713.5795656120522</v>
      </c>
      <c r="L31" s="64">
        <f t="shared" si="16"/>
        <v>3488.4117193793177</v>
      </c>
    </row>
    <row r="32" spans="1:14" ht="15" customHeight="1" x14ac:dyDescent="0.35">
      <c r="A32" s="63" t="s">
        <v>693</v>
      </c>
      <c r="B32" s="73">
        <f t="shared" ref="B32:L32" si="17">B131</f>
        <v>434</v>
      </c>
      <c r="C32" s="73">
        <f t="shared" si="17"/>
        <v>808</v>
      </c>
      <c r="D32" s="73">
        <f t="shared" si="17"/>
        <v>209</v>
      </c>
      <c r="E32" s="73">
        <f t="shared" si="17"/>
        <v>70</v>
      </c>
      <c r="F32" s="73">
        <f t="shared" si="17"/>
        <v>59</v>
      </c>
      <c r="G32" s="73">
        <f t="shared" si="17"/>
        <v>179</v>
      </c>
      <c r="H32" s="73">
        <f t="shared" si="17"/>
        <v>3</v>
      </c>
      <c r="I32" s="73">
        <f t="shared" si="17"/>
        <v>3</v>
      </c>
      <c r="J32" s="73">
        <f t="shared" si="17"/>
        <v>0</v>
      </c>
      <c r="K32" s="73">
        <f t="shared" si="17"/>
        <v>415</v>
      </c>
      <c r="L32" s="73">
        <f t="shared" si="17"/>
        <v>404</v>
      </c>
      <c r="M32" s="76">
        <f t="shared" ref="M32:M40" si="18">SUM(B32:L32)</f>
        <v>2584</v>
      </c>
      <c r="N32" s="67" t="s">
        <v>694</v>
      </c>
    </row>
    <row r="33" spans="1:14" ht="15" customHeight="1" x14ac:dyDescent="0.35">
      <c r="A33" s="63" t="s">
        <v>695</v>
      </c>
      <c r="B33" s="64">
        <f t="shared" ref="B33:L33" si="19">B32*B31</f>
        <v>5470172.9521935834</v>
      </c>
      <c r="C33" s="64">
        <f t="shared" si="19"/>
        <v>10254370.679533364</v>
      </c>
      <c r="D33" s="64">
        <f t="shared" si="19"/>
        <v>2645375.8540576668</v>
      </c>
      <c r="E33" s="64">
        <f t="shared" si="19"/>
        <v>803928.3046359336</v>
      </c>
      <c r="F33" s="64">
        <f t="shared" si="19"/>
        <v>1823823.2162489987</v>
      </c>
      <c r="G33" s="64">
        <f t="shared" si="19"/>
        <v>5695270.4247052046</v>
      </c>
      <c r="H33" s="64">
        <f t="shared" si="19"/>
        <v>91610.352263054025</v>
      </c>
      <c r="I33" s="64">
        <f t="shared" si="19"/>
        <v>77751.453851835773</v>
      </c>
      <c r="J33" s="64">
        <f t="shared" si="19"/>
        <v>0</v>
      </c>
      <c r="K33" s="64">
        <f t="shared" si="19"/>
        <v>1541135.5197290017</v>
      </c>
      <c r="L33" s="64">
        <f t="shared" si="19"/>
        <v>1409318.3346292444</v>
      </c>
      <c r="M33" s="79">
        <f t="shared" si="18"/>
        <v>29812757.091847889</v>
      </c>
    </row>
    <row r="34" spans="1:14" ht="15" customHeight="1" x14ac:dyDescent="0.35">
      <c r="A34" s="63" t="s">
        <v>696</v>
      </c>
      <c r="B34" s="73">
        <f t="shared" ref="B34:L34" si="20">B133</f>
        <v>0</v>
      </c>
      <c r="C34" s="73">
        <f t="shared" si="20"/>
        <v>0</v>
      </c>
      <c r="D34" s="73">
        <f t="shared" si="20"/>
        <v>0</v>
      </c>
      <c r="E34" s="73">
        <f t="shared" si="20"/>
        <v>0</v>
      </c>
      <c r="F34" s="73">
        <f t="shared" si="20"/>
        <v>0</v>
      </c>
      <c r="G34" s="73">
        <f t="shared" si="20"/>
        <v>0</v>
      </c>
      <c r="H34" s="73">
        <f t="shared" si="20"/>
        <v>0</v>
      </c>
      <c r="I34" s="73">
        <f t="shared" si="20"/>
        <v>0</v>
      </c>
      <c r="J34" s="73">
        <f t="shared" si="20"/>
        <v>0</v>
      </c>
      <c r="K34" s="73">
        <f t="shared" si="20"/>
        <v>0</v>
      </c>
      <c r="L34" s="73">
        <f t="shared" si="20"/>
        <v>0</v>
      </c>
      <c r="M34" s="76">
        <f t="shared" si="18"/>
        <v>0</v>
      </c>
    </row>
    <row r="35" spans="1:14" ht="15" customHeight="1" x14ac:dyDescent="0.35">
      <c r="A35" s="63" t="s">
        <v>697</v>
      </c>
      <c r="B35" s="64">
        <f t="shared" ref="B35:L35" si="21">B34*B31</f>
        <v>0</v>
      </c>
      <c r="C35" s="64">
        <f t="shared" si="21"/>
        <v>0</v>
      </c>
      <c r="D35" s="64">
        <f t="shared" si="21"/>
        <v>0</v>
      </c>
      <c r="E35" s="64">
        <f t="shared" si="21"/>
        <v>0</v>
      </c>
      <c r="F35" s="64">
        <f t="shared" si="21"/>
        <v>0</v>
      </c>
      <c r="G35" s="64">
        <f t="shared" si="21"/>
        <v>0</v>
      </c>
      <c r="H35" s="64">
        <f t="shared" si="21"/>
        <v>0</v>
      </c>
      <c r="I35" s="64">
        <f t="shared" si="21"/>
        <v>0</v>
      </c>
      <c r="J35" s="64">
        <f t="shared" si="21"/>
        <v>0</v>
      </c>
      <c r="K35" s="64">
        <f t="shared" si="21"/>
        <v>0</v>
      </c>
      <c r="L35" s="64">
        <f t="shared" si="21"/>
        <v>0</v>
      </c>
      <c r="M35" s="79">
        <f t="shared" si="18"/>
        <v>0</v>
      </c>
    </row>
    <row r="36" spans="1:14" ht="15" customHeight="1" x14ac:dyDescent="0.35">
      <c r="A36" s="63" t="s">
        <v>698</v>
      </c>
      <c r="B36" s="73">
        <f t="shared" ref="B36:L36" si="22">B27+B29-B32-B34</f>
        <v>0</v>
      </c>
      <c r="C36" s="73">
        <f t="shared" si="22"/>
        <v>0</v>
      </c>
      <c r="D36" s="73">
        <f t="shared" si="22"/>
        <v>0</v>
      </c>
      <c r="E36" s="73">
        <f t="shared" si="22"/>
        <v>0</v>
      </c>
      <c r="F36" s="73">
        <f t="shared" si="22"/>
        <v>1</v>
      </c>
      <c r="G36" s="73">
        <f t="shared" si="22"/>
        <v>2</v>
      </c>
      <c r="H36" s="73">
        <f t="shared" si="22"/>
        <v>0</v>
      </c>
      <c r="I36" s="73">
        <f t="shared" si="22"/>
        <v>0</v>
      </c>
      <c r="J36" s="73">
        <f t="shared" si="22"/>
        <v>10</v>
      </c>
      <c r="K36" s="73">
        <f t="shared" si="22"/>
        <v>0</v>
      </c>
      <c r="L36" s="73">
        <f t="shared" si="22"/>
        <v>0</v>
      </c>
      <c r="M36" s="76">
        <f t="shared" si="18"/>
        <v>13</v>
      </c>
    </row>
    <row r="37" spans="1:14" ht="15" customHeight="1" x14ac:dyDescent="0.35">
      <c r="A37" s="63" t="s">
        <v>699</v>
      </c>
      <c r="B37" s="64">
        <f t="shared" ref="B37:L37" si="23">B36*B31</f>
        <v>0</v>
      </c>
      <c r="C37" s="64">
        <f t="shared" si="23"/>
        <v>0</v>
      </c>
      <c r="D37" s="64">
        <f t="shared" si="23"/>
        <v>0</v>
      </c>
      <c r="E37" s="64">
        <f t="shared" si="23"/>
        <v>0</v>
      </c>
      <c r="F37" s="64">
        <f t="shared" si="23"/>
        <v>30912.257902525402</v>
      </c>
      <c r="G37" s="64">
        <f t="shared" si="23"/>
        <v>63634.306421287205</v>
      </c>
      <c r="H37" s="64">
        <f t="shared" si="23"/>
        <v>0</v>
      </c>
      <c r="I37" s="64">
        <f t="shared" si="23"/>
        <v>0</v>
      </c>
      <c r="J37" s="64">
        <f t="shared" si="23"/>
        <v>294142.62540311989</v>
      </c>
      <c r="K37" s="64">
        <f t="shared" si="23"/>
        <v>0</v>
      </c>
      <c r="L37" s="64">
        <f t="shared" si="23"/>
        <v>0</v>
      </c>
      <c r="M37" s="79">
        <f t="shared" si="18"/>
        <v>388689.1897269325</v>
      </c>
    </row>
    <row r="38" spans="1:14" ht="15" customHeight="1" x14ac:dyDescent="0.35">
      <c r="A38" s="72" t="s">
        <v>572</v>
      </c>
      <c r="B38" s="79">
        <f t="shared" ref="B38:L38" si="24">B33+B37</f>
        <v>5470172.9521935834</v>
      </c>
      <c r="C38" s="79">
        <f t="shared" si="24"/>
        <v>10254370.679533364</v>
      </c>
      <c r="D38" s="79">
        <f t="shared" si="24"/>
        <v>2645375.8540576668</v>
      </c>
      <c r="E38" s="79">
        <f t="shared" si="24"/>
        <v>803928.3046359336</v>
      </c>
      <c r="F38" s="79">
        <f t="shared" si="24"/>
        <v>1854735.474151524</v>
      </c>
      <c r="G38" s="79">
        <f t="shared" si="24"/>
        <v>5758904.7311264919</v>
      </c>
      <c r="H38" s="79">
        <f t="shared" si="24"/>
        <v>91610.352263054025</v>
      </c>
      <c r="I38" s="79">
        <f t="shared" si="24"/>
        <v>77751.453851835773</v>
      </c>
      <c r="J38" s="79">
        <f t="shared" si="24"/>
        <v>294142.62540311989</v>
      </c>
      <c r="K38" s="79">
        <f t="shared" si="24"/>
        <v>1541135.5197290017</v>
      </c>
      <c r="L38" s="79">
        <f t="shared" si="24"/>
        <v>1409318.3346292444</v>
      </c>
      <c r="M38" s="79">
        <f t="shared" si="18"/>
        <v>30201446.281574823</v>
      </c>
    </row>
    <row r="39" spans="1:14" ht="15" customHeight="1" x14ac:dyDescent="0.35">
      <c r="A39" s="63" t="s">
        <v>53</v>
      </c>
      <c r="B39" s="64">
        <f t="shared" ref="B39:L39" si="25">B136</f>
        <v>3518915.4</v>
      </c>
      <c r="C39" s="64">
        <f t="shared" si="25"/>
        <v>6551344.7999999998</v>
      </c>
      <c r="D39" s="64">
        <f t="shared" si="25"/>
        <v>1694592.9</v>
      </c>
      <c r="E39" s="64">
        <f t="shared" si="25"/>
        <v>567567</v>
      </c>
      <c r="F39" s="64">
        <f t="shared" si="25"/>
        <v>1594594.18</v>
      </c>
      <c r="G39" s="64">
        <f t="shared" si="25"/>
        <v>4837836.58</v>
      </c>
      <c r="H39" s="64">
        <f t="shared" si="25"/>
        <v>81081.06</v>
      </c>
      <c r="I39" s="64">
        <f t="shared" si="25"/>
        <v>81081.06</v>
      </c>
      <c r="J39" s="64">
        <f t="shared" si="25"/>
        <v>0</v>
      </c>
      <c r="K39" s="64">
        <f t="shared" si="25"/>
        <v>4860359.6500000004</v>
      </c>
      <c r="L39" s="64">
        <f t="shared" si="25"/>
        <v>4731530.84</v>
      </c>
      <c r="M39" s="79">
        <f t="shared" si="18"/>
        <v>28518903.469999995</v>
      </c>
    </row>
    <row r="40" spans="1:14" ht="15" customHeight="1" x14ac:dyDescent="0.35">
      <c r="A40" s="72" t="s">
        <v>500</v>
      </c>
      <c r="B40" s="79">
        <f t="shared" ref="B40:L40" si="26">B39-B38</f>
        <v>-1951257.5521935835</v>
      </c>
      <c r="C40" s="79">
        <f t="shared" si="26"/>
        <v>-3703025.8795333644</v>
      </c>
      <c r="D40" s="79">
        <f t="shared" si="26"/>
        <v>-950782.95405766694</v>
      </c>
      <c r="E40" s="79">
        <f t="shared" si="26"/>
        <v>-236361.3046359336</v>
      </c>
      <c r="F40" s="79">
        <f t="shared" si="26"/>
        <v>-260141.29415152408</v>
      </c>
      <c r="G40" s="79">
        <f t="shared" si="26"/>
        <v>-921068.15112649184</v>
      </c>
      <c r="H40" s="79">
        <f t="shared" si="26"/>
        <v>-10529.292263054027</v>
      </c>
      <c r="I40" s="79">
        <f t="shared" si="26"/>
        <v>3329.6061481642246</v>
      </c>
      <c r="J40" s="79">
        <f t="shared" si="26"/>
        <v>-294142.62540311989</v>
      </c>
      <c r="K40" s="79">
        <f t="shared" si="26"/>
        <v>3319224.1302709989</v>
      </c>
      <c r="L40" s="79">
        <f t="shared" si="26"/>
        <v>3322212.5053707557</v>
      </c>
      <c r="M40" s="79">
        <f t="shared" si="18"/>
        <v>-1682542.8115748204</v>
      </c>
    </row>
    <row r="41" spans="1:14" ht="15" customHeight="1" x14ac:dyDescent="0.35">
      <c r="A41" s="63" t="s">
        <v>15</v>
      </c>
      <c r="B41" s="65">
        <f t="shared" ref="B41:M41" si="27">IF(B39=0,0,B40/B39)</f>
        <v>-0.55450538884611533</v>
      </c>
      <c r="C41" s="65">
        <f t="shared" si="27"/>
        <v>-0.56523141317998782</v>
      </c>
      <c r="D41" s="65">
        <f t="shared" si="27"/>
        <v>-0.56106865197987488</v>
      </c>
      <c r="E41" s="65">
        <f t="shared" si="27"/>
        <v>-0.41644652461459808</v>
      </c>
      <c r="F41" s="65">
        <f t="shared" si="27"/>
        <v>-0.16313949807061512</v>
      </c>
      <c r="G41" s="65">
        <f t="shared" si="27"/>
        <v>-0.19038843828133026</v>
      </c>
      <c r="H41" s="65">
        <f t="shared" si="27"/>
        <v>-0.12986130500827231</v>
      </c>
      <c r="I41" s="65">
        <f t="shared" si="27"/>
        <v>4.1065153170965263E-2</v>
      </c>
      <c r="J41" s="65">
        <f t="shared" si="27"/>
        <v>0</v>
      </c>
      <c r="K41" s="65">
        <f t="shared" si="27"/>
        <v>0.68291739074720503</v>
      </c>
      <c r="L41" s="65">
        <f t="shared" si="27"/>
        <v>0.70214326350470446</v>
      </c>
      <c r="M41" s="77">
        <f t="shared" si="27"/>
        <v>-5.8997458066532761E-2</v>
      </c>
    </row>
    <row r="42" spans="1:14" ht="15" customHeight="1" x14ac:dyDescent="0.35">
      <c r="A42" s="63" t="s">
        <v>700</v>
      </c>
      <c r="B42" s="64">
        <f t="shared" ref="B42:L42" si="28">B132</f>
        <v>1129237.49</v>
      </c>
      <c r="C42" s="64">
        <f t="shared" si="28"/>
        <v>2163993.2799999998</v>
      </c>
      <c r="D42" s="64">
        <f t="shared" si="28"/>
        <v>552711.22</v>
      </c>
      <c r="E42" s="64">
        <f t="shared" si="28"/>
        <v>66714.179999999993</v>
      </c>
      <c r="F42" s="64">
        <f t="shared" si="28"/>
        <v>408859.57</v>
      </c>
      <c r="G42" s="64">
        <f t="shared" si="28"/>
        <v>1414524.82</v>
      </c>
      <c r="H42" s="64">
        <f t="shared" si="28"/>
        <v>19728.810000000001</v>
      </c>
      <c r="I42" s="64">
        <f t="shared" si="28"/>
        <v>2043.5</v>
      </c>
      <c r="J42" s="64">
        <f t="shared" si="28"/>
        <v>0</v>
      </c>
      <c r="K42" s="64">
        <f t="shared" si="28"/>
        <v>1159199.6200000001</v>
      </c>
      <c r="L42" s="64">
        <f t="shared" si="28"/>
        <v>1042657.22</v>
      </c>
      <c r="M42" s="79">
        <f>SUM(B42:L42)</f>
        <v>7959669.709999999</v>
      </c>
    </row>
    <row r="43" spans="1:14" ht="15" customHeight="1" x14ac:dyDescent="0.35">
      <c r="A43" s="63" t="s">
        <v>574</v>
      </c>
      <c r="B43" s="73">
        <f t="shared" ref="B43:L43" si="29">B135-B32</f>
        <v>0</v>
      </c>
      <c r="C43" s="73">
        <f t="shared" si="29"/>
        <v>0</v>
      </c>
      <c r="D43" s="73">
        <f t="shared" si="29"/>
        <v>0</v>
      </c>
      <c r="E43" s="73">
        <f t="shared" si="29"/>
        <v>0</v>
      </c>
      <c r="F43" s="73">
        <f t="shared" si="29"/>
        <v>0</v>
      </c>
      <c r="G43" s="73">
        <f t="shared" si="29"/>
        <v>0</v>
      </c>
      <c r="H43" s="73">
        <f t="shared" si="29"/>
        <v>0</v>
      </c>
      <c r="I43" s="73">
        <f t="shared" si="29"/>
        <v>0</v>
      </c>
      <c r="J43" s="73">
        <f t="shared" si="29"/>
        <v>0</v>
      </c>
      <c r="K43" s="73">
        <f t="shared" si="29"/>
        <v>0</v>
      </c>
      <c r="L43" s="73">
        <f t="shared" si="29"/>
        <v>0</v>
      </c>
      <c r="M43" s="76">
        <f>SUM(B43:L43)</f>
        <v>0</v>
      </c>
    </row>
    <row r="44" spans="1:14" ht="15" customHeight="1" x14ac:dyDescent="0.35">
      <c r="A44" s="63" t="s">
        <v>701</v>
      </c>
      <c r="B44" s="73">
        <f t="shared" ref="B44:L44" si="30">B29-B129</f>
        <v>0</v>
      </c>
      <c r="C44" s="73">
        <f t="shared" si="30"/>
        <v>0</v>
      </c>
      <c r="D44" s="73">
        <f t="shared" si="30"/>
        <v>0</v>
      </c>
      <c r="E44" s="73">
        <f t="shared" si="30"/>
        <v>0</v>
      </c>
      <c r="F44" s="73">
        <f t="shared" si="30"/>
        <v>1</v>
      </c>
      <c r="G44" s="73">
        <f t="shared" si="30"/>
        <v>2</v>
      </c>
      <c r="H44" s="73">
        <f t="shared" si="30"/>
        <v>0</v>
      </c>
      <c r="I44" s="73">
        <f t="shared" si="30"/>
        <v>0</v>
      </c>
      <c r="J44" s="73">
        <f t="shared" si="30"/>
        <v>10</v>
      </c>
      <c r="K44" s="73">
        <f t="shared" si="30"/>
        <v>0</v>
      </c>
      <c r="L44" s="73">
        <f t="shared" si="30"/>
        <v>0</v>
      </c>
      <c r="M44" s="76">
        <f>SUM(B44:L44)</f>
        <v>13</v>
      </c>
    </row>
    <row r="46" spans="1:14" ht="15" customHeight="1" x14ac:dyDescent="0.35">
      <c r="A46" s="62" t="s">
        <v>576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25.5" customHeight="1" x14ac:dyDescent="0.35">
      <c r="A47" s="19" t="s">
        <v>4</v>
      </c>
      <c r="B47" s="20" t="s">
        <v>659</v>
      </c>
      <c r="C47" s="20" t="s">
        <v>660</v>
      </c>
      <c r="D47" s="20" t="s">
        <v>661</v>
      </c>
      <c r="E47" s="20" t="s">
        <v>662</v>
      </c>
      <c r="F47" s="20" t="s">
        <v>663</v>
      </c>
      <c r="G47" s="20" t="s">
        <v>664</v>
      </c>
      <c r="H47" s="20" t="s">
        <v>665</v>
      </c>
      <c r="I47" s="20" t="s">
        <v>666</v>
      </c>
      <c r="J47" s="20" t="s">
        <v>667</v>
      </c>
      <c r="K47" s="20" t="s">
        <v>668</v>
      </c>
      <c r="L47" s="20" t="s">
        <v>669</v>
      </c>
      <c r="M47" s="20" t="s">
        <v>9</v>
      </c>
      <c r="N47" s="20" t="s">
        <v>342</v>
      </c>
    </row>
    <row r="48" spans="1:14" ht="15" customHeight="1" x14ac:dyDescent="0.35">
      <c r="A48" s="63" t="s">
        <v>702</v>
      </c>
      <c r="B48" s="64">
        <f t="shared" ref="B48:L48" si="31">B137</f>
        <v>842769.40159999998</v>
      </c>
      <c r="C48" s="64">
        <f t="shared" si="31"/>
        <v>1634122.6035</v>
      </c>
      <c r="D48" s="64">
        <f t="shared" si="31"/>
        <v>416489.30660000001</v>
      </c>
      <c r="E48" s="64">
        <f t="shared" si="31"/>
        <v>20360.125599999999</v>
      </c>
      <c r="F48" s="64">
        <f t="shared" si="31"/>
        <v>379194.35849999997</v>
      </c>
      <c r="G48" s="64">
        <f t="shared" si="31"/>
        <v>1319934.5551</v>
      </c>
      <c r="H48" s="64">
        <f t="shared" si="31"/>
        <v>17899.0589</v>
      </c>
      <c r="I48" s="64">
        <f t="shared" si="31"/>
        <v>213.75</v>
      </c>
      <c r="J48" s="64">
        <f t="shared" si="31"/>
        <v>215170.4809</v>
      </c>
      <c r="K48" s="64">
        <f t="shared" si="31"/>
        <v>906084.0037</v>
      </c>
      <c r="L48" s="64">
        <f t="shared" si="31"/>
        <v>796250.68550000002</v>
      </c>
      <c r="M48" s="79">
        <f>SUM(B48:L48)</f>
        <v>6548488.3298999993</v>
      </c>
    </row>
    <row r="49" spans="1:14" ht="15" customHeight="1" x14ac:dyDescent="0.35">
      <c r="A49" s="63" t="s">
        <v>703</v>
      </c>
      <c r="B49" s="64">
        <f t="shared" ref="B49:L49" si="32">B16</f>
        <v>4812341.5010059997</v>
      </c>
      <c r="C49" s="64">
        <f t="shared" si="32"/>
        <v>9025739.6162361857</v>
      </c>
      <c r="D49" s="64">
        <f t="shared" si="32"/>
        <v>2327945.8224726184</v>
      </c>
      <c r="E49" s="64">
        <f t="shared" si="32"/>
        <v>704769.10826167301</v>
      </c>
      <c r="F49" s="64">
        <f t="shared" si="32"/>
        <v>1748012.3238170112</v>
      </c>
      <c r="G49" s="64">
        <f t="shared" si="32"/>
        <v>5426388.4510474224</v>
      </c>
      <c r="H49" s="64">
        <f t="shared" si="32"/>
        <v>86339.957185801992</v>
      </c>
      <c r="I49" s="64">
        <f t="shared" si="32"/>
        <v>73543.283856666982</v>
      </c>
      <c r="J49" s="64">
        <f t="shared" si="32"/>
        <v>239014.47973650679</v>
      </c>
      <c r="K49" s="64">
        <f t="shared" si="32"/>
        <v>906084.00371089194</v>
      </c>
      <c r="L49" s="64">
        <f t="shared" si="32"/>
        <v>796250.68551265704</v>
      </c>
      <c r="M49" s="79">
        <f>SUM(B49:L49)</f>
        <v>26146429.23284344</v>
      </c>
    </row>
    <row r="50" spans="1:14" ht="15" customHeight="1" x14ac:dyDescent="0.35">
      <c r="A50" s="63" t="s">
        <v>704</v>
      </c>
      <c r="B50" s="64">
        <f t="shared" ref="B50:L50" si="33">B138</f>
        <v>264704.0649</v>
      </c>
      <c r="C50" s="64">
        <f t="shared" si="33"/>
        <v>492813.09779999999</v>
      </c>
      <c r="D50" s="64">
        <f t="shared" si="33"/>
        <v>127472.6949</v>
      </c>
      <c r="E50" s="64">
        <f t="shared" si="33"/>
        <v>42694.203999999998</v>
      </c>
      <c r="F50" s="64">
        <f t="shared" si="33"/>
        <v>36595.031999999999</v>
      </c>
      <c r="G50" s="64">
        <f t="shared" si="33"/>
        <v>110395.01330000001</v>
      </c>
      <c r="H50" s="64">
        <f t="shared" si="33"/>
        <v>1829.7516000000001</v>
      </c>
      <c r="I50" s="64">
        <f t="shared" si="33"/>
        <v>1829.7516000000001</v>
      </c>
      <c r="J50" s="64">
        <f t="shared" si="33"/>
        <v>24025.212</v>
      </c>
      <c r="K50" s="64">
        <f t="shared" si="33"/>
        <v>253115.63810000001</v>
      </c>
      <c r="L50" s="64">
        <f t="shared" si="33"/>
        <v>246406.54889999999</v>
      </c>
      <c r="M50" s="79">
        <f>SUM(B50:L50)</f>
        <v>1601881.0091000004</v>
      </c>
    </row>
    <row r="51" spans="1:14" ht="15" customHeight="1" x14ac:dyDescent="0.35">
      <c r="A51" s="63" t="s">
        <v>705</v>
      </c>
      <c r="B51" s="64">
        <f t="shared" ref="B51:L51" si="34">B17+B21</f>
        <v>657831.45118758315</v>
      </c>
      <c r="C51" s="64">
        <f t="shared" si="34"/>
        <v>1228631.0632971786</v>
      </c>
      <c r="D51" s="64">
        <f t="shared" si="34"/>
        <v>317430.03158504865</v>
      </c>
      <c r="E51" s="64">
        <f t="shared" si="34"/>
        <v>99159.196374260442</v>
      </c>
      <c r="F51" s="64">
        <f t="shared" si="34"/>
        <v>106723.15033451281</v>
      </c>
      <c r="G51" s="64">
        <f t="shared" si="34"/>
        <v>332516.28007906914</v>
      </c>
      <c r="H51" s="64">
        <f t="shared" si="34"/>
        <v>5270.3950772520366</v>
      </c>
      <c r="I51" s="64">
        <f t="shared" si="34"/>
        <v>4208.1699951687924</v>
      </c>
      <c r="J51" s="64">
        <f t="shared" si="34"/>
        <v>55128.145666613083</v>
      </c>
      <c r="K51" s="64">
        <f t="shared" si="34"/>
        <v>635051.51601810975</v>
      </c>
      <c r="L51" s="64">
        <f t="shared" si="34"/>
        <v>613067.64911658736</v>
      </c>
      <c r="M51" s="79">
        <f>SUM(B51:L51)</f>
        <v>4055017.0487313834</v>
      </c>
    </row>
    <row r="52" spans="1:14" ht="15" customHeight="1" x14ac:dyDescent="0.35">
      <c r="A52" s="72" t="s">
        <v>706</v>
      </c>
      <c r="B52" s="79">
        <f t="shared" ref="B52:L52" si="35">B49+B51-B48-B50</f>
        <v>4362699.4856935833</v>
      </c>
      <c r="C52" s="79">
        <f t="shared" si="35"/>
        <v>8127434.9782333653</v>
      </c>
      <c r="D52" s="79">
        <f t="shared" si="35"/>
        <v>2101413.8525576671</v>
      </c>
      <c r="E52" s="79">
        <f t="shared" si="35"/>
        <v>740873.97503593343</v>
      </c>
      <c r="F52" s="79">
        <f t="shared" si="35"/>
        <v>1438946.0836515243</v>
      </c>
      <c r="G52" s="79">
        <f t="shared" si="35"/>
        <v>4328575.1627264917</v>
      </c>
      <c r="H52" s="79">
        <f t="shared" si="35"/>
        <v>71881.541763054018</v>
      </c>
      <c r="I52" s="79">
        <f t="shared" si="35"/>
        <v>75707.95225183577</v>
      </c>
      <c r="J52" s="79">
        <f t="shared" si="35"/>
        <v>54946.932503119897</v>
      </c>
      <c r="K52" s="79">
        <f t="shared" si="35"/>
        <v>381935.8779290017</v>
      </c>
      <c r="L52" s="79">
        <f t="shared" si="35"/>
        <v>366661.10022924439</v>
      </c>
      <c r="M52" s="79">
        <f>SUM(B52:L52)</f>
        <v>22051076.942574818</v>
      </c>
    </row>
    <row r="54" spans="1:14" ht="15" customHeight="1" x14ac:dyDescent="0.35">
      <c r="A54" s="62" t="s">
        <v>707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25.5" customHeight="1" x14ac:dyDescent="0.35">
      <c r="A55" s="19" t="s">
        <v>202</v>
      </c>
      <c r="B55" s="20" t="s">
        <v>231</v>
      </c>
      <c r="C55" s="20" t="s">
        <v>50</v>
      </c>
    </row>
    <row r="56" spans="1:14" ht="15" customHeight="1" x14ac:dyDescent="0.35">
      <c r="A56" s="63" t="s">
        <v>708</v>
      </c>
      <c r="B56" s="73">
        <f>M15-SUMIF($N$170:$N$194,"EXT",M$170:M$194)</f>
        <v>0</v>
      </c>
      <c r="C56" s="72" t="str">
        <f>IF(ISERROR(B56),"GAGAL",IF(ABS(B56)&lt;=1,"LULUS","GAGAL"))</f>
        <v>LULUS</v>
      </c>
    </row>
    <row r="57" spans="1:14" ht="15" customHeight="1" x14ac:dyDescent="0.35">
      <c r="A57" s="63" t="s">
        <v>588</v>
      </c>
      <c r="B57" s="73">
        <f>COUNTA($A$143:$A$167)-COUNTIF($N$143:$N$167,"FCC")-COUNTIF($N$143:$N$167,"KW2")-COUNTIF($N$143:$N$167,"KW2UBI")-COUNTIF($N$143:$N$167,"EXT")</f>
        <v>0</v>
      </c>
      <c r="C57" s="72" t="str">
        <f>IF(ISERROR(B57),"GAGAL",IF(ABS(B57)&lt;=0.5,"LULUS","GAGAL"))</f>
        <v>LULUS</v>
      </c>
    </row>
    <row r="58" spans="1:14" ht="15" customHeight="1" x14ac:dyDescent="0.35">
      <c r="A58" s="63" t="s">
        <v>709</v>
      </c>
      <c r="B58" s="73">
        <f>M12-M125</f>
        <v>0</v>
      </c>
      <c r="C58" s="72" t="str">
        <f>IF(ISERROR(B58),"GAGAL",IF(ABS(B58)&lt;=0.01,"LULUS","GAGAL"))</f>
        <v>LULUS</v>
      </c>
    </row>
    <row r="59" spans="1:14" ht="15" customHeight="1" x14ac:dyDescent="0.35">
      <c r="A59" s="63" t="s">
        <v>710</v>
      </c>
      <c r="B59" s="73">
        <f>M28+M30-M33-M35-M37</f>
        <v>1.3387762010097504E-9</v>
      </c>
      <c r="C59" s="72" t="str">
        <f>IF(ISERROR(B59),"GAGAL",IF(ABS(B59)&lt;=1,"LULUS","GAGAL"))</f>
        <v>LULUS</v>
      </c>
    </row>
    <row r="60" spans="1:14" ht="15" customHeight="1" x14ac:dyDescent="0.35">
      <c r="A60" s="63" t="s">
        <v>241</v>
      </c>
      <c r="B60" s="73">
        <f>SUMPRODUCT(--ISERROR(A5:N52))</f>
        <v>0</v>
      </c>
      <c r="C60" s="72" t="str">
        <f>IF(ISERROR(B60),"GAGAL",IF(ABS(B60)&lt;=0.5,"LULUS","GAGAL"))</f>
        <v>LULUS</v>
      </c>
    </row>
    <row r="120" spans="1:14" ht="15" customHeight="1" x14ac:dyDescent="0.35">
      <c r="A120" s="62" t="s">
        <v>711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25.5" customHeight="1" x14ac:dyDescent="0.35">
      <c r="A121" s="19" t="s">
        <v>4</v>
      </c>
      <c r="B121" s="20" t="s">
        <v>659</v>
      </c>
      <c r="C121" s="20" t="s">
        <v>660</v>
      </c>
      <c r="D121" s="20" t="s">
        <v>661</v>
      </c>
      <c r="E121" s="20" t="s">
        <v>662</v>
      </c>
      <c r="F121" s="20" t="s">
        <v>663</v>
      </c>
      <c r="G121" s="20" t="s">
        <v>664</v>
      </c>
      <c r="H121" s="20" t="s">
        <v>665</v>
      </c>
      <c r="I121" s="20" t="s">
        <v>666</v>
      </c>
      <c r="J121" s="20" t="s">
        <v>667</v>
      </c>
      <c r="K121" s="20" t="s">
        <v>668</v>
      </c>
      <c r="L121" s="20" t="s">
        <v>669</v>
      </c>
      <c r="M121" s="20" t="s">
        <v>9</v>
      </c>
      <c r="N121" s="20" t="s">
        <v>74</v>
      </c>
    </row>
    <row r="122" spans="1:14" ht="15" customHeight="1" x14ac:dyDescent="0.35">
      <c r="A122" s="63" t="s">
        <v>670</v>
      </c>
      <c r="B122" s="82">
        <v>434</v>
      </c>
      <c r="C122" s="82">
        <v>808</v>
      </c>
      <c r="D122" s="82">
        <v>209</v>
      </c>
      <c r="E122" s="82">
        <v>70</v>
      </c>
      <c r="F122" s="82">
        <v>150</v>
      </c>
      <c r="G122" s="82">
        <v>452.5</v>
      </c>
      <c r="H122" s="82">
        <v>7.5</v>
      </c>
      <c r="I122" s="82">
        <v>7.5</v>
      </c>
      <c r="J122" s="82">
        <v>10</v>
      </c>
      <c r="K122" s="82">
        <v>415</v>
      </c>
      <c r="L122" s="82">
        <v>404</v>
      </c>
      <c r="M122" s="76">
        <f>SUM(B122:L122)</f>
        <v>2967.5</v>
      </c>
      <c r="N122" s="67" t="s">
        <v>712</v>
      </c>
    </row>
    <row r="123" spans="1:14" ht="15" customHeight="1" x14ac:dyDescent="0.35">
      <c r="A123" s="63" t="s">
        <v>713</v>
      </c>
      <c r="B123" s="82">
        <v>1</v>
      </c>
      <c r="C123" s="82">
        <v>1</v>
      </c>
      <c r="D123" s="82">
        <v>1</v>
      </c>
      <c r="E123" s="82">
        <v>1</v>
      </c>
      <c r="F123" s="82">
        <v>2.5</v>
      </c>
      <c r="G123" s="82">
        <v>2.5</v>
      </c>
      <c r="H123" s="82">
        <v>2.5</v>
      </c>
      <c r="I123" s="82">
        <v>2.5</v>
      </c>
      <c r="J123" s="82">
        <v>1</v>
      </c>
      <c r="K123" s="82">
        <v>1</v>
      </c>
      <c r="L123" s="82">
        <v>1</v>
      </c>
      <c r="N123" s="67" t="s">
        <v>714</v>
      </c>
    </row>
    <row r="124" spans="1:14" ht="15" customHeight="1" x14ac:dyDescent="0.35">
      <c r="A124" s="63" t="s">
        <v>715</v>
      </c>
      <c r="B124" s="82">
        <v>14.763</v>
      </c>
      <c r="C124" s="82">
        <v>27.485099999999999</v>
      </c>
      <c r="D124" s="82">
        <v>7.1093999999999999</v>
      </c>
      <c r="E124" s="82">
        <v>2.3811</v>
      </c>
      <c r="F124" s="82">
        <v>2.0409999999999999</v>
      </c>
      <c r="G124" s="82">
        <v>6.1569000000000003</v>
      </c>
      <c r="H124" s="82">
        <v>0.10199999999999999</v>
      </c>
      <c r="I124" s="82">
        <v>0.10199999999999999</v>
      </c>
      <c r="J124" s="82">
        <v>1.3399000000000001</v>
      </c>
      <c r="K124" s="82">
        <v>14.1167</v>
      </c>
      <c r="L124" s="82">
        <v>13.742599999999999</v>
      </c>
      <c r="M124" s="76">
        <f t="shared" ref="M124:M138" si="36">SUM(B124:L124)</f>
        <v>89.339699999999993</v>
      </c>
      <c r="N124" s="67" t="s">
        <v>716</v>
      </c>
    </row>
    <row r="125" spans="1:14" ht="15" customHeight="1" x14ac:dyDescent="0.35">
      <c r="A125" s="63" t="s">
        <v>717</v>
      </c>
      <c r="B125" s="82">
        <v>14.763</v>
      </c>
      <c r="C125" s="82">
        <v>27.485099999999999</v>
      </c>
      <c r="D125" s="82">
        <v>7.1093999999999999</v>
      </c>
      <c r="E125" s="82">
        <v>2.3811</v>
      </c>
      <c r="F125" s="82">
        <v>2.0409999999999999</v>
      </c>
      <c r="G125" s="82">
        <v>6.1569000000000003</v>
      </c>
      <c r="H125" s="82">
        <v>0.10199999999999999</v>
      </c>
      <c r="I125" s="82">
        <v>0.10199999999999999</v>
      </c>
      <c r="J125" s="82">
        <v>1.3399000000000001</v>
      </c>
      <c r="K125" s="82">
        <v>14.1167</v>
      </c>
      <c r="L125" s="82">
        <v>13.742599999999999</v>
      </c>
      <c r="M125" s="76">
        <f t="shared" si="36"/>
        <v>89.339699999999993</v>
      </c>
      <c r="N125" s="67" t="s">
        <v>718</v>
      </c>
    </row>
    <row r="126" spans="1:14" ht="15" customHeight="1" x14ac:dyDescent="0.35">
      <c r="A126" s="63" t="s">
        <v>719</v>
      </c>
      <c r="B126" s="82">
        <v>0</v>
      </c>
      <c r="C126" s="82">
        <v>0</v>
      </c>
      <c r="D126" s="82">
        <v>0</v>
      </c>
      <c r="E126" s="82">
        <v>0</v>
      </c>
      <c r="F126" s="82">
        <v>0</v>
      </c>
      <c r="G126" s="82">
        <v>0</v>
      </c>
      <c r="H126" s="82">
        <v>0</v>
      </c>
      <c r="I126" s="82">
        <v>0</v>
      </c>
      <c r="J126" s="82">
        <v>0</v>
      </c>
      <c r="K126" s="82">
        <v>0</v>
      </c>
      <c r="L126" s="82">
        <v>0</v>
      </c>
      <c r="M126" s="76">
        <f t="shared" si="36"/>
        <v>0</v>
      </c>
      <c r="N126" s="67" t="s">
        <v>608</v>
      </c>
    </row>
    <row r="127" spans="1:14" ht="15" customHeight="1" x14ac:dyDescent="0.35">
      <c r="A127" s="63" t="s">
        <v>720</v>
      </c>
      <c r="B127" s="33">
        <v>0</v>
      </c>
      <c r="C127" s="33">
        <v>0</v>
      </c>
      <c r="D127" s="33">
        <v>0</v>
      </c>
      <c r="E127" s="33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79">
        <f t="shared" si="36"/>
        <v>0</v>
      </c>
      <c r="N127" s="67" t="s">
        <v>721</v>
      </c>
    </row>
    <row r="128" spans="1:14" ht="15" customHeight="1" x14ac:dyDescent="0.35">
      <c r="A128" s="63" t="s">
        <v>722</v>
      </c>
      <c r="B128" s="33">
        <v>0</v>
      </c>
      <c r="C128" s="33">
        <v>0.05</v>
      </c>
      <c r="D128" s="33">
        <v>0.01</v>
      </c>
      <c r="E128" s="33">
        <v>0.03</v>
      </c>
      <c r="F128" s="33">
        <v>0.01</v>
      </c>
      <c r="G128" s="33">
        <v>-0.01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79">
        <f t="shared" si="36"/>
        <v>0.09</v>
      </c>
      <c r="N128" s="67" t="s">
        <v>608</v>
      </c>
    </row>
    <row r="129" spans="1:14" ht="15" customHeight="1" x14ac:dyDescent="0.35">
      <c r="A129" s="63" t="s">
        <v>723</v>
      </c>
      <c r="B129" s="82">
        <v>434</v>
      </c>
      <c r="C129" s="82">
        <v>808</v>
      </c>
      <c r="D129" s="82">
        <v>209</v>
      </c>
      <c r="E129" s="82">
        <v>70</v>
      </c>
      <c r="F129" s="82">
        <v>59</v>
      </c>
      <c r="G129" s="82">
        <v>179</v>
      </c>
      <c r="H129" s="82">
        <v>3</v>
      </c>
      <c r="I129" s="82">
        <v>3</v>
      </c>
      <c r="J129" s="82">
        <v>0</v>
      </c>
      <c r="K129" s="82">
        <v>415</v>
      </c>
      <c r="L129" s="82">
        <v>404</v>
      </c>
      <c r="M129" s="76">
        <f t="shared" si="36"/>
        <v>2584</v>
      </c>
      <c r="N129" s="67" t="s">
        <v>608</v>
      </c>
    </row>
    <row r="130" spans="1:14" ht="15" customHeight="1" x14ac:dyDescent="0.35">
      <c r="A130" s="63" t="s">
        <v>724</v>
      </c>
      <c r="B130" s="33">
        <v>1129237.49</v>
      </c>
      <c r="C130" s="33">
        <v>2163993.27</v>
      </c>
      <c r="D130" s="33">
        <v>552711.22</v>
      </c>
      <c r="E130" s="33">
        <v>66714.17</v>
      </c>
      <c r="F130" s="33">
        <v>408859.57</v>
      </c>
      <c r="G130" s="33">
        <v>1414524.82</v>
      </c>
      <c r="H130" s="33">
        <v>19728.810000000001</v>
      </c>
      <c r="I130" s="33">
        <v>2043.5</v>
      </c>
      <c r="J130" s="33">
        <v>0</v>
      </c>
      <c r="K130" s="33">
        <v>1159199.6200000001</v>
      </c>
      <c r="L130" s="33">
        <v>1042657.22</v>
      </c>
      <c r="M130" s="79">
        <f t="shared" si="36"/>
        <v>7959669.6899999995</v>
      </c>
      <c r="N130" s="67" t="s">
        <v>608</v>
      </c>
    </row>
    <row r="131" spans="1:14" ht="15" customHeight="1" x14ac:dyDescent="0.35">
      <c r="A131" s="63" t="s">
        <v>725</v>
      </c>
      <c r="B131" s="82">
        <v>434</v>
      </c>
      <c r="C131" s="82">
        <v>808</v>
      </c>
      <c r="D131" s="82">
        <v>209</v>
      </c>
      <c r="E131" s="82">
        <v>70</v>
      </c>
      <c r="F131" s="82">
        <v>59</v>
      </c>
      <c r="G131" s="82">
        <v>179</v>
      </c>
      <c r="H131" s="82">
        <v>3</v>
      </c>
      <c r="I131" s="82">
        <v>3</v>
      </c>
      <c r="J131" s="82">
        <v>0</v>
      </c>
      <c r="K131" s="82">
        <v>415</v>
      </c>
      <c r="L131" s="82">
        <v>404</v>
      </c>
      <c r="M131" s="76">
        <f t="shared" si="36"/>
        <v>2584</v>
      </c>
      <c r="N131" s="67" t="s">
        <v>613</v>
      </c>
    </row>
    <row r="132" spans="1:14" ht="15" customHeight="1" x14ac:dyDescent="0.35">
      <c r="A132" s="63" t="s">
        <v>726</v>
      </c>
      <c r="B132" s="33">
        <v>1129237.49</v>
      </c>
      <c r="C132" s="33">
        <v>2163993.2799999998</v>
      </c>
      <c r="D132" s="33">
        <v>552711.22</v>
      </c>
      <c r="E132" s="33">
        <v>66714.179999999993</v>
      </c>
      <c r="F132" s="33">
        <v>408859.57</v>
      </c>
      <c r="G132" s="33">
        <v>1414524.82</v>
      </c>
      <c r="H132" s="33">
        <v>19728.810000000001</v>
      </c>
      <c r="I132" s="33">
        <v>2043.5</v>
      </c>
      <c r="J132" s="33">
        <v>0</v>
      </c>
      <c r="K132" s="33">
        <v>1159199.6200000001</v>
      </c>
      <c r="L132" s="33">
        <v>1042657.22</v>
      </c>
      <c r="M132" s="79">
        <f t="shared" si="36"/>
        <v>7959669.709999999</v>
      </c>
      <c r="N132" s="67" t="s">
        <v>613</v>
      </c>
    </row>
    <row r="133" spans="1:14" ht="15" customHeight="1" x14ac:dyDescent="0.35">
      <c r="A133" s="63" t="s">
        <v>727</v>
      </c>
      <c r="B133" s="82">
        <v>0</v>
      </c>
      <c r="C133" s="82">
        <v>0</v>
      </c>
      <c r="D133" s="82">
        <v>0</v>
      </c>
      <c r="E133" s="82">
        <v>0</v>
      </c>
      <c r="F133" s="82">
        <v>0</v>
      </c>
      <c r="G133" s="82">
        <v>0</v>
      </c>
      <c r="H133" s="82">
        <v>0</v>
      </c>
      <c r="I133" s="82">
        <v>0</v>
      </c>
      <c r="J133" s="82">
        <v>0</v>
      </c>
      <c r="K133" s="82">
        <v>0</v>
      </c>
      <c r="L133" s="82">
        <v>0</v>
      </c>
      <c r="M133" s="76">
        <f t="shared" si="36"/>
        <v>0</v>
      </c>
      <c r="N133" s="67" t="s">
        <v>608</v>
      </c>
    </row>
    <row r="134" spans="1:14" ht="15" customHeight="1" x14ac:dyDescent="0.35">
      <c r="A134" s="63" t="s">
        <v>728</v>
      </c>
      <c r="B134" s="33">
        <v>0</v>
      </c>
      <c r="C134" s="33">
        <v>0.05</v>
      </c>
      <c r="D134" s="33">
        <v>0.01</v>
      </c>
      <c r="E134" s="33">
        <v>0.03</v>
      </c>
      <c r="F134" s="33">
        <v>0.01</v>
      </c>
      <c r="G134" s="33">
        <v>-0.01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79">
        <f t="shared" si="36"/>
        <v>0.09</v>
      </c>
      <c r="N134" s="67" t="s">
        <v>608</v>
      </c>
    </row>
    <row r="135" spans="1:14" ht="15" customHeight="1" x14ac:dyDescent="0.35">
      <c r="A135" s="63" t="s">
        <v>729</v>
      </c>
      <c r="B135" s="82">
        <v>434</v>
      </c>
      <c r="C135" s="82">
        <v>808</v>
      </c>
      <c r="D135" s="82">
        <v>209</v>
      </c>
      <c r="E135" s="82">
        <v>70</v>
      </c>
      <c r="F135" s="82">
        <v>59</v>
      </c>
      <c r="G135" s="82">
        <v>179</v>
      </c>
      <c r="H135" s="82">
        <v>3</v>
      </c>
      <c r="I135" s="82">
        <v>3</v>
      </c>
      <c r="J135" s="82">
        <v>0</v>
      </c>
      <c r="K135" s="82">
        <v>415</v>
      </c>
      <c r="L135" s="82">
        <v>404</v>
      </c>
      <c r="M135" s="76">
        <f t="shared" si="36"/>
        <v>2584</v>
      </c>
      <c r="N135" s="67" t="s">
        <v>730</v>
      </c>
    </row>
    <row r="136" spans="1:14" ht="15" customHeight="1" x14ac:dyDescent="0.35">
      <c r="A136" s="63" t="s">
        <v>53</v>
      </c>
      <c r="B136" s="33">
        <v>3518915.4</v>
      </c>
      <c r="C136" s="33">
        <v>6551344.7999999998</v>
      </c>
      <c r="D136" s="33">
        <v>1694592.9</v>
      </c>
      <c r="E136" s="33">
        <v>567567</v>
      </c>
      <c r="F136" s="33">
        <v>1594594.18</v>
      </c>
      <c r="G136" s="33">
        <v>4837836.58</v>
      </c>
      <c r="H136" s="33">
        <v>81081.06</v>
      </c>
      <c r="I136" s="33">
        <v>81081.06</v>
      </c>
      <c r="J136" s="33">
        <v>0</v>
      </c>
      <c r="K136" s="33">
        <v>4860359.6500000004</v>
      </c>
      <c r="L136" s="33">
        <v>4731530.84</v>
      </c>
      <c r="M136" s="79">
        <f t="shared" si="36"/>
        <v>28518903.469999995</v>
      </c>
      <c r="N136" s="67" t="s">
        <v>730</v>
      </c>
    </row>
    <row r="137" spans="1:14" ht="15" customHeight="1" x14ac:dyDescent="0.35">
      <c r="A137" s="63" t="s">
        <v>702</v>
      </c>
      <c r="B137" s="33">
        <v>842769.40159999998</v>
      </c>
      <c r="C137" s="33">
        <v>1634122.6035</v>
      </c>
      <c r="D137" s="33">
        <v>416489.30660000001</v>
      </c>
      <c r="E137" s="33">
        <v>20360.125599999999</v>
      </c>
      <c r="F137" s="33">
        <v>379194.35849999997</v>
      </c>
      <c r="G137" s="33">
        <v>1319934.5551</v>
      </c>
      <c r="H137" s="33">
        <v>17899.0589</v>
      </c>
      <c r="I137" s="33">
        <v>213.75</v>
      </c>
      <c r="J137" s="33">
        <v>215170.4809</v>
      </c>
      <c r="K137" s="33">
        <v>906084.0037</v>
      </c>
      <c r="L137" s="33">
        <v>796250.68550000002</v>
      </c>
      <c r="M137" s="79">
        <f t="shared" si="36"/>
        <v>6548488.3298999993</v>
      </c>
      <c r="N137" s="67" t="s">
        <v>731</v>
      </c>
    </row>
    <row r="138" spans="1:14" ht="15" customHeight="1" x14ac:dyDescent="0.35">
      <c r="A138" s="63" t="s">
        <v>704</v>
      </c>
      <c r="B138" s="33">
        <v>264704.0649</v>
      </c>
      <c r="C138" s="33">
        <v>492813.09779999999</v>
      </c>
      <c r="D138" s="33">
        <v>127472.6949</v>
      </c>
      <c r="E138" s="33">
        <v>42694.203999999998</v>
      </c>
      <c r="F138" s="33">
        <v>36595.031999999999</v>
      </c>
      <c r="G138" s="33">
        <v>110395.01330000001</v>
      </c>
      <c r="H138" s="33">
        <v>1829.7516000000001</v>
      </c>
      <c r="I138" s="33">
        <v>1829.7516000000001</v>
      </c>
      <c r="J138" s="33">
        <v>24025.212</v>
      </c>
      <c r="K138" s="33">
        <v>253115.63810000001</v>
      </c>
      <c r="L138" s="33">
        <v>246406.54889999999</v>
      </c>
      <c r="M138" s="79">
        <f t="shared" si="36"/>
        <v>1601881.0091000004</v>
      </c>
      <c r="N138" s="67" t="s">
        <v>732</v>
      </c>
    </row>
    <row r="139" spans="1:14" ht="15" customHeight="1" x14ac:dyDescent="0.35">
      <c r="A139" s="75" t="s">
        <v>733</v>
      </c>
    </row>
    <row r="141" spans="1:14" ht="15" customHeight="1" x14ac:dyDescent="0.35">
      <c r="A141" s="62" t="s">
        <v>734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25.5" customHeight="1" x14ac:dyDescent="0.35">
      <c r="A142" s="19" t="s">
        <v>735</v>
      </c>
      <c r="B142" s="20" t="s">
        <v>659</v>
      </c>
      <c r="C142" s="20" t="s">
        <v>660</v>
      </c>
      <c r="D142" s="20" t="s">
        <v>661</v>
      </c>
      <c r="E142" s="20" t="s">
        <v>662</v>
      </c>
      <c r="F142" s="20" t="s">
        <v>663</v>
      </c>
      <c r="G142" s="20" t="s">
        <v>664</v>
      </c>
      <c r="H142" s="20" t="s">
        <v>665</v>
      </c>
      <c r="I142" s="20" t="s">
        <v>666</v>
      </c>
      <c r="J142" s="20" t="s">
        <v>667</v>
      </c>
      <c r="K142" s="20" t="s">
        <v>668</v>
      </c>
      <c r="L142" s="20" t="s">
        <v>669</v>
      </c>
      <c r="M142" s="20" t="s">
        <v>9</v>
      </c>
      <c r="N142" s="20" t="s">
        <v>629</v>
      </c>
    </row>
    <row r="143" spans="1:14" ht="15" customHeight="1" x14ac:dyDescent="0.35">
      <c r="A143" s="63" t="s">
        <v>736</v>
      </c>
      <c r="B143" s="82">
        <v>406</v>
      </c>
      <c r="C143" s="82">
        <v>756</v>
      </c>
      <c r="D143" s="82">
        <v>195.5</v>
      </c>
      <c r="E143" s="82">
        <v>70</v>
      </c>
      <c r="F143" s="82">
        <v>140</v>
      </c>
      <c r="G143" s="82">
        <v>420</v>
      </c>
      <c r="H143" s="82">
        <v>7</v>
      </c>
      <c r="I143" s="82">
        <v>7.5</v>
      </c>
      <c r="J143" s="82">
        <v>0</v>
      </c>
      <c r="K143" s="82">
        <v>0</v>
      </c>
      <c r="L143" s="82">
        <v>0</v>
      </c>
      <c r="M143" s="76">
        <f t="shared" ref="M143:M167" si="37">SUM(B143:L143)</f>
        <v>2002</v>
      </c>
      <c r="N143" s="63" t="s">
        <v>737</v>
      </c>
    </row>
    <row r="144" spans="1:14" ht="15" customHeight="1" x14ac:dyDescent="0.35">
      <c r="A144" s="63" t="s">
        <v>738</v>
      </c>
      <c r="B144" s="82">
        <v>0</v>
      </c>
      <c r="C144" s="82">
        <v>0</v>
      </c>
      <c r="D144" s="82">
        <v>0</v>
      </c>
      <c r="E144" s="82">
        <v>0</v>
      </c>
      <c r="F144" s="82">
        <v>0</v>
      </c>
      <c r="G144" s="82">
        <v>0</v>
      </c>
      <c r="H144" s="82">
        <v>0</v>
      </c>
      <c r="I144" s="82">
        <v>0</v>
      </c>
      <c r="J144" s="82">
        <v>0</v>
      </c>
      <c r="K144" s="82">
        <v>291.2</v>
      </c>
      <c r="L144" s="82">
        <v>280.8</v>
      </c>
      <c r="M144" s="76">
        <f t="shared" si="37"/>
        <v>572</v>
      </c>
      <c r="N144" s="63" t="s">
        <v>739</v>
      </c>
    </row>
    <row r="145" spans="1:14" ht="15" customHeight="1" x14ac:dyDescent="0.35">
      <c r="A145" s="63" t="s">
        <v>740</v>
      </c>
      <c r="B145" s="82">
        <v>0</v>
      </c>
      <c r="C145" s="82">
        <v>0</v>
      </c>
      <c r="D145" s="82">
        <v>0</v>
      </c>
      <c r="E145" s="82">
        <v>0</v>
      </c>
      <c r="F145" s="82">
        <v>0</v>
      </c>
      <c r="G145" s="82">
        <v>0</v>
      </c>
      <c r="H145" s="82">
        <v>0</v>
      </c>
      <c r="I145" s="82">
        <v>0</v>
      </c>
      <c r="J145" s="82">
        <v>10</v>
      </c>
      <c r="K145" s="82">
        <v>0</v>
      </c>
      <c r="L145" s="82">
        <v>0</v>
      </c>
      <c r="M145" s="76">
        <f t="shared" si="37"/>
        <v>10</v>
      </c>
      <c r="N145" s="63" t="s">
        <v>5</v>
      </c>
    </row>
    <row r="146" spans="1:14" ht="15" customHeight="1" x14ac:dyDescent="0.35">
      <c r="A146" s="63" t="s">
        <v>741</v>
      </c>
      <c r="B146" s="82">
        <v>0</v>
      </c>
      <c r="C146" s="82">
        <v>0</v>
      </c>
      <c r="D146" s="82">
        <v>0</v>
      </c>
      <c r="E146" s="82">
        <v>0</v>
      </c>
      <c r="F146" s="82">
        <v>0</v>
      </c>
      <c r="G146" s="82">
        <v>0</v>
      </c>
      <c r="H146" s="82">
        <v>0</v>
      </c>
      <c r="I146" s="82">
        <v>0</v>
      </c>
      <c r="J146" s="82">
        <v>0</v>
      </c>
      <c r="K146" s="82">
        <v>100.8</v>
      </c>
      <c r="L146" s="82">
        <v>97.2</v>
      </c>
      <c r="M146" s="76">
        <f t="shared" si="37"/>
        <v>198</v>
      </c>
      <c r="N146" s="63" t="s">
        <v>739</v>
      </c>
    </row>
    <row r="147" spans="1:14" ht="15" customHeight="1" x14ac:dyDescent="0.35">
      <c r="A147" s="63" t="s">
        <v>742</v>
      </c>
      <c r="B147" s="82">
        <v>0</v>
      </c>
      <c r="C147" s="82">
        <v>0</v>
      </c>
      <c r="D147" s="82">
        <v>0</v>
      </c>
      <c r="E147" s="82">
        <v>0</v>
      </c>
      <c r="F147" s="82">
        <v>0</v>
      </c>
      <c r="G147" s="82">
        <v>0</v>
      </c>
      <c r="H147" s="82">
        <v>0</v>
      </c>
      <c r="I147" s="82">
        <v>0</v>
      </c>
      <c r="J147" s="82">
        <v>0</v>
      </c>
      <c r="K147" s="82">
        <v>0</v>
      </c>
      <c r="L147" s="82">
        <v>0</v>
      </c>
      <c r="M147" s="76">
        <f t="shared" si="37"/>
        <v>0</v>
      </c>
      <c r="N147" s="63" t="s">
        <v>739</v>
      </c>
    </row>
    <row r="148" spans="1:14" ht="15" customHeight="1" x14ac:dyDescent="0.35">
      <c r="A148" s="63" t="s">
        <v>743</v>
      </c>
      <c r="B148" s="82">
        <v>0</v>
      </c>
      <c r="C148" s="82">
        <v>0</v>
      </c>
      <c r="D148" s="82">
        <v>0</v>
      </c>
      <c r="E148" s="82">
        <v>0</v>
      </c>
      <c r="F148" s="82">
        <v>0</v>
      </c>
      <c r="G148" s="82">
        <v>0</v>
      </c>
      <c r="H148" s="82">
        <v>0</v>
      </c>
      <c r="I148" s="82">
        <v>0</v>
      </c>
      <c r="J148" s="82">
        <v>0</v>
      </c>
      <c r="K148" s="82">
        <v>0</v>
      </c>
      <c r="L148" s="82">
        <v>0</v>
      </c>
      <c r="M148" s="76">
        <f t="shared" si="37"/>
        <v>0</v>
      </c>
      <c r="N148" s="63" t="s">
        <v>739</v>
      </c>
    </row>
    <row r="149" spans="1:14" ht="15" customHeight="1" x14ac:dyDescent="0.35">
      <c r="A149" s="63" t="s">
        <v>744</v>
      </c>
      <c r="B149" s="82">
        <v>0</v>
      </c>
      <c r="C149" s="82">
        <v>0</v>
      </c>
      <c r="D149" s="82">
        <v>0</v>
      </c>
      <c r="E149" s="82">
        <v>0</v>
      </c>
      <c r="F149" s="82">
        <v>0</v>
      </c>
      <c r="G149" s="82">
        <v>0</v>
      </c>
      <c r="H149" s="82">
        <v>0</v>
      </c>
      <c r="I149" s="82">
        <v>0</v>
      </c>
      <c r="J149" s="82">
        <v>0</v>
      </c>
      <c r="K149" s="82">
        <v>0</v>
      </c>
      <c r="L149" s="82">
        <v>0</v>
      </c>
      <c r="M149" s="76">
        <f t="shared" si="37"/>
        <v>0</v>
      </c>
      <c r="N149" s="63" t="s">
        <v>739</v>
      </c>
    </row>
    <row r="150" spans="1:14" ht="15" customHeight="1" x14ac:dyDescent="0.35">
      <c r="A150" s="63" t="s">
        <v>745</v>
      </c>
      <c r="B150" s="82">
        <v>0</v>
      </c>
      <c r="C150" s="82">
        <v>0</v>
      </c>
      <c r="D150" s="82">
        <v>0</v>
      </c>
      <c r="E150" s="82">
        <v>0</v>
      </c>
      <c r="F150" s="82">
        <v>0</v>
      </c>
      <c r="G150" s="82">
        <v>0</v>
      </c>
      <c r="H150" s="82">
        <v>0</v>
      </c>
      <c r="I150" s="82">
        <v>0</v>
      </c>
      <c r="J150" s="82">
        <v>0</v>
      </c>
      <c r="K150" s="82">
        <v>0</v>
      </c>
      <c r="L150" s="82">
        <v>0</v>
      </c>
      <c r="M150" s="76">
        <f t="shared" si="37"/>
        <v>0</v>
      </c>
      <c r="N150" s="63" t="s">
        <v>5</v>
      </c>
    </row>
    <row r="151" spans="1:14" ht="15" customHeight="1" x14ac:dyDescent="0.35">
      <c r="A151" s="63" t="s">
        <v>746</v>
      </c>
      <c r="B151" s="82">
        <v>28.42</v>
      </c>
      <c r="C151" s="82">
        <v>0</v>
      </c>
      <c r="D151" s="82">
        <v>0</v>
      </c>
      <c r="E151" s="82">
        <v>0</v>
      </c>
      <c r="F151" s="82">
        <v>11.2</v>
      </c>
      <c r="G151" s="82">
        <v>0</v>
      </c>
      <c r="H151" s="82">
        <v>0</v>
      </c>
      <c r="I151" s="82">
        <v>0</v>
      </c>
      <c r="J151" s="82">
        <v>0</v>
      </c>
      <c r="K151" s="82">
        <v>0</v>
      </c>
      <c r="L151" s="82">
        <v>26.46</v>
      </c>
      <c r="M151" s="76">
        <f t="shared" si="37"/>
        <v>66.080000000000013</v>
      </c>
      <c r="N151" s="63" t="s">
        <v>635</v>
      </c>
    </row>
    <row r="152" spans="1:14" ht="15" customHeight="1" x14ac:dyDescent="0.35">
      <c r="A152" s="63" t="s">
        <v>747</v>
      </c>
      <c r="B152" s="82">
        <v>0</v>
      </c>
      <c r="C152" s="82">
        <v>0</v>
      </c>
      <c r="D152" s="82">
        <v>0</v>
      </c>
      <c r="E152" s="82">
        <v>0</v>
      </c>
      <c r="F152" s="82">
        <v>0</v>
      </c>
      <c r="G152" s="82">
        <v>0</v>
      </c>
      <c r="H152" s="82">
        <v>0</v>
      </c>
      <c r="I152" s="82">
        <v>0</v>
      </c>
      <c r="J152" s="82">
        <v>0</v>
      </c>
      <c r="K152" s="82">
        <v>0</v>
      </c>
      <c r="L152" s="82">
        <v>0</v>
      </c>
      <c r="M152" s="76">
        <f t="shared" si="37"/>
        <v>0</v>
      </c>
      <c r="N152" s="63" t="s">
        <v>635</v>
      </c>
    </row>
    <row r="153" spans="1:14" ht="15" customHeight="1" x14ac:dyDescent="0.35">
      <c r="A153" s="63" t="s">
        <v>748</v>
      </c>
      <c r="B153" s="82">
        <v>0</v>
      </c>
      <c r="C153" s="82">
        <v>0</v>
      </c>
      <c r="D153" s="82">
        <v>0</v>
      </c>
      <c r="E153" s="82">
        <v>0</v>
      </c>
      <c r="F153" s="82">
        <v>0</v>
      </c>
      <c r="G153" s="82">
        <v>0</v>
      </c>
      <c r="H153" s="82">
        <v>0</v>
      </c>
      <c r="I153" s="82">
        <v>0</v>
      </c>
      <c r="J153" s="82">
        <v>0</v>
      </c>
      <c r="K153" s="82">
        <v>0</v>
      </c>
      <c r="L153" s="82">
        <v>0</v>
      </c>
      <c r="M153" s="76">
        <f t="shared" si="37"/>
        <v>0</v>
      </c>
      <c r="N153" s="63" t="s">
        <v>635</v>
      </c>
    </row>
    <row r="154" spans="1:14" ht="15" customHeight="1" x14ac:dyDescent="0.35">
      <c r="A154" s="63" t="s">
        <v>749</v>
      </c>
      <c r="B154" s="82">
        <v>0</v>
      </c>
      <c r="C154" s="82">
        <v>44.58</v>
      </c>
      <c r="D154" s="82">
        <v>0</v>
      </c>
      <c r="E154" s="82">
        <v>0</v>
      </c>
      <c r="F154" s="82">
        <v>0</v>
      </c>
      <c r="G154" s="82">
        <v>33.6</v>
      </c>
      <c r="H154" s="82">
        <v>0</v>
      </c>
      <c r="I154" s="82">
        <v>0</v>
      </c>
      <c r="J154" s="82">
        <v>0</v>
      </c>
      <c r="K154" s="82">
        <v>23.52</v>
      </c>
      <c r="L154" s="82">
        <v>0</v>
      </c>
      <c r="M154" s="76">
        <f t="shared" si="37"/>
        <v>101.7</v>
      </c>
      <c r="N154" s="63" t="s">
        <v>635</v>
      </c>
    </row>
    <row r="155" spans="1:14" ht="15" customHeight="1" x14ac:dyDescent="0.35">
      <c r="A155" s="63" t="s">
        <v>750</v>
      </c>
      <c r="B155" s="82">
        <v>0</v>
      </c>
      <c r="C155" s="82">
        <v>0</v>
      </c>
      <c r="D155" s="82">
        <v>13.72</v>
      </c>
      <c r="E155" s="82">
        <v>0</v>
      </c>
      <c r="F155" s="82">
        <v>0</v>
      </c>
      <c r="G155" s="82">
        <v>0</v>
      </c>
      <c r="H155" s="82">
        <v>0.56000000000000005</v>
      </c>
      <c r="I155" s="82">
        <v>0</v>
      </c>
      <c r="J155" s="82">
        <v>0</v>
      </c>
      <c r="K155" s="82">
        <v>0</v>
      </c>
      <c r="L155" s="82">
        <v>0</v>
      </c>
      <c r="M155" s="76">
        <f t="shared" si="37"/>
        <v>14.280000000000001</v>
      </c>
      <c r="N155" s="63" t="s">
        <v>635</v>
      </c>
    </row>
    <row r="156" spans="1:14" ht="15" customHeight="1" x14ac:dyDescent="0.35">
      <c r="A156" s="63" t="s">
        <v>751</v>
      </c>
      <c r="B156" s="82">
        <v>0</v>
      </c>
      <c r="C156" s="82">
        <v>0</v>
      </c>
      <c r="D156" s="82">
        <v>0</v>
      </c>
      <c r="E156" s="82">
        <v>0.35</v>
      </c>
      <c r="F156" s="82">
        <v>0</v>
      </c>
      <c r="G156" s="82">
        <v>0</v>
      </c>
      <c r="H156" s="82">
        <v>0</v>
      </c>
      <c r="I156" s="82">
        <v>3.7499999999999999E-2</v>
      </c>
      <c r="J156" s="82">
        <v>0.05</v>
      </c>
      <c r="K156" s="82">
        <v>0</v>
      </c>
      <c r="L156" s="82">
        <v>0</v>
      </c>
      <c r="M156" s="76">
        <f t="shared" si="37"/>
        <v>0.43749999999999994</v>
      </c>
      <c r="N156" s="63" t="s">
        <v>635</v>
      </c>
    </row>
    <row r="157" spans="1:14" ht="15" customHeight="1" x14ac:dyDescent="0.35">
      <c r="A157" s="63" t="s">
        <v>752</v>
      </c>
      <c r="B157" s="82">
        <v>0</v>
      </c>
      <c r="C157" s="82">
        <v>0</v>
      </c>
      <c r="D157" s="82">
        <v>0</v>
      </c>
      <c r="E157" s="82">
        <v>0</v>
      </c>
      <c r="F157" s="82">
        <v>0</v>
      </c>
      <c r="G157" s="82">
        <v>0</v>
      </c>
      <c r="H157" s="82">
        <v>0</v>
      </c>
      <c r="I157" s="82">
        <v>0</v>
      </c>
      <c r="J157" s="82">
        <v>0</v>
      </c>
      <c r="K157" s="82">
        <v>0</v>
      </c>
      <c r="L157" s="82">
        <v>0</v>
      </c>
      <c r="M157" s="76">
        <f t="shared" si="37"/>
        <v>0</v>
      </c>
      <c r="N157" s="63" t="s">
        <v>635</v>
      </c>
    </row>
    <row r="158" spans="1:14" ht="15" customHeight="1" x14ac:dyDescent="0.35">
      <c r="A158" s="63" t="s">
        <v>753</v>
      </c>
      <c r="B158" s="82">
        <v>0</v>
      </c>
      <c r="C158" s="82">
        <v>0</v>
      </c>
      <c r="D158" s="82">
        <v>0</v>
      </c>
      <c r="E158" s="82">
        <v>0</v>
      </c>
      <c r="F158" s="82">
        <v>0</v>
      </c>
      <c r="G158" s="82">
        <v>0</v>
      </c>
      <c r="H158" s="82">
        <v>0</v>
      </c>
      <c r="I158" s="82">
        <v>0</v>
      </c>
      <c r="J158" s="82">
        <v>0</v>
      </c>
      <c r="K158" s="82">
        <v>0</v>
      </c>
      <c r="L158" s="82">
        <v>0</v>
      </c>
      <c r="M158" s="76">
        <f t="shared" si="37"/>
        <v>0</v>
      </c>
      <c r="N158" s="63" t="s">
        <v>635</v>
      </c>
    </row>
    <row r="159" spans="1:14" ht="15" customHeight="1" x14ac:dyDescent="0.35">
      <c r="A159" s="63" t="s">
        <v>754</v>
      </c>
      <c r="B159" s="82">
        <v>0</v>
      </c>
      <c r="C159" s="82">
        <v>0</v>
      </c>
      <c r="D159" s="82">
        <v>0</v>
      </c>
      <c r="E159" s="82">
        <v>0</v>
      </c>
      <c r="F159" s="82">
        <v>0</v>
      </c>
      <c r="G159" s="82">
        <v>0</v>
      </c>
      <c r="H159" s="82">
        <v>0</v>
      </c>
      <c r="I159" s="82">
        <v>0</v>
      </c>
      <c r="J159" s="82">
        <v>0</v>
      </c>
      <c r="K159" s="82">
        <v>0</v>
      </c>
      <c r="L159" s="82">
        <v>0</v>
      </c>
      <c r="M159" s="76">
        <f t="shared" si="37"/>
        <v>0</v>
      </c>
      <c r="N159" s="63" t="s">
        <v>635</v>
      </c>
    </row>
    <row r="160" spans="1:14" ht="15" customHeight="1" x14ac:dyDescent="0.35">
      <c r="A160" s="63" t="s">
        <v>755</v>
      </c>
      <c r="B160" s="82">
        <v>2.2177507499001101</v>
      </c>
      <c r="C160" s="82">
        <v>3.6523000438340598</v>
      </c>
      <c r="D160" s="82">
        <v>1.3142745119005399</v>
      </c>
      <c r="E160" s="82">
        <v>0.46567469436529102</v>
      </c>
      <c r="F160" s="82">
        <v>0</v>
      </c>
      <c r="G160" s="82">
        <v>0</v>
      </c>
      <c r="H160" s="82">
        <v>0</v>
      </c>
      <c r="I160" s="82">
        <v>0</v>
      </c>
      <c r="J160" s="82">
        <v>0</v>
      </c>
      <c r="K160" s="82">
        <v>3.04097859327217</v>
      </c>
      <c r="L160" s="82">
        <v>2.3590214067278299</v>
      </c>
      <c r="M160" s="76">
        <f t="shared" si="37"/>
        <v>13.05</v>
      </c>
      <c r="N160" s="63" t="s">
        <v>635</v>
      </c>
    </row>
    <row r="161" spans="1:14" ht="15" customHeight="1" x14ac:dyDescent="0.35">
      <c r="A161" s="63" t="s">
        <v>756</v>
      </c>
      <c r="B161" s="82">
        <v>0</v>
      </c>
      <c r="C161" s="82">
        <v>0</v>
      </c>
      <c r="D161" s="82">
        <v>0</v>
      </c>
      <c r="E161" s="82">
        <v>0</v>
      </c>
      <c r="F161" s="82">
        <v>2.0282178217821798</v>
      </c>
      <c r="G161" s="82">
        <v>4.89678217821782</v>
      </c>
      <c r="H161" s="82">
        <v>7.4999999999999997E-2</v>
      </c>
      <c r="I161" s="82">
        <v>0</v>
      </c>
      <c r="J161" s="82">
        <v>0</v>
      </c>
      <c r="K161" s="82">
        <v>0</v>
      </c>
      <c r="L161" s="82">
        <v>0</v>
      </c>
      <c r="M161" s="76">
        <f t="shared" si="37"/>
        <v>7</v>
      </c>
      <c r="N161" s="63" t="s">
        <v>635</v>
      </c>
    </row>
    <row r="162" spans="1:14" ht="15" customHeight="1" x14ac:dyDescent="0.35">
      <c r="A162" s="63" t="s">
        <v>757</v>
      </c>
      <c r="B162" s="82">
        <v>0</v>
      </c>
      <c r="C162" s="82">
        <v>0</v>
      </c>
      <c r="D162" s="82">
        <v>0</v>
      </c>
      <c r="E162" s="82">
        <v>0</v>
      </c>
      <c r="F162" s="82">
        <v>0</v>
      </c>
      <c r="G162" s="82">
        <v>0</v>
      </c>
      <c r="H162" s="82">
        <v>0</v>
      </c>
      <c r="I162" s="82">
        <v>0</v>
      </c>
      <c r="J162" s="82">
        <v>0</v>
      </c>
      <c r="K162" s="82">
        <v>0</v>
      </c>
      <c r="L162" s="82">
        <v>0</v>
      </c>
      <c r="M162" s="76">
        <f t="shared" si="37"/>
        <v>0</v>
      </c>
      <c r="N162" s="63" t="s">
        <v>635</v>
      </c>
    </row>
    <row r="163" spans="1:14" ht="15" customHeight="1" x14ac:dyDescent="0.35">
      <c r="A163" s="63" t="s">
        <v>758</v>
      </c>
      <c r="B163" s="82">
        <v>0</v>
      </c>
      <c r="C163" s="82">
        <v>0</v>
      </c>
      <c r="D163" s="82">
        <v>0</v>
      </c>
      <c r="E163" s="82">
        <v>0</v>
      </c>
      <c r="F163" s="82">
        <v>0</v>
      </c>
      <c r="G163" s="82">
        <v>0</v>
      </c>
      <c r="H163" s="82">
        <v>0</v>
      </c>
      <c r="I163" s="82">
        <v>0</v>
      </c>
      <c r="J163" s="82">
        <v>0</v>
      </c>
      <c r="K163" s="82">
        <v>0</v>
      </c>
      <c r="L163" s="82">
        <v>0</v>
      </c>
      <c r="M163" s="76">
        <f t="shared" si="37"/>
        <v>0</v>
      </c>
      <c r="N163" s="63" t="s">
        <v>635</v>
      </c>
    </row>
    <row r="164" spans="1:14" ht="15" customHeight="1" x14ac:dyDescent="0.35">
      <c r="A164" s="63" t="s">
        <v>759</v>
      </c>
      <c r="B164" s="82">
        <v>0</v>
      </c>
      <c r="C164" s="82">
        <v>0</v>
      </c>
      <c r="D164" s="82">
        <v>0</v>
      </c>
      <c r="E164" s="82">
        <v>0</v>
      </c>
      <c r="F164" s="82">
        <v>0</v>
      </c>
      <c r="G164" s="82">
        <v>0</v>
      </c>
      <c r="H164" s="82">
        <v>0</v>
      </c>
      <c r="I164" s="82">
        <v>0</v>
      </c>
      <c r="J164" s="82">
        <v>0</v>
      </c>
      <c r="K164" s="82">
        <v>0</v>
      </c>
      <c r="L164" s="82">
        <v>0</v>
      </c>
      <c r="M164" s="76">
        <f t="shared" si="37"/>
        <v>0</v>
      </c>
      <c r="N164" s="63" t="s">
        <v>635</v>
      </c>
    </row>
    <row r="165" spans="1:14" ht="15" customHeight="1" x14ac:dyDescent="0.35">
      <c r="A165" s="63" t="s">
        <v>760</v>
      </c>
      <c r="B165" s="82">
        <v>0</v>
      </c>
      <c r="C165" s="82">
        <v>0</v>
      </c>
      <c r="D165" s="82">
        <v>0</v>
      </c>
      <c r="E165" s="82">
        <v>0</v>
      </c>
      <c r="F165" s="82">
        <v>0</v>
      </c>
      <c r="G165" s="82">
        <v>0</v>
      </c>
      <c r="H165" s="82">
        <v>0</v>
      </c>
      <c r="I165" s="82">
        <v>0</v>
      </c>
      <c r="J165" s="82">
        <v>0</v>
      </c>
      <c r="K165" s="82">
        <v>0</v>
      </c>
      <c r="L165" s="82">
        <v>0</v>
      </c>
      <c r="M165" s="76">
        <f t="shared" si="37"/>
        <v>0</v>
      </c>
      <c r="N165" s="63" t="s">
        <v>635</v>
      </c>
    </row>
    <row r="166" spans="1:14" ht="15" customHeight="1" x14ac:dyDescent="0.35">
      <c r="A166" s="63" t="s">
        <v>761</v>
      </c>
      <c r="B166" s="82">
        <v>0</v>
      </c>
      <c r="C166" s="82">
        <v>0</v>
      </c>
      <c r="D166" s="82">
        <v>0</v>
      </c>
      <c r="E166" s="82">
        <v>0</v>
      </c>
      <c r="F166" s="82">
        <v>0</v>
      </c>
      <c r="G166" s="82">
        <v>0</v>
      </c>
      <c r="H166" s="82">
        <v>0</v>
      </c>
      <c r="I166" s="82">
        <v>0</v>
      </c>
      <c r="J166" s="82">
        <v>0</v>
      </c>
      <c r="K166" s="82">
        <v>0</v>
      </c>
      <c r="L166" s="82">
        <v>0</v>
      </c>
      <c r="M166" s="76">
        <f t="shared" si="37"/>
        <v>0</v>
      </c>
      <c r="N166" s="63" t="s">
        <v>635</v>
      </c>
    </row>
    <row r="167" spans="1:14" ht="15" customHeight="1" x14ac:dyDescent="0.35">
      <c r="A167" s="63" t="s">
        <v>326</v>
      </c>
      <c r="B167" s="82">
        <v>0</v>
      </c>
      <c r="C167" s="82">
        <v>0</v>
      </c>
      <c r="D167" s="82">
        <v>0</v>
      </c>
      <c r="E167" s="82">
        <v>0</v>
      </c>
      <c r="F167" s="82">
        <v>0</v>
      </c>
      <c r="G167" s="82">
        <v>0</v>
      </c>
      <c r="H167" s="82">
        <v>0</v>
      </c>
      <c r="I167" s="82">
        <v>0</v>
      </c>
      <c r="J167" s="82">
        <v>0</v>
      </c>
      <c r="K167" s="82">
        <v>0</v>
      </c>
      <c r="L167" s="82">
        <v>0</v>
      </c>
      <c r="M167" s="76">
        <f t="shared" si="37"/>
        <v>0</v>
      </c>
      <c r="N167" s="63" t="s">
        <v>635</v>
      </c>
    </row>
    <row r="169" spans="1:14" ht="25.5" customHeight="1" x14ac:dyDescent="0.35">
      <c r="A169" s="19" t="s">
        <v>762</v>
      </c>
      <c r="B169" s="20" t="s">
        <v>659</v>
      </c>
      <c r="C169" s="20" t="s">
        <v>660</v>
      </c>
      <c r="D169" s="20" t="s">
        <v>661</v>
      </c>
      <c r="E169" s="20" t="s">
        <v>662</v>
      </c>
      <c r="F169" s="20" t="s">
        <v>663</v>
      </c>
      <c r="G169" s="20" t="s">
        <v>664</v>
      </c>
      <c r="H169" s="20" t="s">
        <v>665</v>
      </c>
      <c r="I169" s="20" t="s">
        <v>666</v>
      </c>
      <c r="J169" s="20" t="s">
        <v>667</v>
      </c>
      <c r="K169" s="20" t="s">
        <v>668</v>
      </c>
      <c r="L169" s="20" t="s">
        <v>669</v>
      </c>
      <c r="M169" s="20" t="s">
        <v>9</v>
      </c>
      <c r="N169" s="20" t="s">
        <v>629</v>
      </c>
    </row>
    <row r="170" spans="1:14" ht="15" customHeight="1" x14ac:dyDescent="0.35">
      <c r="A170" s="63" t="s">
        <v>736</v>
      </c>
      <c r="B170" s="33">
        <v>0</v>
      </c>
      <c r="C170" s="33">
        <v>0</v>
      </c>
      <c r="D170" s="33">
        <v>0</v>
      </c>
      <c r="E170" s="33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79">
        <f t="shared" ref="M170:M194" si="38">SUM(B170:L170)</f>
        <v>0</v>
      </c>
      <c r="N170" s="63" t="s">
        <v>737</v>
      </c>
    </row>
    <row r="171" spans="1:14" ht="15" customHeight="1" x14ac:dyDescent="0.35">
      <c r="A171" s="63" t="s">
        <v>738</v>
      </c>
      <c r="B171" s="33">
        <v>0</v>
      </c>
      <c r="C171" s="33">
        <v>0</v>
      </c>
      <c r="D171" s="33">
        <v>0</v>
      </c>
      <c r="E171" s="33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79">
        <f t="shared" si="38"/>
        <v>0</v>
      </c>
      <c r="N171" s="63" t="s">
        <v>739</v>
      </c>
    </row>
    <row r="172" spans="1:14" ht="15" customHeight="1" x14ac:dyDescent="0.35">
      <c r="A172" s="63" t="s">
        <v>740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214885.48085640499</v>
      </c>
      <c r="K172" s="33">
        <v>0</v>
      </c>
      <c r="L172" s="33">
        <v>0</v>
      </c>
      <c r="M172" s="79">
        <f t="shared" si="38"/>
        <v>214885.48085640499</v>
      </c>
      <c r="N172" s="63" t="s">
        <v>5</v>
      </c>
    </row>
    <row r="173" spans="1:14" ht="15" customHeight="1" x14ac:dyDescent="0.35">
      <c r="A173" s="63" t="s">
        <v>741</v>
      </c>
      <c r="B173" s="33">
        <v>0</v>
      </c>
      <c r="C173" s="33">
        <v>0</v>
      </c>
      <c r="D173" s="33">
        <v>0</v>
      </c>
      <c r="E173" s="33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79">
        <f t="shared" si="38"/>
        <v>0</v>
      </c>
      <c r="N173" s="63" t="s">
        <v>739</v>
      </c>
    </row>
    <row r="174" spans="1:14" ht="15" customHeight="1" x14ac:dyDescent="0.35">
      <c r="A174" s="63" t="s">
        <v>742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79">
        <f t="shared" si="38"/>
        <v>0</v>
      </c>
      <c r="N174" s="63" t="s">
        <v>739</v>
      </c>
    </row>
    <row r="175" spans="1:14" ht="15" customHeight="1" x14ac:dyDescent="0.35">
      <c r="A175" s="63" t="s">
        <v>743</v>
      </c>
      <c r="B175" s="33">
        <v>0</v>
      </c>
      <c r="C175" s="33">
        <v>0</v>
      </c>
      <c r="D175" s="33">
        <v>0</v>
      </c>
      <c r="E175" s="33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79">
        <f t="shared" si="38"/>
        <v>0</v>
      </c>
      <c r="N175" s="63" t="s">
        <v>739</v>
      </c>
    </row>
    <row r="176" spans="1:14" ht="15" customHeight="1" x14ac:dyDescent="0.35">
      <c r="A176" s="63" t="s">
        <v>744</v>
      </c>
      <c r="B176" s="33">
        <v>0</v>
      </c>
      <c r="C176" s="33">
        <v>0</v>
      </c>
      <c r="D176" s="33">
        <v>0</v>
      </c>
      <c r="E176" s="33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79">
        <f t="shared" si="38"/>
        <v>0</v>
      </c>
      <c r="N176" s="63" t="s">
        <v>739</v>
      </c>
    </row>
    <row r="177" spans="1:14" ht="15" customHeight="1" x14ac:dyDescent="0.35">
      <c r="A177" s="63" t="s">
        <v>745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79">
        <f t="shared" si="38"/>
        <v>0</v>
      </c>
      <c r="N177" s="63" t="s">
        <v>5</v>
      </c>
    </row>
    <row r="178" spans="1:14" ht="15" customHeight="1" x14ac:dyDescent="0.35">
      <c r="A178" s="63" t="s">
        <v>746</v>
      </c>
      <c r="B178" s="33">
        <v>755306.47613020695</v>
      </c>
      <c r="C178" s="33">
        <v>0</v>
      </c>
      <c r="D178" s="33">
        <v>0</v>
      </c>
      <c r="E178" s="33">
        <v>0</v>
      </c>
      <c r="F178" s="33">
        <v>297657.72458333301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703216.37432812399</v>
      </c>
      <c r="M178" s="79">
        <f t="shared" si="38"/>
        <v>1756180.5750416638</v>
      </c>
      <c r="N178" s="63" t="s">
        <v>635</v>
      </c>
    </row>
    <row r="179" spans="1:14" ht="15" customHeight="1" x14ac:dyDescent="0.35">
      <c r="A179" s="63" t="s">
        <v>747</v>
      </c>
      <c r="B179" s="33">
        <v>0</v>
      </c>
      <c r="C179" s="33">
        <v>0</v>
      </c>
      <c r="D179" s="33">
        <v>0</v>
      </c>
      <c r="E179" s="33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79">
        <f t="shared" si="38"/>
        <v>0</v>
      </c>
      <c r="N179" s="63" t="s">
        <v>635</v>
      </c>
    </row>
    <row r="180" spans="1:14" ht="15" customHeight="1" x14ac:dyDescent="0.35">
      <c r="A180" s="63" t="s">
        <v>748</v>
      </c>
      <c r="B180" s="33">
        <v>0</v>
      </c>
      <c r="C180" s="33">
        <v>0</v>
      </c>
      <c r="D180" s="33">
        <v>0</v>
      </c>
      <c r="E180" s="33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79">
        <f t="shared" si="38"/>
        <v>0</v>
      </c>
      <c r="N180" s="63" t="s">
        <v>635</v>
      </c>
    </row>
    <row r="181" spans="1:14" ht="15" customHeight="1" x14ac:dyDescent="0.35">
      <c r="A181" s="63" t="s">
        <v>749</v>
      </c>
      <c r="B181" s="33">
        <v>0</v>
      </c>
      <c r="C181" s="33">
        <v>1490084.3943147601</v>
      </c>
      <c r="D181" s="33">
        <v>0</v>
      </c>
      <c r="E181" s="33">
        <v>0</v>
      </c>
      <c r="F181" s="33">
        <v>0</v>
      </c>
      <c r="G181" s="33">
        <v>1123078.4129424801</v>
      </c>
      <c r="H181" s="33">
        <v>0</v>
      </c>
      <c r="I181" s="33">
        <v>0</v>
      </c>
      <c r="J181" s="33">
        <v>0</v>
      </c>
      <c r="K181" s="33">
        <v>786154.88905973895</v>
      </c>
      <c r="L181" s="33">
        <v>0</v>
      </c>
      <c r="M181" s="79">
        <f t="shared" si="38"/>
        <v>3399317.6963169789</v>
      </c>
      <c r="N181" s="63" t="s">
        <v>635</v>
      </c>
    </row>
    <row r="182" spans="1:14" ht="15" customHeight="1" x14ac:dyDescent="0.35">
      <c r="A182" s="63" t="s">
        <v>750</v>
      </c>
      <c r="B182" s="33">
        <v>0</v>
      </c>
      <c r="C182" s="33">
        <v>0</v>
      </c>
      <c r="D182" s="33">
        <v>364657.38021200598</v>
      </c>
      <c r="E182" s="33">
        <v>0</v>
      </c>
      <c r="F182" s="33">
        <v>0</v>
      </c>
      <c r="G182" s="33">
        <v>0</v>
      </c>
      <c r="H182" s="33">
        <v>14883.974702530901</v>
      </c>
      <c r="I182" s="33">
        <v>0</v>
      </c>
      <c r="J182" s="33">
        <v>0</v>
      </c>
      <c r="K182" s="33">
        <v>0</v>
      </c>
      <c r="L182" s="33">
        <v>0</v>
      </c>
      <c r="M182" s="79">
        <f t="shared" si="38"/>
        <v>379541.35491453687</v>
      </c>
      <c r="N182" s="63" t="s">
        <v>635</v>
      </c>
    </row>
    <row r="183" spans="1:14" ht="15" customHeight="1" x14ac:dyDescent="0.35">
      <c r="A183" s="63" t="s">
        <v>751</v>
      </c>
      <c r="B183" s="33">
        <v>0</v>
      </c>
      <c r="C183" s="33">
        <v>0</v>
      </c>
      <c r="D183" s="33">
        <v>0</v>
      </c>
      <c r="E183" s="33">
        <v>1995</v>
      </c>
      <c r="F183" s="33">
        <v>0</v>
      </c>
      <c r="G183" s="33">
        <v>0</v>
      </c>
      <c r="H183" s="33">
        <v>0</v>
      </c>
      <c r="I183" s="33">
        <v>213.75</v>
      </c>
      <c r="J183" s="33">
        <v>285</v>
      </c>
      <c r="K183" s="33">
        <v>0</v>
      </c>
      <c r="L183" s="33">
        <v>0</v>
      </c>
      <c r="M183" s="79">
        <f t="shared" si="38"/>
        <v>2493.75</v>
      </c>
      <c r="N183" s="63" t="s">
        <v>635</v>
      </c>
    </row>
    <row r="184" spans="1:14" ht="15" customHeight="1" x14ac:dyDescent="0.35">
      <c r="A184" s="63" t="s">
        <v>752</v>
      </c>
      <c r="B184" s="33">
        <v>0</v>
      </c>
      <c r="C184" s="33">
        <v>0</v>
      </c>
      <c r="D184" s="33">
        <v>0</v>
      </c>
      <c r="E184" s="33">
        <v>0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79">
        <f t="shared" si="38"/>
        <v>0</v>
      </c>
      <c r="N184" s="63" t="s">
        <v>635</v>
      </c>
    </row>
    <row r="185" spans="1:14" ht="15" customHeight="1" x14ac:dyDescent="0.35">
      <c r="A185" s="63" t="s">
        <v>753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79">
        <f t="shared" si="38"/>
        <v>0</v>
      </c>
      <c r="N185" s="63" t="s">
        <v>635</v>
      </c>
    </row>
    <row r="186" spans="1:14" ht="15" customHeight="1" x14ac:dyDescent="0.35">
      <c r="A186" s="63" t="s">
        <v>754</v>
      </c>
      <c r="B186" s="33">
        <v>0</v>
      </c>
      <c r="C186" s="33">
        <v>0</v>
      </c>
      <c r="D186" s="33">
        <v>0</v>
      </c>
      <c r="E186" s="33">
        <v>0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79">
        <f t="shared" si="38"/>
        <v>0</v>
      </c>
      <c r="N186" s="63" t="s">
        <v>635</v>
      </c>
    </row>
    <row r="187" spans="1:14" ht="15" customHeight="1" x14ac:dyDescent="0.35">
      <c r="A187" s="63" t="s">
        <v>755</v>
      </c>
      <c r="B187" s="33">
        <v>87462.925434887002</v>
      </c>
      <c r="C187" s="33">
        <v>144038.20916939399</v>
      </c>
      <c r="D187" s="33">
        <v>51831.9263968265</v>
      </c>
      <c r="E187" s="33">
        <v>18365.1255994479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119929.114651153</v>
      </c>
      <c r="L187" s="33">
        <v>93034.311184532999</v>
      </c>
      <c r="M187" s="79">
        <f t="shared" si="38"/>
        <v>514661.61243624141</v>
      </c>
      <c r="N187" s="63" t="s">
        <v>635</v>
      </c>
    </row>
    <row r="188" spans="1:14" ht="15" customHeight="1" x14ac:dyDescent="0.35">
      <c r="A188" s="63" t="s">
        <v>756</v>
      </c>
      <c r="B188" s="33">
        <v>0</v>
      </c>
      <c r="C188" s="33">
        <v>0</v>
      </c>
      <c r="D188" s="33">
        <v>0</v>
      </c>
      <c r="E188" s="33">
        <v>0</v>
      </c>
      <c r="F188" s="33">
        <v>81536.633909227894</v>
      </c>
      <c r="G188" s="33">
        <v>196856.14213159101</v>
      </c>
      <c r="H188" s="33">
        <v>3015.0842170485798</v>
      </c>
      <c r="I188" s="33">
        <v>0</v>
      </c>
      <c r="J188" s="33">
        <v>0</v>
      </c>
      <c r="K188" s="33">
        <v>0</v>
      </c>
      <c r="L188" s="33">
        <v>0</v>
      </c>
      <c r="M188" s="79">
        <f t="shared" si="38"/>
        <v>281407.86025786749</v>
      </c>
      <c r="N188" s="63" t="s">
        <v>635</v>
      </c>
    </row>
    <row r="189" spans="1:14" ht="15" customHeight="1" x14ac:dyDescent="0.35">
      <c r="A189" s="63" t="s">
        <v>757</v>
      </c>
      <c r="B189" s="33">
        <v>0</v>
      </c>
      <c r="C189" s="33">
        <v>0</v>
      </c>
      <c r="D189" s="33">
        <v>0</v>
      </c>
      <c r="E189" s="33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79">
        <f t="shared" si="38"/>
        <v>0</v>
      </c>
      <c r="N189" s="63" t="s">
        <v>635</v>
      </c>
    </row>
    <row r="190" spans="1:14" ht="15" customHeight="1" x14ac:dyDescent="0.35">
      <c r="A190" s="63" t="s">
        <v>758</v>
      </c>
      <c r="B190" s="33">
        <v>0</v>
      </c>
      <c r="C190" s="33">
        <v>0</v>
      </c>
      <c r="D190" s="33">
        <v>0</v>
      </c>
      <c r="E190" s="33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79">
        <f t="shared" si="38"/>
        <v>0</v>
      </c>
      <c r="N190" s="63" t="s">
        <v>635</v>
      </c>
    </row>
    <row r="191" spans="1:14" ht="15" customHeight="1" x14ac:dyDescent="0.35">
      <c r="A191" s="63" t="s">
        <v>759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79">
        <f t="shared" si="38"/>
        <v>0</v>
      </c>
      <c r="N191" s="63" t="s">
        <v>635</v>
      </c>
    </row>
    <row r="192" spans="1:14" ht="15" customHeight="1" x14ac:dyDescent="0.35">
      <c r="A192" s="63" t="s">
        <v>760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79">
        <f t="shared" si="38"/>
        <v>0</v>
      </c>
      <c r="N192" s="63" t="s">
        <v>635</v>
      </c>
    </row>
    <row r="193" spans="1:14" ht="15" customHeight="1" x14ac:dyDescent="0.35">
      <c r="A193" s="63" t="s">
        <v>761</v>
      </c>
      <c r="B193" s="33">
        <v>0</v>
      </c>
      <c r="C193" s="33">
        <v>0</v>
      </c>
      <c r="D193" s="33">
        <v>0</v>
      </c>
      <c r="E193" s="33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79">
        <f t="shared" si="38"/>
        <v>0</v>
      </c>
      <c r="N193" s="63" t="s">
        <v>635</v>
      </c>
    </row>
    <row r="194" spans="1:14" ht="15" customHeight="1" x14ac:dyDescent="0.35">
      <c r="A194" s="63" t="s">
        <v>326</v>
      </c>
      <c r="B194" s="33">
        <v>0</v>
      </c>
      <c r="C194" s="33">
        <v>0</v>
      </c>
      <c r="D194" s="33">
        <v>0</v>
      </c>
      <c r="E194" s="33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79">
        <f t="shared" si="38"/>
        <v>0</v>
      </c>
      <c r="N194" s="63" t="s">
        <v>635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763</v>
      </c>
    </row>
    <row r="2" spans="1:8" ht="15" customHeight="1" x14ac:dyDescent="0.35">
      <c r="A2" s="75" t="s">
        <v>764</v>
      </c>
    </row>
    <row r="3" spans="1:8" ht="15" customHeight="1" x14ac:dyDescent="0.35">
      <c r="A3" s="83" t="s">
        <v>765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0</v>
      </c>
      <c r="C7" s="64">
        <f>F31</f>
        <v>0</v>
      </c>
      <c r="D7" s="65">
        <f t="shared" ref="D7:D12" si="0">IF($B$12=0,0,B7/$B$12)</f>
        <v>0</v>
      </c>
    </row>
    <row r="8" spans="1:8" ht="15" customHeight="1" x14ac:dyDescent="0.35">
      <c r="A8" s="63" t="s">
        <v>530</v>
      </c>
      <c r="B8" s="73">
        <f>(E32+E33)/10^6</f>
        <v>0</v>
      </c>
      <c r="C8" s="64">
        <f>F32+F33</f>
        <v>0</v>
      </c>
      <c r="D8" s="65">
        <f t="shared" si="0"/>
        <v>0</v>
      </c>
    </row>
    <row r="9" spans="1:8" ht="15" customHeight="1" x14ac:dyDescent="0.35">
      <c r="A9" s="63" t="s">
        <v>487</v>
      </c>
      <c r="B9" s="73">
        <f>E34/10^6</f>
        <v>0</v>
      </c>
      <c r="C9" s="64">
        <f>F34</f>
        <v>0</v>
      </c>
      <c r="D9" s="65">
        <f t="shared" si="0"/>
        <v>0</v>
      </c>
    </row>
    <row r="10" spans="1:8" ht="15" customHeight="1" x14ac:dyDescent="0.35">
      <c r="A10" s="63" t="s">
        <v>109</v>
      </c>
      <c r="B10" s="73">
        <f>E37/10^6</f>
        <v>0</v>
      </c>
      <c r="C10" s="64">
        <f>F37</f>
        <v>0</v>
      </c>
      <c r="D10" s="65">
        <f t="shared" si="0"/>
        <v>0</v>
      </c>
    </row>
    <row r="11" spans="1:8" ht="15" customHeight="1" x14ac:dyDescent="0.35">
      <c r="A11" s="63" t="s">
        <v>110</v>
      </c>
      <c r="B11" s="73">
        <f>E41/10^6</f>
        <v>0</v>
      </c>
      <c r="C11" s="64">
        <f>F41</f>
        <v>0</v>
      </c>
      <c r="D11" s="65">
        <f t="shared" si="0"/>
        <v>0</v>
      </c>
    </row>
    <row r="12" spans="1:8" ht="15" customHeight="1" x14ac:dyDescent="0.35">
      <c r="A12" s="72" t="s">
        <v>11</v>
      </c>
      <c r="B12" s="76">
        <f>E43/10^6</f>
        <v>0</v>
      </c>
      <c r="C12" s="64">
        <f>F43</f>
        <v>0</v>
      </c>
      <c r="D12" s="65">
        <f t="shared" si="0"/>
        <v>0</v>
      </c>
    </row>
    <row r="13" spans="1:8" ht="15" customHeight="1" x14ac:dyDescent="0.35">
      <c r="A13" s="63" t="s">
        <v>531</v>
      </c>
      <c r="B13" s="73">
        <f>B21</f>
        <v>0</v>
      </c>
      <c r="C13" s="73">
        <f>C21</f>
        <v>0</v>
      </c>
    </row>
    <row r="14" spans="1:8" ht="15" customHeight="1" x14ac:dyDescent="0.35">
      <c r="A14" s="63" t="s">
        <v>532</v>
      </c>
      <c r="B14" s="73">
        <f>D54/10^6</f>
        <v>0</v>
      </c>
      <c r="C14" s="64">
        <f>C55</f>
        <v>0</v>
      </c>
    </row>
    <row r="15" spans="1:8" ht="15" customHeight="1" x14ac:dyDescent="0.35">
      <c r="A15" s="63" t="s">
        <v>533</v>
      </c>
      <c r="B15" s="73">
        <f>$C$118/10^6</f>
        <v>0</v>
      </c>
      <c r="C15" s="64">
        <f>IF($C$117=0,0,$C$118/$C$117)</f>
        <v>0</v>
      </c>
    </row>
    <row r="16" spans="1:8" ht="15" customHeight="1" x14ac:dyDescent="0.35">
      <c r="A16" s="72" t="s">
        <v>115</v>
      </c>
      <c r="B16" s="76">
        <f>B15-B14</f>
        <v>0</v>
      </c>
      <c r="C16" s="77">
        <f>IF(B15=0,0,B16/B15)</f>
        <v>0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535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0</v>
      </c>
      <c r="C21" s="73">
        <f>$C$103</f>
        <v>0</v>
      </c>
      <c r="D21" s="67"/>
    </row>
    <row r="22" spans="1:8" ht="15" customHeight="1" x14ac:dyDescent="0.35">
      <c r="A22" s="63" t="s">
        <v>537</v>
      </c>
      <c r="B22" s="73">
        <f>$C$104</f>
        <v>0</v>
      </c>
      <c r="C22" s="73">
        <f>$C$105</f>
        <v>0</v>
      </c>
      <c r="D22" s="67" t="s">
        <v>538</v>
      </c>
    </row>
    <row r="23" spans="1:8" ht="15" customHeight="1" x14ac:dyDescent="0.35">
      <c r="A23" s="63" t="s">
        <v>539</v>
      </c>
      <c r="B23" s="73">
        <f>SUMIF($B$128:$B$128,"FCC",$C$128:$C$128)</f>
        <v>0</v>
      </c>
      <c r="D23" s="67" t="s">
        <v>540</v>
      </c>
    </row>
    <row r="24" spans="1:8" ht="15" customHeight="1" x14ac:dyDescent="0.35">
      <c r="A24" s="63" t="s">
        <v>541</v>
      </c>
      <c r="B24" s="73">
        <f>SUMIF($B$128:$B$128,"KW2",$C$128:$C$128)</f>
        <v>0</v>
      </c>
      <c r="D24" s="67" t="s">
        <v>540</v>
      </c>
    </row>
    <row r="25" spans="1:8" ht="15" customHeight="1" x14ac:dyDescent="0.35">
      <c r="A25" s="63" t="s">
        <v>542</v>
      </c>
      <c r="B25" s="73">
        <f>SUMIF($B$128:$B$128,"KW2UBI",$C$128:$C$128)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0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0</v>
      </c>
      <c r="C31" s="63" t="s">
        <v>137</v>
      </c>
      <c r="D31" s="47">
        <f>FCC!$D$89</f>
        <v>23872.94797365068</v>
      </c>
      <c r="E31" s="64">
        <f>B31*D31</f>
        <v>0</v>
      </c>
      <c r="F31" s="64">
        <f>IF($B$21=0,0,E31/$B$21)</f>
        <v>0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0</v>
      </c>
      <c r="C32" s="63" t="s">
        <v>137</v>
      </c>
      <c r="D32" s="47">
        <f>FCC!$C$209</f>
        <v>9777.2711808889308</v>
      </c>
      <c r="E32" s="64">
        <f>B32*D32</f>
        <v>0</v>
      </c>
      <c r="F32" s="64">
        <f>IF($B$21=0,0,E32/$B$21)</f>
        <v>0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SUMIF($B$128:$B$128,"EXT",$F$128:$F$128)</f>
        <v>0</v>
      </c>
      <c r="F34" s="64">
        <f>IF($B$21=0,0,E34/$B$21)</f>
        <v>0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0</v>
      </c>
      <c r="F35" s="64">
        <f>IF($B$21=0,0,E35/$B$21)</f>
        <v>0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0</v>
      </c>
      <c r="C37" s="63" t="s">
        <v>262</v>
      </c>
      <c r="D37" s="80">
        <f>IF('LAIN-LAIN'!$H$43=0,0,B37/'LAIN-LAIN'!$H$43)</f>
        <v>0</v>
      </c>
      <c r="E37" s="47">
        <f>D37*'BIAYA BERSAMA'!$F$115</f>
        <v>0</v>
      </c>
      <c r="F37" s="64">
        <f t="shared" ref="F37:F43" si="1">IF($B$21=0,0,E37/$B$21)</f>
        <v>0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0</v>
      </c>
      <c r="C38" s="63" t="s">
        <v>262</v>
      </c>
      <c r="D38" s="80">
        <f>IF('LAIN-LAIN'!$H$43=0,0,B38/'LAIN-LAIN'!$H$43)</f>
        <v>0</v>
      </c>
      <c r="E38" s="47">
        <f>D38*'BIAYA BERSAMA'!$F$117</f>
        <v>0</v>
      </c>
      <c r="F38" s="64">
        <f t="shared" si="1"/>
        <v>0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0</v>
      </c>
      <c r="C39" s="63" t="s">
        <v>265</v>
      </c>
      <c r="D39" s="80">
        <f>IF('LAIN-LAIN'!$I$43=0,0,B39/'LAIN-LAIN'!$I$43)</f>
        <v>0</v>
      </c>
      <c r="E39" s="47">
        <f>D39*'BIAYA BERSAMA'!$F$118+IF('BIAYA BERSAMA'!$F$172=0,0,B39/'BIAYA BERSAMA'!$F$172)*'BIAYA BERSAMA'!$F$176</f>
        <v>0</v>
      </c>
      <c r="F39" s="64">
        <f t="shared" si="1"/>
        <v>0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0</v>
      </c>
      <c r="C40" s="63" t="s">
        <v>140</v>
      </c>
      <c r="D40" s="80">
        <f>IF('LAIN-LAIN'!$G$43=0,0,B40/'LAIN-LAIN'!$G$43)</f>
        <v>0</v>
      </c>
      <c r="E40" s="47">
        <f>D40*'BIAYA BERSAMA'!$F$120</f>
        <v>0</v>
      </c>
      <c r="F40" s="64">
        <f t="shared" si="1"/>
        <v>0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0</v>
      </c>
      <c r="F41" s="64">
        <f t="shared" si="1"/>
        <v>0</v>
      </c>
    </row>
    <row r="42" spans="1:8" ht="15" customHeight="1" x14ac:dyDescent="0.35">
      <c r="A42" s="72" t="s">
        <v>164</v>
      </c>
      <c r="E42" s="79">
        <f>E37+E41</f>
        <v>0</v>
      </c>
      <c r="F42" s="64">
        <f t="shared" si="1"/>
        <v>0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0</v>
      </c>
      <c r="F43" s="81">
        <f t="shared" si="1"/>
        <v>0</v>
      </c>
      <c r="G43" s="29"/>
    </row>
    <row r="45" spans="1:8" ht="15" customHeight="1" x14ac:dyDescent="0.35">
      <c r="A45" s="62" t="s">
        <v>766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562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0</v>
      </c>
      <c r="C47" s="64"/>
      <c r="D47" s="64">
        <f>$C$109</f>
        <v>0</v>
      </c>
      <c r="E47" s="73">
        <f>$C$108</f>
        <v>0</v>
      </c>
      <c r="F47" s="64">
        <f>$C$110</f>
        <v>0</v>
      </c>
      <c r="G47" s="64">
        <f>D47-F47</f>
        <v>0</v>
      </c>
    </row>
    <row r="48" spans="1:8" ht="15" customHeight="1" x14ac:dyDescent="0.35">
      <c r="A48" s="63" t="s">
        <v>180</v>
      </c>
      <c r="B48" s="73">
        <f>C21</f>
        <v>0</v>
      </c>
      <c r="C48" s="64"/>
      <c r="D48" s="64">
        <f>E43</f>
        <v>0</v>
      </c>
      <c r="E48" s="73">
        <f>$C$111</f>
        <v>0</v>
      </c>
      <c r="F48" s="64">
        <f>$C$112</f>
        <v>0</v>
      </c>
      <c r="G48" s="64">
        <f>D48-F48</f>
        <v>0</v>
      </c>
    </row>
    <row r="49" spans="1:8" ht="15" customHeight="1" x14ac:dyDescent="0.35">
      <c r="A49" s="63" t="s">
        <v>181</v>
      </c>
      <c r="B49" s="73">
        <f>B47+B48</f>
        <v>0</v>
      </c>
      <c r="C49" s="64"/>
      <c r="D49" s="64">
        <f>D47+D48</f>
        <v>0</v>
      </c>
      <c r="E49" s="73">
        <f>E47+E48</f>
        <v>0</v>
      </c>
      <c r="F49" s="64">
        <f>F47+F48</f>
        <v>0</v>
      </c>
      <c r="G49" s="64">
        <f>D49-F49</f>
        <v>0</v>
      </c>
    </row>
    <row r="50" spans="1:8" ht="15" customHeight="1" x14ac:dyDescent="0.35">
      <c r="A50" s="63" t="s">
        <v>568</v>
      </c>
      <c r="B50" s="73"/>
      <c r="C50" s="64">
        <f>IF(B49=0,0,D49/B49)</f>
        <v>0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0</v>
      </c>
      <c r="C51" s="64"/>
      <c r="D51" s="64">
        <f>B51*$C$50</f>
        <v>0</v>
      </c>
      <c r="E51" s="73">
        <f>$C$113</f>
        <v>0</v>
      </c>
      <c r="F51" s="64">
        <f>$C$114</f>
        <v>0</v>
      </c>
      <c r="G51" s="64">
        <f>D51-F51</f>
        <v>0</v>
      </c>
    </row>
    <row r="52" spans="1:8" ht="15" customHeight="1" x14ac:dyDescent="0.35">
      <c r="A52" s="63" t="s">
        <v>570</v>
      </c>
      <c r="B52" s="73">
        <f>$C$115</f>
        <v>0</v>
      </c>
      <c r="C52" s="64"/>
      <c r="D52" s="64">
        <f>B52*$C$50</f>
        <v>0</v>
      </c>
      <c r="E52" s="73">
        <f>$C$115</f>
        <v>0</v>
      </c>
      <c r="F52" s="64">
        <f>$C$116</f>
        <v>0</v>
      </c>
      <c r="G52" s="64">
        <f>D52-F52</f>
        <v>0</v>
      </c>
    </row>
    <row r="53" spans="1:8" ht="15" customHeight="1" x14ac:dyDescent="0.35">
      <c r="A53" s="63" t="s">
        <v>571</v>
      </c>
      <c r="B53" s="73">
        <f>B49-B51-B52</f>
        <v>0</v>
      </c>
      <c r="C53" s="64"/>
      <c r="D53" s="64">
        <f>B53*$C$50</f>
        <v>0</v>
      </c>
      <c r="E53" s="73">
        <f>E49-E51-E52</f>
        <v>0</v>
      </c>
      <c r="F53" s="64">
        <f>F49-F51-F52</f>
        <v>0</v>
      </c>
      <c r="G53" s="64">
        <f>D53-F53</f>
        <v>0</v>
      </c>
    </row>
    <row r="54" spans="1:8" ht="15" customHeight="1" x14ac:dyDescent="0.35">
      <c r="A54" s="68" t="s">
        <v>572</v>
      </c>
      <c r="B54" s="29"/>
      <c r="C54" s="29"/>
      <c r="D54" s="70">
        <f>D51+D53</f>
        <v>0</v>
      </c>
      <c r="E54" s="29"/>
      <c r="F54" s="81">
        <f>F51+F53</f>
        <v>0</v>
      </c>
      <c r="G54" s="81">
        <f>D54-F54</f>
        <v>0</v>
      </c>
    </row>
    <row r="55" spans="1:8" ht="15" customHeight="1" x14ac:dyDescent="0.35">
      <c r="A55" s="63" t="s">
        <v>573</v>
      </c>
      <c r="C55" s="64">
        <f>IF(B51=0,0,D54/B51)</f>
        <v>0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0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0</v>
      </c>
      <c r="C61" s="64">
        <f>E35</f>
        <v>0</v>
      </c>
      <c r="D61" s="64">
        <f t="shared" ref="D61:D66" si="2">C61-B61</f>
        <v>0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0</v>
      </c>
      <c r="C62" s="64">
        <f>E37+E38</f>
        <v>0</v>
      </c>
      <c r="D62" s="64">
        <f t="shared" si="2"/>
        <v>0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0</v>
      </c>
      <c r="C63" s="64">
        <f>E39+E40</f>
        <v>0</v>
      </c>
      <c r="D63" s="64">
        <f t="shared" si="2"/>
        <v>0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0</v>
      </c>
      <c r="C64" s="64">
        <f>SUM(C61:C63)</f>
        <v>0</v>
      </c>
      <c r="D64" s="64">
        <f t="shared" si="2"/>
        <v>0</v>
      </c>
      <c r="E64" s="67"/>
    </row>
    <row r="65" spans="1:8" ht="15" customHeight="1" x14ac:dyDescent="0.35">
      <c r="A65" s="63" t="s">
        <v>584</v>
      </c>
      <c r="B65" s="73">
        <f>$C$122</f>
        <v>0</v>
      </c>
      <c r="C65" s="73">
        <f>$C$106</f>
        <v>0</v>
      </c>
      <c r="D65" s="73">
        <f t="shared" si="2"/>
        <v>0</v>
      </c>
    </row>
    <row r="66" spans="1:8" ht="15" customHeight="1" x14ac:dyDescent="0.35">
      <c r="A66" s="63" t="s">
        <v>585</v>
      </c>
      <c r="B66" s="73">
        <f>$C$123</f>
        <v>0</v>
      </c>
      <c r="C66" s="73">
        <f>$C$107</f>
        <v>0</v>
      </c>
      <c r="D66" s="73">
        <f t="shared" si="2"/>
        <v>0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E34-SUMIF($B$128:$B$128,"EXT",$F$128:$F$128)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COUNTA($A$128:$A$128)-COUNTIF($B$128:$B$128,"FCC")-COUNTIF($B$128:$B$128,"KW2")-COUNTIF($B$128:$B$128,"KW2UBI")-COUNTIF($B$128:$B$128,"EXT")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0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0</v>
      </c>
      <c r="D102" s="63" t="s">
        <v>246</v>
      </c>
      <c r="E102" s="67" t="s">
        <v>593</v>
      </c>
    </row>
    <row r="103" spans="1:8" ht="15" customHeight="1" x14ac:dyDescent="0.35">
      <c r="A103" s="63" t="s">
        <v>536</v>
      </c>
      <c r="B103" s="63" t="s">
        <v>594</v>
      </c>
      <c r="C103" s="82">
        <v>0</v>
      </c>
      <c r="D103" s="63" t="s">
        <v>246</v>
      </c>
      <c r="E103" s="67" t="s">
        <v>595</v>
      </c>
    </row>
    <row r="104" spans="1:8" ht="15" customHeight="1" x14ac:dyDescent="0.35">
      <c r="A104" s="63" t="s">
        <v>537</v>
      </c>
      <c r="B104" s="63" t="s">
        <v>137</v>
      </c>
      <c r="C104" s="82">
        <v>0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594</v>
      </c>
      <c r="C105" s="82">
        <v>0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0</v>
      </c>
      <c r="D106" s="63" t="s">
        <v>246</v>
      </c>
      <c r="E106" s="67" t="s">
        <v>767</v>
      </c>
    </row>
    <row r="107" spans="1:8" ht="15" customHeight="1" x14ac:dyDescent="0.35">
      <c r="A107" s="63" t="s">
        <v>600</v>
      </c>
      <c r="B107" s="63" t="s">
        <v>265</v>
      </c>
      <c r="C107" s="82">
        <v>0</v>
      </c>
      <c r="D107" s="63" t="s">
        <v>246</v>
      </c>
      <c r="E107" s="67" t="s">
        <v>768</v>
      </c>
    </row>
    <row r="108" spans="1:8" ht="15" customHeight="1" x14ac:dyDescent="0.35">
      <c r="A108" s="63" t="s">
        <v>769</v>
      </c>
      <c r="B108" s="63" t="s">
        <v>594</v>
      </c>
      <c r="C108" s="82">
        <v>0</v>
      </c>
      <c r="D108" s="63" t="s">
        <v>246</v>
      </c>
      <c r="E108" s="67" t="s">
        <v>603</v>
      </c>
    </row>
    <row r="109" spans="1:8" ht="15" customHeight="1" x14ac:dyDescent="0.35">
      <c r="A109" s="63" t="s">
        <v>770</v>
      </c>
      <c r="B109" s="63" t="s">
        <v>140</v>
      </c>
      <c r="C109" s="33">
        <v>0</v>
      </c>
      <c r="D109" s="63" t="s">
        <v>605</v>
      </c>
      <c r="E109" s="67" t="s">
        <v>771</v>
      </c>
    </row>
    <row r="110" spans="1:8" ht="15" customHeight="1" x14ac:dyDescent="0.35">
      <c r="A110" s="63" t="s">
        <v>772</v>
      </c>
      <c r="B110" s="63" t="s">
        <v>140</v>
      </c>
      <c r="C110" s="33">
        <v>0</v>
      </c>
      <c r="D110" s="63" t="s">
        <v>246</v>
      </c>
      <c r="E110" s="67" t="s">
        <v>608</v>
      </c>
    </row>
    <row r="111" spans="1:8" ht="15" customHeight="1" x14ac:dyDescent="0.35">
      <c r="A111" s="63" t="s">
        <v>773</v>
      </c>
      <c r="B111" s="63" t="s">
        <v>594</v>
      </c>
      <c r="C111" s="82">
        <v>0</v>
      </c>
      <c r="D111" s="63" t="s">
        <v>246</v>
      </c>
      <c r="E111" s="67" t="s">
        <v>610</v>
      </c>
    </row>
    <row r="112" spans="1:8" ht="15" customHeight="1" x14ac:dyDescent="0.35">
      <c r="A112" s="63" t="s">
        <v>774</v>
      </c>
      <c r="B112" s="63" t="s">
        <v>140</v>
      </c>
      <c r="C112" s="33">
        <v>0</v>
      </c>
      <c r="D112" s="63" t="s">
        <v>246</v>
      </c>
      <c r="E112" s="67" t="s">
        <v>610</v>
      </c>
    </row>
    <row r="113" spans="1:8" ht="15" customHeight="1" x14ac:dyDescent="0.35">
      <c r="A113" s="63" t="s">
        <v>775</v>
      </c>
      <c r="B113" s="63" t="s">
        <v>594</v>
      </c>
      <c r="C113" s="82">
        <v>0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0</v>
      </c>
      <c r="D114" s="63" t="s">
        <v>246</v>
      </c>
      <c r="E114" s="67" t="s">
        <v>613</v>
      </c>
    </row>
    <row r="115" spans="1:8" ht="15" customHeight="1" x14ac:dyDescent="0.35">
      <c r="A115" s="63" t="s">
        <v>776</v>
      </c>
      <c r="B115" s="63" t="s">
        <v>594</v>
      </c>
      <c r="C115" s="82">
        <v>0</v>
      </c>
      <c r="D115" s="63" t="s">
        <v>246</v>
      </c>
      <c r="E115" s="67" t="s">
        <v>616</v>
      </c>
    </row>
    <row r="116" spans="1:8" ht="15" customHeight="1" x14ac:dyDescent="0.35">
      <c r="A116" s="63" t="s">
        <v>777</v>
      </c>
      <c r="B116" s="63" t="s">
        <v>140</v>
      </c>
      <c r="C116" s="33">
        <v>0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594</v>
      </c>
      <c r="C117" s="82">
        <v>0</v>
      </c>
      <c r="D117" s="63" t="s">
        <v>246</v>
      </c>
      <c r="E117" s="67" t="s">
        <v>778</v>
      </c>
    </row>
    <row r="118" spans="1:8" ht="15" customHeight="1" x14ac:dyDescent="0.35">
      <c r="A118" s="63" t="s">
        <v>53</v>
      </c>
      <c r="B118" s="63" t="s">
        <v>140</v>
      </c>
      <c r="C118" s="33">
        <v>0</v>
      </c>
      <c r="D118" s="63" t="s">
        <v>246</v>
      </c>
      <c r="E118" s="67" t="s">
        <v>778</v>
      </c>
    </row>
    <row r="119" spans="1:8" ht="15" customHeight="1" x14ac:dyDescent="0.35">
      <c r="A119" s="63" t="s">
        <v>620</v>
      </c>
      <c r="B119" s="63" t="s">
        <v>140</v>
      </c>
      <c r="C119" s="33">
        <v>0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0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0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0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0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779</v>
      </c>
      <c r="B128" s="63" t="s">
        <v>635</v>
      </c>
      <c r="C128" s="82">
        <v>0</v>
      </c>
      <c r="D128" s="63"/>
      <c r="E128" s="33">
        <v>0</v>
      </c>
      <c r="F128" s="33">
        <v>0</v>
      </c>
      <c r="G128" s="67" t="s">
        <v>780</v>
      </c>
    </row>
    <row r="129" spans="1:6" ht="15" customHeight="1" x14ac:dyDescent="0.35">
      <c r="A129" s="72" t="s">
        <v>9</v>
      </c>
      <c r="F129" s="79">
        <f>SUM(F128:F128)</f>
        <v>0</v>
      </c>
    </row>
    <row r="130" spans="1:6" ht="15" customHeight="1" x14ac:dyDescent="0.35">
      <c r="A130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781</v>
      </c>
    </row>
    <row r="2" spans="1:8" ht="15" customHeight="1" x14ac:dyDescent="0.35">
      <c r="A2" s="75" t="s">
        <v>782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0</v>
      </c>
      <c r="C7" s="64">
        <f>F31</f>
        <v>0</v>
      </c>
      <c r="D7" s="65">
        <f t="shared" ref="D7:D12" si="0">IF($B$12=0,0,B7/$B$12)</f>
        <v>0</v>
      </c>
    </row>
    <row r="8" spans="1:8" ht="15" customHeight="1" x14ac:dyDescent="0.35">
      <c r="A8" s="63" t="s">
        <v>530</v>
      </c>
      <c r="B8" s="73">
        <f>(E32+E33)/10^6</f>
        <v>0</v>
      </c>
      <c r="C8" s="64">
        <f>F32+F33</f>
        <v>0</v>
      </c>
      <c r="D8" s="65">
        <f t="shared" si="0"/>
        <v>0</v>
      </c>
    </row>
    <row r="9" spans="1:8" ht="15" customHeight="1" x14ac:dyDescent="0.35">
      <c r="A9" s="63" t="s">
        <v>487</v>
      </c>
      <c r="B9" s="73">
        <f>E34/10^6</f>
        <v>1.6150230414746499E-2</v>
      </c>
      <c r="C9" s="64">
        <f>F34</f>
        <v>45.715099679422842</v>
      </c>
      <c r="D9" s="65">
        <f t="shared" si="0"/>
        <v>7.3844752098892134E-3</v>
      </c>
    </row>
    <row r="10" spans="1:8" ht="15" customHeight="1" x14ac:dyDescent="0.35">
      <c r="A10" s="63" t="s">
        <v>109</v>
      </c>
      <c r="B10" s="73">
        <f>E37/10^6</f>
        <v>0.53139824844429373</v>
      </c>
      <c r="C10" s="64">
        <f>F37</f>
        <v>1504.1843536126976</v>
      </c>
      <c r="D10" s="65">
        <f t="shared" si="0"/>
        <v>0.2429746877563066</v>
      </c>
    </row>
    <row r="11" spans="1:8" ht="15" customHeight="1" x14ac:dyDescent="0.35">
      <c r="A11" s="63" t="s">
        <v>110</v>
      </c>
      <c r="B11" s="73">
        <f>E41/10^6</f>
        <v>1.6395034044106438</v>
      </c>
      <c r="C11" s="64">
        <f>F41</f>
        <v>4640.8044735355634</v>
      </c>
      <c r="D11" s="65">
        <f t="shared" si="0"/>
        <v>0.74964083703380424</v>
      </c>
    </row>
    <row r="12" spans="1:8" ht="15" customHeight="1" x14ac:dyDescent="0.35">
      <c r="A12" s="72" t="s">
        <v>11</v>
      </c>
      <c r="B12" s="76">
        <f>E43/10^6</f>
        <v>2.1870518832696839</v>
      </c>
      <c r="C12" s="64">
        <f>F43</f>
        <v>6190.703926827684</v>
      </c>
      <c r="D12" s="65">
        <f t="shared" si="0"/>
        <v>1</v>
      </c>
    </row>
    <row r="13" spans="1:8" ht="15" customHeight="1" x14ac:dyDescent="0.35">
      <c r="A13" s="63" t="s">
        <v>531</v>
      </c>
      <c r="B13" s="73">
        <f>B21</f>
        <v>353.28</v>
      </c>
      <c r="C13" s="73">
        <f>C21</f>
        <v>4416</v>
      </c>
    </row>
    <row r="14" spans="1:8" ht="15" customHeight="1" x14ac:dyDescent="0.35">
      <c r="A14" s="63" t="s">
        <v>532</v>
      </c>
      <c r="B14" s="73">
        <f>D54/10^6</f>
        <v>2.1870518832696839</v>
      </c>
      <c r="C14" s="64">
        <f>C55</f>
        <v>495.25631414621466</v>
      </c>
    </row>
    <row r="15" spans="1:8" ht="15" customHeight="1" x14ac:dyDescent="0.35">
      <c r="A15" s="63" t="s">
        <v>533</v>
      </c>
      <c r="B15" s="73">
        <f>$C$118/10^6</f>
        <v>1.7664</v>
      </c>
      <c r="C15" s="64">
        <f>IF($C$117=0,0,$C$118/$C$117)</f>
        <v>400</v>
      </c>
    </row>
    <row r="16" spans="1:8" ht="15" customHeight="1" x14ac:dyDescent="0.35">
      <c r="A16" s="72" t="s">
        <v>115</v>
      </c>
      <c r="B16" s="76">
        <f>B15-B14</f>
        <v>-0.42065188326968395</v>
      </c>
      <c r="C16" s="77">
        <f>IF(B15=0,0,B16/B15)</f>
        <v>-0.23814078536553665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535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353.28</v>
      </c>
      <c r="C21" s="73">
        <f>$C$103</f>
        <v>4416</v>
      </c>
      <c r="D21" s="67"/>
    </row>
    <row r="22" spans="1:8" ht="15" customHeight="1" x14ac:dyDescent="0.35">
      <c r="A22" s="63" t="s">
        <v>537</v>
      </c>
      <c r="B22" s="73">
        <f>$C$104</f>
        <v>0.96</v>
      </c>
      <c r="C22" s="73">
        <f>$C$105</f>
        <v>12</v>
      </c>
      <c r="D22" s="67" t="s">
        <v>538</v>
      </c>
    </row>
    <row r="23" spans="1:8" ht="15" customHeight="1" x14ac:dyDescent="0.35">
      <c r="A23" s="63" t="s">
        <v>539</v>
      </c>
      <c r="B23" s="73">
        <f>SUMIF($B$128:$B$131,"FCC",$C$128:$C$131)</f>
        <v>0</v>
      </c>
      <c r="D23" s="67" t="s">
        <v>540</v>
      </c>
    </row>
    <row r="24" spans="1:8" ht="15" customHeight="1" x14ac:dyDescent="0.35">
      <c r="A24" s="63" t="s">
        <v>541</v>
      </c>
      <c r="B24" s="73">
        <f>SUMIF($B$128:$B$131,"KW2",$C$128:$C$131)</f>
        <v>0</v>
      </c>
      <c r="D24" s="67" t="s">
        <v>540</v>
      </c>
    </row>
    <row r="25" spans="1:8" ht="15" customHeight="1" x14ac:dyDescent="0.35">
      <c r="A25" s="63" t="s">
        <v>542</v>
      </c>
      <c r="B25" s="73">
        <f>SUMIF($B$128:$B$131,"KW2UBI",$C$128:$C$131)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0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0</v>
      </c>
      <c r="C31" s="63" t="s">
        <v>137</v>
      </c>
      <c r="D31" s="47">
        <f>FCC!$D$89</f>
        <v>23872.94797365068</v>
      </c>
      <c r="E31" s="64">
        <f>B31*D31</f>
        <v>0</v>
      </c>
      <c r="F31" s="64">
        <f>IF($B$21=0,0,E31/$B$21)</f>
        <v>0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0</v>
      </c>
      <c r="C32" s="63" t="s">
        <v>137</v>
      </c>
      <c r="D32" s="47">
        <f>FCC!$C$209</f>
        <v>9777.2711808889308</v>
      </c>
      <c r="E32" s="64">
        <f>B32*D32</f>
        <v>0</v>
      </c>
      <c r="F32" s="64">
        <f>IF($B$21=0,0,E32/$B$21)</f>
        <v>0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SUMIF($B$128:$B$131,"EXT",$F$128:$F$131)</f>
        <v>16150.2304147465</v>
      </c>
      <c r="F34" s="64">
        <f>IF($B$21=0,0,E34/$B$21)</f>
        <v>45.715099679422842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16150.2304147465</v>
      </c>
      <c r="F35" s="64">
        <f>IF($B$21=0,0,E35/$B$21)</f>
        <v>45.715099679422842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24.47</v>
      </c>
      <c r="C37" s="63" t="s">
        <v>262</v>
      </c>
      <c r="D37" s="80">
        <f>IF('LAIN-LAIN'!$H$43=0,0,B37/'LAIN-LAIN'!$H$43)</f>
        <v>9.0995299295141569E-3</v>
      </c>
      <c r="E37" s="47">
        <f>D37*'BIAYA BERSAMA'!$F$115</f>
        <v>531398.24844429374</v>
      </c>
      <c r="F37" s="64">
        <f t="shared" ref="F37:F43" si="1">IF($B$21=0,0,E37/$B$21)</f>
        <v>1504.1843536126976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24.47</v>
      </c>
      <c r="C38" s="63" t="s">
        <v>262</v>
      </c>
      <c r="D38" s="80">
        <f>IF('LAIN-LAIN'!$H$43=0,0,B38/'LAIN-LAIN'!$H$43)</f>
        <v>9.0995299295141569E-3</v>
      </c>
      <c r="E38" s="47">
        <f>D38*'BIAYA BERSAMA'!$F$117</f>
        <v>475070.03359988052</v>
      </c>
      <c r="F38" s="64">
        <f t="shared" si="1"/>
        <v>1344.7408106880678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139.36250000000001</v>
      </c>
      <c r="C39" s="63" t="s">
        <v>265</v>
      </c>
      <c r="D39" s="80">
        <f>IF('LAIN-LAIN'!$I$43=0,0,B39/'LAIN-LAIN'!$I$43)</f>
        <v>1.377363951379134E-2</v>
      </c>
      <c r="E39" s="47">
        <f>D39*'BIAYA BERSAMA'!$F$118+IF('BIAYA BERSAMA'!$F$172=0,0,B39/'BIAYA BERSAMA'!$F$172)*'BIAYA BERSAMA'!$F$176</f>
        <v>1163463.3464868469</v>
      </c>
      <c r="F39" s="64">
        <f t="shared" si="1"/>
        <v>3293.3178965320626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16150.2304147465</v>
      </c>
      <c r="C40" s="63" t="s">
        <v>140</v>
      </c>
      <c r="D40" s="80">
        <f>IF('LAIN-LAIN'!$G$43=0,0,B40/'LAIN-LAIN'!$G$43)</f>
        <v>2.1063607961664763E-4</v>
      </c>
      <c r="E40" s="47">
        <f>D40*'BIAYA BERSAMA'!$F$120</f>
        <v>970.02432391638001</v>
      </c>
      <c r="F40" s="64">
        <f t="shared" si="1"/>
        <v>2.7457663154335941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1639503.4044106437</v>
      </c>
      <c r="F41" s="64">
        <f t="shared" si="1"/>
        <v>4640.8044735355634</v>
      </c>
    </row>
    <row r="42" spans="1:8" ht="15" customHeight="1" x14ac:dyDescent="0.35">
      <c r="A42" s="72" t="s">
        <v>164</v>
      </c>
      <c r="E42" s="79">
        <f>E37+E41</f>
        <v>2170901.6528549376</v>
      </c>
      <c r="F42" s="64">
        <f t="shared" si="1"/>
        <v>6144.9888271482614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2187051.8832696839</v>
      </c>
      <c r="F43" s="81">
        <f t="shared" si="1"/>
        <v>6190.703926827684</v>
      </c>
      <c r="G43" s="29"/>
    </row>
    <row r="45" spans="1:8" ht="15" customHeight="1" x14ac:dyDescent="0.35">
      <c r="A45" s="62" t="s">
        <v>783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562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0</v>
      </c>
      <c r="C47" s="64"/>
      <c r="D47" s="64">
        <f>$C$109</f>
        <v>0</v>
      </c>
      <c r="E47" s="73">
        <f>$C$108</f>
        <v>0</v>
      </c>
      <c r="F47" s="64">
        <f>$C$110</f>
        <v>0</v>
      </c>
      <c r="G47" s="64">
        <f>D47-F47</f>
        <v>0</v>
      </c>
    </row>
    <row r="48" spans="1:8" ht="15" customHeight="1" x14ac:dyDescent="0.35">
      <c r="A48" s="63" t="s">
        <v>180</v>
      </c>
      <c r="B48" s="73">
        <f>C21</f>
        <v>4416</v>
      </c>
      <c r="C48" s="64"/>
      <c r="D48" s="64">
        <f>E43</f>
        <v>2187051.8832696839</v>
      </c>
      <c r="E48" s="73">
        <f>$C$111</f>
        <v>4416</v>
      </c>
      <c r="F48" s="64">
        <f>$C$112</f>
        <v>605632.31999999995</v>
      </c>
      <c r="G48" s="64">
        <f>D48-F48</f>
        <v>1581419.5632696841</v>
      </c>
    </row>
    <row r="49" spans="1:8" ht="15" customHeight="1" x14ac:dyDescent="0.35">
      <c r="A49" s="63" t="s">
        <v>181</v>
      </c>
      <c r="B49" s="73">
        <f>B47+B48</f>
        <v>4416</v>
      </c>
      <c r="C49" s="64"/>
      <c r="D49" s="64">
        <f>D47+D48</f>
        <v>2187051.8832696839</v>
      </c>
      <c r="E49" s="73">
        <f>E47+E48</f>
        <v>4416</v>
      </c>
      <c r="F49" s="64">
        <f>F47+F48</f>
        <v>605632.31999999995</v>
      </c>
      <c r="G49" s="64">
        <f>D49-F49</f>
        <v>1581419.5632696841</v>
      </c>
    </row>
    <row r="50" spans="1:8" ht="15" customHeight="1" x14ac:dyDescent="0.35">
      <c r="A50" s="63" t="s">
        <v>568</v>
      </c>
      <c r="B50" s="73"/>
      <c r="C50" s="64">
        <f>IF(B49=0,0,D49/B49)</f>
        <v>495.25631414621466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4416</v>
      </c>
      <c r="C51" s="64"/>
      <c r="D51" s="64">
        <f>B51*$C$50</f>
        <v>2187051.8832696839</v>
      </c>
      <c r="E51" s="73">
        <f>$C$113</f>
        <v>4416</v>
      </c>
      <c r="F51" s="64">
        <f>$C$114</f>
        <v>605632.31999999995</v>
      </c>
      <c r="G51" s="64">
        <f>D51-F51</f>
        <v>1581419.5632696841</v>
      </c>
    </row>
    <row r="52" spans="1:8" ht="15" customHeight="1" x14ac:dyDescent="0.35">
      <c r="A52" s="63" t="s">
        <v>570</v>
      </c>
      <c r="B52" s="73">
        <f>$C$115</f>
        <v>0</v>
      </c>
      <c r="C52" s="64"/>
      <c r="D52" s="64">
        <f>B52*$C$50</f>
        <v>0</v>
      </c>
      <c r="E52" s="73">
        <f>$C$115</f>
        <v>0</v>
      </c>
      <c r="F52" s="64">
        <f>$C$116</f>
        <v>0</v>
      </c>
      <c r="G52" s="64">
        <f>D52-F52</f>
        <v>0</v>
      </c>
    </row>
    <row r="53" spans="1:8" ht="15" customHeight="1" x14ac:dyDescent="0.35">
      <c r="A53" s="63" t="s">
        <v>571</v>
      </c>
      <c r="B53" s="73">
        <f>B49-B51-B52</f>
        <v>0</v>
      </c>
      <c r="C53" s="64"/>
      <c r="D53" s="64">
        <f>B53*$C$50</f>
        <v>0</v>
      </c>
      <c r="E53" s="73">
        <f>E49-E51-E52</f>
        <v>0</v>
      </c>
      <c r="F53" s="64">
        <f>F49-F51-F52</f>
        <v>0</v>
      </c>
      <c r="G53" s="64">
        <f>D53-F53</f>
        <v>0</v>
      </c>
    </row>
    <row r="54" spans="1:8" ht="15" customHeight="1" x14ac:dyDescent="0.35">
      <c r="A54" s="68" t="s">
        <v>572</v>
      </c>
      <c r="B54" s="29"/>
      <c r="C54" s="29"/>
      <c r="D54" s="70">
        <f>D51+D53</f>
        <v>2187051.8832696839</v>
      </c>
      <c r="E54" s="29"/>
      <c r="F54" s="81">
        <f>F51+F53</f>
        <v>605632.31999999995</v>
      </c>
      <c r="G54" s="81">
        <f>D54-F54</f>
        <v>1581419.5632696841</v>
      </c>
    </row>
    <row r="55" spans="1:8" ht="15" customHeight="1" x14ac:dyDescent="0.35">
      <c r="A55" s="63" t="s">
        <v>573</v>
      </c>
      <c r="C55" s="64">
        <f>IF(B51=0,0,D54/B51)</f>
        <v>495.25631414621466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0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16150.2304</v>
      </c>
      <c r="C61" s="64">
        <f>E35</f>
        <v>16150.2304147465</v>
      </c>
      <c r="D61" s="64">
        <f t="shared" ref="D61:D66" si="2">C61-B61</f>
        <v>1.4746499800821766E-5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438752.31900000002</v>
      </c>
      <c r="C62" s="64">
        <f>E37+E38</f>
        <v>1006468.2820441743</v>
      </c>
      <c r="D62" s="64">
        <f t="shared" si="2"/>
        <v>567715.96304417425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150729.76329999999</v>
      </c>
      <c r="C63" s="64">
        <f>E39+E40</f>
        <v>1164433.3708107632</v>
      </c>
      <c r="D63" s="64">
        <f t="shared" si="2"/>
        <v>1013703.6075107632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605632.31270000001</v>
      </c>
      <c r="C64" s="64">
        <f>SUM(C61:C63)</f>
        <v>2187051.8832696839</v>
      </c>
      <c r="D64" s="64">
        <f t="shared" si="2"/>
        <v>1581419.5705696838</v>
      </c>
      <c r="E64" s="67"/>
    </row>
    <row r="65" spans="1:8" ht="15" customHeight="1" x14ac:dyDescent="0.35">
      <c r="A65" s="63" t="s">
        <v>584</v>
      </c>
      <c r="B65" s="73">
        <f>$C$122</f>
        <v>24.47</v>
      </c>
      <c r="C65" s="73">
        <f>$C$106</f>
        <v>24.47</v>
      </c>
      <c r="D65" s="73">
        <f t="shared" si="2"/>
        <v>0</v>
      </c>
    </row>
    <row r="66" spans="1:8" ht="15" customHeight="1" x14ac:dyDescent="0.35">
      <c r="A66" s="63" t="s">
        <v>585</v>
      </c>
      <c r="B66" s="73">
        <f>$C$123</f>
        <v>139.36250000000001</v>
      </c>
      <c r="C66" s="73">
        <f>$C$107</f>
        <v>139.36250000000001</v>
      </c>
      <c r="D66" s="73">
        <f t="shared" si="2"/>
        <v>0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E34-SUMIF($B$128:$B$131,"EXT",$F$128:$F$131)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COUNTA($A$128:$A$131)-COUNTIF($B$128:$B$131,"FCC")-COUNTIF($B$128:$B$131,"KW2")-COUNTIF($B$128:$B$131,"KW2UBI")-COUNTIF($B$128:$B$131,"EXT")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0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353.28</v>
      </c>
      <c r="D102" s="63" t="s">
        <v>246</v>
      </c>
      <c r="E102" s="67" t="s">
        <v>593</v>
      </c>
    </row>
    <row r="103" spans="1:8" ht="15" customHeight="1" x14ac:dyDescent="0.35">
      <c r="A103" s="63" t="s">
        <v>536</v>
      </c>
      <c r="B103" s="63" t="s">
        <v>594</v>
      </c>
      <c r="C103" s="82">
        <v>4416</v>
      </c>
      <c r="D103" s="63" t="s">
        <v>246</v>
      </c>
      <c r="E103" s="67" t="s">
        <v>595</v>
      </c>
    </row>
    <row r="104" spans="1:8" ht="15" customHeight="1" x14ac:dyDescent="0.35">
      <c r="A104" s="63" t="s">
        <v>537</v>
      </c>
      <c r="B104" s="63" t="s">
        <v>137</v>
      </c>
      <c r="C104" s="82">
        <v>0.96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594</v>
      </c>
      <c r="C105" s="82">
        <v>12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24.47</v>
      </c>
      <c r="D106" s="63" t="s">
        <v>246</v>
      </c>
      <c r="E106" s="67" t="s">
        <v>784</v>
      </c>
    </row>
    <row r="107" spans="1:8" ht="15" customHeight="1" x14ac:dyDescent="0.35">
      <c r="A107" s="63" t="s">
        <v>600</v>
      </c>
      <c r="B107" s="63" t="s">
        <v>265</v>
      </c>
      <c r="C107" s="82">
        <v>139.36250000000001</v>
      </c>
      <c r="D107" s="63" t="s">
        <v>246</v>
      </c>
      <c r="E107" s="67" t="s">
        <v>785</v>
      </c>
    </row>
    <row r="108" spans="1:8" ht="15" customHeight="1" x14ac:dyDescent="0.35">
      <c r="A108" s="63" t="s">
        <v>786</v>
      </c>
      <c r="B108" s="63" t="s">
        <v>594</v>
      </c>
      <c r="C108" s="82">
        <v>0</v>
      </c>
      <c r="D108" s="63" t="s">
        <v>246</v>
      </c>
      <c r="E108" s="67" t="s">
        <v>603</v>
      </c>
    </row>
    <row r="109" spans="1:8" ht="15" customHeight="1" x14ac:dyDescent="0.35">
      <c r="A109" s="63" t="s">
        <v>787</v>
      </c>
      <c r="B109" s="63" t="s">
        <v>140</v>
      </c>
      <c r="C109" s="33">
        <v>0</v>
      </c>
      <c r="D109" s="63" t="s">
        <v>605</v>
      </c>
      <c r="E109" s="67" t="s">
        <v>788</v>
      </c>
    </row>
    <row r="110" spans="1:8" ht="15" customHeight="1" x14ac:dyDescent="0.35">
      <c r="A110" s="63" t="s">
        <v>789</v>
      </c>
      <c r="B110" s="63" t="s">
        <v>140</v>
      </c>
      <c r="C110" s="33">
        <v>0</v>
      </c>
      <c r="D110" s="63" t="s">
        <v>246</v>
      </c>
      <c r="E110" s="67" t="s">
        <v>608</v>
      </c>
    </row>
    <row r="111" spans="1:8" ht="15" customHeight="1" x14ac:dyDescent="0.35">
      <c r="A111" s="63" t="s">
        <v>790</v>
      </c>
      <c r="B111" s="63" t="s">
        <v>594</v>
      </c>
      <c r="C111" s="82">
        <v>4416</v>
      </c>
      <c r="D111" s="63" t="s">
        <v>246</v>
      </c>
      <c r="E111" s="67" t="s">
        <v>610</v>
      </c>
    </row>
    <row r="112" spans="1:8" ht="15" customHeight="1" x14ac:dyDescent="0.35">
      <c r="A112" s="63" t="s">
        <v>791</v>
      </c>
      <c r="B112" s="63" t="s">
        <v>140</v>
      </c>
      <c r="C112" s="33">
        <v>605632.31999999995</v>
      </c>
      <c r="D112" s="63" t="s">
        <v>246</v>
      </c>
      <c r="E112" s="67" t="s">
        <v>610</v>
      </c>
    </row>
    <row r="113" spans="1:8" ht="15" customHeight="1" x14ac:dyDescent="0.35">
      <c r="A113" s="63" t="s">
        <v>792</v>
      </c>
      <c r="B113" s="63" t="s">
        <v>594</v>
      </c>
      <c r="C113" s="82">
        <v>4416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605632.31999999995</v>
      </c>
      <c r="D114" s="63" t="s">
        <v>246</v>
      </c>
      <c r="E114" s="67" t="s">
        <v>613</v>
      </c>
    </row>
    <row r="115" spans="1:8" ht="15" customHeight="1" x14ac:dyDescent="0.35">
      <c r="A115" s="63" t="s">
        <v>793</v>
      </c>
      <c r="B115" s="63" t="s">
        <v>594</v>
      </c>
      <c r="C115" s="82">
        <v>0</v>
      </c>
      <c r="D115" s="63" t="s">
        <v>246</v>
      </c>
      <c r="E115" s="67" t="s">
        <v>616</v>
      </c>
    </row>
    <row r="116" spans="1:8" ht="15" customHeight="1" x14ac:dyDescent="0.35">
      <c r="A116" s="63" t="s">
        <v>794</v>
      </c>
      <c r="B116" s="63" t="s">
        <v>140</v>
      </c>
      <c r="C116" s="33">
        <v>0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594</v>
      </c>
      <c r="C117" s="82">
        <v>4416</v>
      </c>
      <c r="D117" s="63" t="s">
        <v>246</v>
      </c>
      <c r="E117" s="67" t="s">
        <v>795</v>
      </c>
    </row>
    <row r="118" spans="1:8" ht="15" customHeight="1" x14ac:dyDescent="0.35">
      <c r="A118" s="63" t="s">
        <v>53</v>
      </c>
      <c r="B118" s="63" t="s">
        <v>140</v>
      </c>
      <c r="C118" s="33">
        <v>1766400</v>
      </c>
      <c r="D118" s="63" t="s">
        <v>246</v>
      </c>
      <c r="E118" s="67" t="s">
        <v>795</v>
      </c>
    </row>
    <row r="119" spans="1:8" ht="15" customHeight="1" x14ac:dyDescent="0.35">
      <c r="A119" s="63" t="s">
        <v>620</v>
      </c>
      <c r="B119" s="63" t="s">
        <v>140</v>
      </c>
      <c r="C119" s="33">
        <v>16150.2304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438752.31900000002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150729.76329999999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24.47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139.36250000000001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796</v>
      </c>
      <c r="B128" s="63" t="s">
        <v>635</v>
      </c>
      <c r="C128" s="82">
        <v>360</v>
      </c>
      <c r="D128" s="63" t="s">
        <v>137</v>
      </c>
      <c r="E128" s="33">
        <v>0</v>
      </c>
      <c r="F128" s="33">
        <v>0</v>
      </c>
      <c r="G128" s="67" t="s">
        <v>797</v>
      </c>
    </row>
    <row r="129" spans="1:7" ht="15" customHeight="1" x14ac:dyDescent="0.35">
      <c r="A129" s="63" t="s">
        <v>798</v>
      </c>
      <c r="B129" s="63" t="s">
        <v>635</v>
      </c>
      <c r="C129" s="82">
        <v>44.84</v>
      </c>
      <c r="D129" s="63" t="s">
        <v>137</v>
      </c>
      <c r="E129" s="33">
        <v>0</v>
      </c>
      <c r="F129" s="33">
        <v>0</v>
      </c>
      <c r="G129" s="67" t="s">
        <v>636</v>
      </c>
    </row>
    <row r="130" spans="1:7" ht="15" customHeight="1" x14ac:dyDescent="0.35">
      <c r="A130" s="63" t="s">
        <v>799</v>
      </c>
      <c r="B130" s="63" t="s">
        <v>635</v>
      </c>
      <c r="C130" s="82">
        <v>177</v>
      </c>
      <c r="D130" s="63" t="s">
        <v>151</v>
      </c>
      <c r="E130" s="33">
        <v>0</v>
      </c>
      <c r="F130" s="33">
        <v>0</v>
      </c>
      <c r="G130" s="67" t="s">
        <v>638</v>
      </c>
    </row>
    <row r="131" spans="1:7" ht="15" customHeight="1" x14ac:dyDescent="0.35">
      <c r="A131" s="63" t="s">
        <v>637</v>
      </c>
      <c r="B131" s="63" t="s">
        <v>635</v>
      </c>
      <c r="C131" s="82">
        <v>2.4470046082949302</v>
      </c>
      <c r="D131" s="63" t="s">
        <v>327</v>
      </c>
      <c r="E131" s="33">
        <v>6600</v>
      </c>
      <c r="F131" s="33">
        <v>16150.2304147465</v>
      </c>
      <c r="G131" s="67" t="s">
        <v>800</v>
      </c>
    </row>
    <row r="132" spans="1:7" ht="15" customHeight="1" x14ac:dyDescent="0.35">
      <c r="A132" s="72" t="s">
        <v>9</v>
      </c>
      <c r="F132" s="79">
        <f>SUM(F128:F131)</f>
        <v>16150.2304147465</v>
      </c>
    </row>
    <row r="133" spans="1:7" ht="15" customHeight="1" x14ac:dyDescent="0.35">
      <c r="A133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801</v>
      </c>
    </row>
    <row r="2" spans="1:8" ht="15" customHeight="1" x14ac:dyDescent="0.35">
      <c r="A2" s="75" t="s">
        <v>802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0</v>
      </c>
      <c r="C7" s="64">
        <f>F31</f>
        <v>0</v>
      </c>
      <c r="D7" s="65">
        <f t="shared" ref="D7:D12" si="0">IF($B$12=0,0,B7/$B$12)</f>
        <v>0</v>
      </c>
    </row>
    <row r="8" spans="1:8" ht="15" customHeight="1" x14ac:dyDescent="0.35">
      <c r="A8" s="63" t="s">
        <v>530</v>
      </c>
      <c r="B8" s="73">
        <f>(E32+E33)/10^6</f>
        <v>0</v>
      </c>
      <c r="C8" s="64">
        <f>F32+F33</f>
        <v>0</v>
      </c>
      <c r="D8" s="65">
        <f t="shared" si="0"/>
        <v>0</v>
      </c>
    </row>
    <row r="9" spans="1:8" ht="15" customHeight="1" x14ac:dyDescent="0.35">
      <c r="A9" s="63" t="s">
        <v>487</v>
      </c>
      <c r="B9" s="73">
        <f>E34/10^6</f>
        <v>2.6546056676247601E-2</v>
      </c>
      <c r="C9" s="64">
        <f>F34</f>
        <v>46.305569139421578</v>
      </c>
      <c r="D9" s="65">
        <f t="shared" si="0"/>
        <v>8.1219309704531426E-3</v>
      </c>
    </row>
    <row r="10" spans="1:8" ht="15" customHeight="1" x14ac:dyDescent="0.35">
      <c r="A10" s="63" t="s">
        <v>109</v>
      </c>
      <c r="B10" s="73">
        <f>E37/10^6</f>
        <v>0.81370818264743949</v>
      </c>
      <c r="C10" s="64">
        <f>F37</f>
        <v>1419.3904944310625</v>
      </c>
      <c r="D10" s="65">
        <f t="shared" si="0"/>
        <v>0.24895907404088216</v>
      </c>
    </row>
    <row r="11" spans="1:8" ht="15" customHeight="1" x14ac:dyDescent="0.35">
      <c r="A11" s="63" t="s">
        <v>110</v>
      </c>
      <c r="B11" s="73">
        <f>E41/10^6</f>
        <v>2.4281873139005126</v>
      </c>
      <c r="C11" s="64">
        <f>F41</f>
        <v>4235.6044409372607</v>
      </c>
      <c r="D11" s="65">
        <f t="shared" si="0"/>
        <v>0.74291899498866465</v>
      </c>
    </row>
    <row r="12" spans="1:8" ht="15" customHeight="1" x14ac:dyDescent="0.35">
      <c r="A12" s="72" t="s">
        <v>11</v>
      </c>
      <c r="B12" s="76">
        <f>E43/10^6</f>
        <v>3.2684415532241999</v>
      </c>
      <c r="C12" s="64">
        <f>F43</f>
        <v>5701.3005045077452</v>
      </c>
      <c r="D12" s="65">
        <f t="shared" si="0"/>
        <v>1</v>
      </c>
    </row>
    <row r="13" spans="1:8" ht="15" customHeight="1" x14ac:dyDescent="0.35">
      <c r="A13" s="63" t="s">
        <v>531</v>
      </c>
      <c r="B13" s="73">
        <f>B21</f>
        <v>573.28</v>
      </c>
      <c r="C13" s="73">
        <f>C21</f>
        <v>7166</v>
      </c>
    </row>
    <row r="14" spans="1:8" ht="15" customHeight="1" x14ac:dyDescent="0.35">
      <c r="A14" s="63" t="s">
        <v>532</v>
      </c>
      <c r="B14" s="73">
        <f>D54/10^6</f>
        <v>3.2684415532241999</v>
      </c>
      <c r="C14" s="64">
        <f>C55</f>
        <v>456.10404036061959</v>
      </c>
    </row>
    <row r="15" spans="1:8" ht="15" customHeight="1" x14ac:dyDescent="0.35">
      <c r="A15" s="63" t="s">
        <v>533</v>
      </c>
      <c r="B15" s="73">
        <f>$C$118/10^6</f>
        <v>2.8664000000000001</v>
      </c>
      <c r="C15" s="64">
        <f>IF($C$117=0,0,$C$118/$C$117)</f>
        <v>400</v>
      </c>
    </row>
    <row r="16" spans="1:8" ht="15" customHeight="1" x14ac:dyDescent="0.35">
      <c r="A16" s="72" t="s">
        <v>115</v>
      </c>
      <c r="B16" s="76">
        <f>B15-B14</f>
        <v>-0.40204155322419988</v>
      </c>
      <c r="C16" s="77">
        <f>IF(B15=0,0,B16/B15)</f>
        <v>-0.14026010090154895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535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573.28</v>
      </c>
      <c r="C21" s="73">
        <f>$C$103</f>
        <v>7166</v>
      </c>
      <c r="D21" s="67"/>
    </row>
    <row r="22" spans="1:8" ht="15" customHeight="1" x14ac:dyDescent="0.35">
      <c r="A22" s="63" t="s">
        <v>537</v>
      </c>
      <c r="B22" s="73">
        <f>$C$104</f>
        <v>1.92</v>
      </c>
      <c r="C22" s="73">
        <f>$C$105</f>
        <v>24</v>
      </c>
      <c r="D22" s="67" t="s">
        <v>538</v>
      </c>
    </row>
    <row r="23" spans="1:8" ht="15" customHeight="1" x14ac:dyDescent="0.35">
      <c r="A23" s="63" t="s">
        <v>539</v>
      </c>
      <c r="B23" s="73">
        <f>SUMIF($B$128:$B$131,"FCC",$C$128:$C$131)</f>
        <v>0</v>
      </c>
      <c r="D23" s="67" t="s">
        <v>540</v>
      </c>
    </row>
    <row r="24" spans="1:8" ht="15" customHeight="1" x14ac:dyDescent="0.35">
      <c r="A24" s="63" t="s">
        <v>541</v>
      </c>
      <c r="B24" s="73">
        <f>SUMIF($B$128:$B$131,"KW2",$C$128:$C$131)</f>
        <v>0</v>
      </c>
      <c r="D24" s="67" t="s">
        <v>540</v>
      </c>
    </row>
    <row r="25" spans="1:8" ht="15" customHeight="1" x14ac:dyDescent="0.35">
      <c r="A25" s="63" t="s">
        <v>542</v>
      </c>
      <c r="B25" s="73">
        <f>SUMIF($B$128:$B$131,"KW2UBI",$C$128:$C$131)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0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0</v>
      </c>
      <c r="C31" s="63" t="s">
        <v>137</v>
      </c>
      <c r="D31" s="47">
        <f>FCC!$D$89</f>
        <v>23872.94797365068</v>
      </c>
      <c r="E31" s="64">
        <f>B31*D31</f>
        <v>0</v>
      </c>
      <c r="F31" s="64">
        <f>IF($B$21=0,0,E31/$B$21)</f>
        <v>0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0</v>
      </c>
      <c r="C32" s="63" t="s">
        <v>137</v>
      </c>
      <c r="D32" s="47">
        <f>FCC!$C$209</f>
        <v>9777.2711808889308</v>
      </c>
      <c r="E32" s="64">
        <f>B32*D32</f>
        <v>0</v>
      </c>
      <c r="F32" s="64">
        <f>IF($B$21=0,0,E32/$B$21)</f>
        <v>0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SUMIF($B$128:$B$131,"EXT",$F$128:$F$131)</f>
        <v>26546.056676247601</v>
      </c>
      <c r="F34" s="64">
        <f>IF($B$21=0,0,E34/$B$21)</f>
        <v>46.305569139421578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26546.056676247601</v>
      </c>
      <c r="F35" s="64">
        <f>IF($B$21=0,0,E35/$B$21)</f>
        <v>46.305569139421578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37.469900000000003</v>
      </c>
      <c r="C37" s="63" t="s">
        <v>262</v>
      </c>
      <c r="D37" s="80">
        <f>IF('LAIN-LAIN'!$H$43=0,0,B37/'LAIN-LAIN'!$H$43)</f>
        <v>1.3933734225823561E-2</v>
      </c>
      <c r="E37" s="47">
        <f>D37*'BIAYA BERSAMA'!$F$115</f>
        <v>813708.18264743953</v>
      </c>
      <c r="F37" s="64">
        <f t="shared" ref="F37:F43" si="1">IF($B$21=0,0,E37/$B$21)</f>
        <v>1419.3904944310625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37.469900000000003</v>
      </c>
      <c r="C38" s="63" t="s">
        <v>262</v>
      </c>
      <c r="D38" s="80">
        <f>IF('LAIN-LAIN'!$H$43=0,0,B38/'LAIN-LAIN'!$H$43)</f>
        <v>1.3933734225823561E-2</v>
      </c>
      <c r="E38" s="47">
        <f>D38*'BIAYA BERSAMA'!$F$117</f>
        <v>727455.11450691323</v>
      </c>
      <c r="F38" s="64">
        <f t="shared" si="1"/>
        <v>1268.9351006609568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203.52690000000001</v>
      </c>
      <c r="C39" s="63" t="s">
        <v>265</v>
      </c>
      <c r="D39" s="80">
        <f>IF('LAIN-LAIN'!$I$43=0,0,B39/'LAIN-LAIN'!$I$43)</f>
        <v>2.0115211423155144E-2</v>
      </c>
      <c r="E39" s="47">
        <f>D39*'BIAYA BERSAMA'!$F$118+IF('BIAYA BERSAMA'!$F$172=0,0,B39/'BIAYA BERSAMA'!$F$172)*'BIAYA BERSAMA'!$F$176</f>
        <v>1699137.7750405874</v>
      </c>
      <c r="F39" s="64">
        <f t="shared" si="1"/>
        <v>2963.8881088483595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26546.056676247601</v>
      </c>
      <c r="C40" s="63" t="s">
        <v>140</v>
      </c>
      <c r="D40" s="80">
        <f>IF('LAIN-LAIN'!$G$43=0,0,B40/'LAIN-LAIN'!$G$43)</f>
        <v>3.4622151907260555E-4</v>
      </c>
      <c r="E40" s="47">
        <f>D40*'BIAYA BERSAMA'!$F$120</f>
        <v>1594.4243530117567</v>
      </c>
      <c r="F40" s="64">
        <f t="shared" si="1"/>
        <v>2.7812314279440358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2428187.3139005126</v>
      </c>
      <c r="F41" s="64">
        <f t="shared" si="1"/>
        <v>4235.6044409372607</v>
      </c>
    </row>
    <row r="42" spans="1:8" ht="15" customHeight="1" x14ac:dyDescent="0.35">
      <c r="A42" s="72" t="s">
        <v>164</v>
      </c>
      <c r="E42" s="79">
        <f>E37+E41</f>
        <v>3241895.4965479523</v>
      </c>
      <c r="F42" s="64">
        <f t="shared" si="1"/>
        <v>5654.9949353683232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3268441.5532241999</v>
      </c>
      <c r="F43" s="81">
        <f t="shared" si="1"/>
        <v>5701.3005045077452</v>
      </c>
      <c r="G43" s="29"/>
    </row>
    <row r="45" spans="1:8" ht="15" customHeight="1" x14ac:dyDescent="0.35">
      <c r="A45" s="62" t="s">
        <v>803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562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0</v>
      </c>
      <c r="C47" s="64"/>
      <c r="D47" s="64">
        <f>$C$109</f>
        <v>0</v>
      </c>
      <c r="E47" s="73">
        <f>$C$108</f>
        <v>0</v>
      </c>
      <c r="F47" s="64">
        <f>$C$110</f>
        <v>-0.12</v>
      </c>
      <c r="G47" s="64">
        <f>D47-F47</f>
        <v>0.12</v>
      </c>
    </row>
    <row r="48" spans="1:8" ht="15" customHeight="1" x14ac:dyDescent="0.35">
      <c r="A48" s="63" t="s">
        <v>180</v>
      </c>
      <c r="B48" s="73">
        <f>C21</f>
        <v>7166</v>
      </c>
      <c r="C48" s="64"/>
      <c r="D48" s="64">
        <f>E43</f>
        <v>3268441.5532241999</v>
      </c>
      <c r="E48" s="73">
        <f>$C$111</f>
        <v>7166</v>
      </c>
      <c r="F48" s="64">
        <f>$C$112</f>
        <v>918515.67</v>
      </c>
      <c r="G48" s="64">
        <f>D48-F48</f>
        <v>2349925.8832242</v>
      </c>
    </row>
    <row r="49" spans="1:8" ht="15" customHeight="1" x14ac:dyDescent="0.35">
      <c r="A49" s="63" t="s">
        <v>181</v>
      </c>
      <c r="B49" s="73">
        <f>B47+B48</f>
        <v>7166</v>
      </c>
      <c r="C49" s="64"/>
      <c r="D49" s="64">
        <f>D47+D48</f>
        <v>3268441.5532241999</v>
      </c>
      <c r="E49" s="73">
        <f>E47+E48</f>
        <v>7166</v>
      </c>
      <c r="F49" s="64">
        <f>F47+F48</f>
        <v>918515.55</v>
      </c>
      <c r="G49" s="64">
        <f>D49-F49</f>
        <v>2349926.0032241996</v>
      </c>
    </row>
    <row r="50" spans="1:8" ht="15" customHeight="1" x14ac:dyDescent="0.35">
      <c r="A50" s="63" t="s">
        <v>568</v>
      </c>
      <c r="B50" s="73"/>
      <c r="C50" s="64">
        <f>IF(B49=0,0,D49/B49)</f>
        <v>456.10404036061959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7166</v>
      </c>
      <c r="C51" s="64"/>
      <c r="D51" s="64">
        <f>B51*$C$50</f>
        <v>3268441.5532241999</v>
      </c>
      <c r="E51" s="73">
        <f>$C$113</f>
        <v>7166</v>
      </c>
      <c r="F51" s="64">
        <f>$C$114</f>
        <v>918515.66</v>
      </c>
      <c r="G51" s="64">
        <f>D51-F51</f>
        <v>2349925.8932241998</v>
      </c>
    </row>
    <row r="52" spans="1:8" ht="15" customHeight="1" x14ac:dyDescent="0.35">
      <c r="A52" s="63" t="s">
        <v>570</v>
      </c>
      <c r="B52" s="73">
        <f>$C$115</f>
        <v>0</v>
      </c>
      <c r="C52" s="64"/>
      <c r="D52" s="64">
        <f>B52*$C$50</f>
        <v>0</v>
      </c>
      <c r="E52" s="73">
        <f>$C$115</f>
        <v>0</v>
      </c>
      <c r="F52" s="64">
        <f>$C$116</f>
        <v>-0.12</v>
      </c>
      <c r="G52" s="64">
        <f>D52-F52</f>
        <v>0.12</v>
      </c>
    </row>
    <row r="53" spans="1:8" ht="15" customHeight="1" x14ac:dyDescent="0.35">
      <c r="A53" s="63" t="s">
        <v>571</v>
      </c>
      <c r="B53" s="73">
        <f>B49-B51-B52</f>
        <v>0</v>
      </c>
      <c r="C53" s="64"/>
      <c r="D53" s="64">
        <f>B53*$C$50</f>
        <v>0</v>
      </c>
      <c r="E53" s="73">
        <f>E49-E51-E52</f>
        <v>0</v>
      </c>
      <c r="F53" s="64">
        <f>F49-F51-F52</f>
        <v>1.0000000013969834E-2</v>
      </c>
      <c r="G53" s="64">
        <f>D53-F53</f>
        <v>-1.0000000013969834E-2</v>
      </c>
    </row>
    <row r="54" spans="1:8" ht="15" customHeight="1" x14ac:dyDescent="0.35">
      <c r="A54" s="68" t="s">
        <v>572</v>
      </c>
      <c r="B54" s="29"/>
      <c r="C54" s="29"/>
      <c r="D54" s="70">
        <f>D51+D53</f>
        <v>3268441.5532241999</v>
      </c>
      <c r="E54" s="29"/>
      <c r="F54" s="81">
        <f>F51+F53</f>
        <v>918515.67</v>
      </c>
      <c r="G54" s="81">
        <f>D54-F54</f>
        <v>2349925.8832242</v>
      </c>
    </row>
    <row r="55" spans="1:8" ht="15" customHeight="1" x14ac:dyDescent="0.35">
      <c r="A55" s="63" t="s">
        <v>573</v>
      </c>
      <c r="C55" s="64">
        <f>IF(B51=0,0,D54/B51)</f>
        <v>456.10404036061959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0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26546.056700000001</v>
      </c>
      <c r="C61" s="64">
        <f>E35</f>
        <v>26546.056676247601</v>
      </c>
      <c r="D61" s="64">
        <f t="shared" ref="D61:D66" si="2">C61-B61</f>
        <v>-2.3752400011289865E-5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671841.54350000003</v>
      </c>
      <c r="C62" s="64">
        <f>E37+E38</f>
        <v>1541163.2971543528</v>
      </c>
      <c r="D62" s="64">
        <f t="shared" si="2"/>
        <v>869321.75365435274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220127.89540000001</v>
      </c>
      <c r="C63" s="64">
        <f>E39+E40</f>
        <v>1700732.1993935991</v>
      </c>
      <c r="D63" s="64">
        <f t="shared" si="2"/>
        <v>1480604.303993599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918515.49560000002</v>
      </c>
      <c r="C64" s="64">
        <f>SUM(C61:C63)</f>
        <v>3268441.5532241995</v>
      </c>
      <c r="D64" s="64">
        <f t="shared" si="2"/>
        <v>2349926.0576241994</v>
      </c>
      <c r="E64" s="67"/>
    </row>
    <row r="65" spans="1:8" ht="15" customHeight="1" x14ac:dyDescent="0.35">
      <c r="A65" s="63" t="s">
        <v>584</v>
      </c>
      <c r="B65" s="73">
        <f>$C$122</f>
        <v>37.469900000000003</v>
      </c>
      <c r="C65" s="73">
        <f>$C$106</f>
        <v>37.469900000000003</v>
      </c>
      <c r="D65" s="73">
        <f t="shared" si="2"/>
        <v>0</v>
      </c>
    </row>
    <row r="66" spans="1:8" ht="15" customHeight="1" x14ac:dyDescent="0.35">
      <c r="A66" s="63" t="s">
        <v>585</v>
      </c>
      <c r="B66" s="73">
        <f>$C$123</f>
        <v>203.52690000000001</v>
      </c>
      <c r="C66" s="73">
        <f>$C$107</f>
        <v>203.52690000000001</v>
      </c>
      <c r="D66" s="73">
        <f t="shared" si="2"/>
        <v>0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E34-SUMIF($B$128:$B$131,"EXT",$F$128:$F$131)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COUNTA($A$128:$A$131)-COUNTIF($B$128:$B$131,"FCC")-COUNTIF($B$128:$B$131,"KW2")-COUNTIF($B$128:$B$131,"KW2UBI")-COUNTIF($B$128:$B$131,"EXT")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0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573.28</v>
      </c>
      <c r="D102" s="63" t="s">
        <v>246</v>
      </c>
      <c r="E102" s="67" t="s">
        <v>593</v>
      </c>
    </row>
    <row r="103" spans="1:8" ht="15" customHeight="1" x14ac:dyDescent="0.35">
      <c r="A103" s="63" t="s">
        <v>536</v>
      </c>
      <c r="B103" s="63" t="s">
        <v>594</v>
      </c>
      <c r="C103" s="82">
        <v>7166</v>
      </c>
      <c r="D103" s="63" t="s">
        <v>246</v>
      </c>
      <c r="E103" s="67" t="s">
        <v>595</v>
      </c>
    </row>
    <row r="104" spans="1:8" ht="15" customHeight="1" x14ac:dyDescent="0.35">
      <c r="A104" s="63" t="s">
        <v>537</v>
      </c>
      <c r="B104" s="63" t="s">
        <v>137</v>
      </c>
      <c r="C104" s="82">
        <v>1.92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594</v>
      </c>
      <c r="C105" s="82">
        <v>24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37.469900000000003</v>
      </c>
      <c r="D106" s="63" t="s">
        <v>246</v>
      </c>
      <c r="E106" s="67" t="s">
        <v>804</v>
      </c>
    </row>
    <row r="107" spans="1:8" ht="15" customHeight="1" x14ac:dyDescent="0.35">
      <c r="A107" s="63" t="s">
        <v>600</v>
      </c>
      <c r="B107" s="63" t="s">
        <v>265</v>
      </c>
      <c r="C107" s="82">
        <v>203.52690000000001</v>
      </c>
      <c r="D107" s="63" t="s">
        <v>246</v>
      </c>
      <c r="E107" s="67" t="s">
        <v>805</v>
      </c>
    </row>
    <row r="108" spans="1:8" ht="15" customHeight="1" x14ac:dyDescent="0.35">
      <c r="A108" s="63" t="s">
        <v>806</v>
      </c>
      <c r="B108" s="63" t="s">
        <v>594</v>
      </c>
      <c r="C108" s="82">
        <v>0</v>
      </c>
      <c r="D108" s="63" t="s">
        <v>246</v>
      </c>
      <c r="E108" s="67" t="s">
        <v>603</v>
      </c>
    </row>
    <row r="109" spans="1:8" ht="15" customHeight="1" x14ac:dyDescent="0.35">
      <c r="A109" s="63" t="s">
        <v>807</v>
      </c>
      <c r="B109" s="63" t="s">
        <v>140</v>
      </c>
      <c r="C109" s="33">
        <v>0</v>
      </c>
      <c r="D109" s="63" t="s">
        <v>605</v>
      </c>
      <c r="E109" s="67" t="s">
        <v>808</v>
      </c>
    </row>
    <row r="110" spans="1:8" ht="15" customHeight="1" x14ac:dyDescent="0.35">
      <c r="A110" s="63" t="s">
        <v>809</v>
      </c>
      <c r="B110" s="63" t="s">
        <v>140</v>
      </c>
      <c r="C110" s="33">
        <v>-0.12</v>
      </c>
      <c r="D110" s="63" t="s">
        <v>246</v>
      </c>
      <c r="E110" s="67" t="s">
        <v>608</v>
      </c>
    </row>
    <row r="111" spans="1:8" ht="15" customHeight="1" x14ac:dyDescent="0.35">
      <c r="A111" s="63" t="s">
        <v>810</v>
      </c>
      <c r="B111" s="63" t="s">
        <v>594</v>
      </c>
      <c r="C111" s="82">
        <v>7166</v>
      </c>
      <c r="D111" s="63" t="s">
        <v>246</v>
      </c>
      <c r="E111" s="67" t="s">
        <v>610</v>
      </c>
    </row>
    <row r="112" spans="1:8" ht="15" customHeight="1" x14ac:dyDescent="0.35">
      <c r="A112" s="63" t="s">
        <v>811</v>
      </c>
      <c r="B112" s="63" t="s">
        <v>140</v>
      </c>
      <c r="C112" s="33">
        <v>918515.67</v>
      </c>
      <c r="D112" s="63" t="s">
        <v>246</v>
      </c>
      <c r="E112" s="67" t="s">
        <v>610</v>
      </c>
    </row>
    <row r="113" spans="1:8" ht="15" customHeight="1" x14ac:dyDescent="0.35">
      <c r="A113" s="63" t="s">
        <v>812</v>
      </c>
      <c r="B113" s="63" t="s">
        <v>594</v>
      </c>
      <c r="C113" s="82">
        <v>7166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918515.66</v>
      </c>
      <c r="D114" s="63" t="s">
        <v>246</v>
      </c>
      <c r="E114" s="67" t="s">
        <v>613</v>
      </c>
    </row>
    <row r="115" spans="1:8" ht="15" customHeight="1" x14ac:dyDescent="0.35">
      <c r="A115" s="63" t="s">
        <v>813</v>
      </c>
      <c r="B115" s="63" t="s">
        <v>594</v>
      </c>
      <c r="C115" s="82">
        <v>0</v>
      </c>
      <c r="D115" s="63" t="s">
        <v>246</v>
      </c>
      <c r="E115" s="67" t="s">
        <v>616</v>
      </c>
    </row>
    <row r="116" spans="1:8" ht="15" customHeight="1" x14ac:dyDescent="0.35">
      <c r="A116" s="63" t="s">
        <v>814</v>
      </c>
      <c r="B116" s="63" t="s">
        <v>140</v>
      </c>
      <c r="C116" s="33">
        <v>-0.12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594</v>
      </c>
      <c r="C117" s="82">
        <v>7166</v>
      </c>
      <c r="D117" s="63" t="s">
        <v>246</v>
      </c>
      <c r="E117" s="67" t="s">
        <v>815</v>
      </c>
    </row>
    <row r="118" spans="1:8" ht="15" customHeight="1" x14ac:dyDescent="0.35">
      <c r="A118" s="63" t="s">
        <v>53</v>
      </c>
      <c r="B118" s="63" t="s">
        <v>140</v>
      </c>
      <c r="C118" s="33">
        <v>2866400</v>
      </c>
      <c r="D118" s="63" t="s">
        <v>246</v>
      </c>
      <c r="E118" s="67" t="s">
        <v>815</v>
      </c>
    </row>
    <row r="119" spans="1:8" ht="15" customHeight="1" x14ac:dyDescent="0.35">
      <c r="A119" s="63" t="s">
        <v>620</v>
      </c>
      <c r="B119" s="63" t="s">
        <v>140</v>
      </c>
      <c r="C119" s="33">
        <v>26546.056700000001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671841.54350000003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220127.89540000001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37.469900000000003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203.52690000000001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816</v>
      </c>
      <c r="B128" s="63" t="s">
        <v>635</v>
      </c>
      <c r="C128" s="82">
        <v>580</v>
      </c>
      <c r="D128" s="63" t="s">
        <v>137</v>
      </c>
      <c r="E128" s="33">
        <v>0</v>
      </c>
      <c r="F128" s="33">
        <v>0</v>
      </c>
      <c r="G128" s="67" t="s">
        <v>797</v>
      </c>
    </row>
    <row r="129" spans="1:7" ht="15" customHeight="1" x14ac:dyDescent="0.35">
      <c r="A129" s="63" t="s">
        <v>817</v>
      </c>
      <c r="B129" s="63" t="s">
        <v>635</v>
      </c>
      <c r="C129" s="82">
        <v>71.06</v>
      </c>
      <c r="D129" s="63" t="s">
        <v>137</v>
      </c>
      <c r="E129" s="33">
        <v>0</v>
      </c>
      <c r="F129" s="33">
        <v>0</v>
      </c>
      <c r="G129" s="67" t="s">
        <v>636</v>
      </c>
    </row>
    <row r="130" spans="1:7" ht="15" customHeight="1" x14ac:dyDescent="0.35">
      <c r="A130" s="63" t="s">
        <v>799</v>
      </c>
      <c r="B130" s="63" t="s">
        <v>635</v>
      </c>
      <c r="C130" s="82">
        <v>287</v>
      </c>
      <c r="D130" s="63" t="s">
        <v>151</v>
      </c>
      <c r="E130" s="33">
        <v>0</v>
      </c>
      <c r="F130" s="33">
        <v>0</v>
      </c>
      <c r="G130" s="67" t="s">
        <v>638</v>
      </c>
    </row>
    <row r="131" spans="1:7" ht="15" customHeight="1" x14ac:dyDescent="0.35">
      <c r="A131" s="63" t="s">
        <v>637</v>
      </c>
      <c r="B131" s="63" t="s">
        <v>635</v>
      </c>
      <c r="C131" s="82">
        <v>4.0221297994314504</v>
      </c>
      <c r="D131" s="63" t="s">
        <v>327</v>
      </c>
      <c r="E131" s="33">
        <v>6600</v>
      </c>
      <c r="F131" s="33">
        <v>26546.056676247601</v>
      </c>
      <c r="G131" s="67" t="s">
        <v>800</v>
      </c>
    </row>
    <row r="132" spans="1:7" ht="15" customHeight="1" x14ac:dyDescent="0.35">
      <c r="A132" s="72" t="s">
        <v>9</v>
      </c>
      <c r="F132" s="79">
        <f>SUM(F128:F131)</f>
        <v>26546.056676247601</v>
      </c>
    </row>
    <row r="133" spans="1:7" ht="15" customHeight="1" x14ac:dyDescent="0.35">
      <c r="A133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818</v>
      </c>
    </row>
    <row r="2" spans="1:8" ht="15" customHeight="1" x14ac:dyDescent="0.35">
      <c r="A2" s="75" t="s">
        <v>819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15.099639593334054</v>
      </c>
      <c r="C7" s="64">
        <f>F31</f>
        <v>7680.3863648698143</v>
      </c>
      <c r="D7" s="65">
        <f t="shared" ref="D7:D12" si="0">IF($B$12=0,0,B7/$B$12)</f>
        <v>0.38053129942667657</v>
      </c>
    </row>
    <row r="8" spans="1:8" ht="15" customHeight="1" x14ac:dyDescent="0.35">
      <c r="A8" s="63" t="s">
        <v>530</v>
      </c>
      <c r="B8" s="73">
        <f>(E32+E33)/10^6</f>
        <v>12.042077019703235</v>
      </c>
      <c r="C8" s="64">
        <f>F32+F33</f>
        <v>6125.1663375906592</v>
      </c>
      <c r="D8" s="65">
        <f t="shared" si="0"/>
        <v>0.30347659543653954</v>
      </c>
    </row>
    <row r="9" spans="1:8" ht="15" customHeight="1" x14ac:dyDescent="0.35">
      <c r="A9" s="63" t="s">
        <v>487</v>
      </c>
      <c r="B9" s="73">
        <f>E34/10^6</f>
        <v>0.40595813440453948</v>
      </c>
      <c r="C9" s="64">
        <f>F34</f>
        <v>206.48938677748703</v>
      </c>
      <c r="D9" s="65">
        <f t="shared" si="0"/>
        <v>1.023069295415409E-2</v>
      </c>
    </row>
    <row r="10" spans="1:8" ht="15" customHeight="1" x14ac:dyDescent="0.35">
      <c r="A10" s="63" t="s">
        <v>109</v>
      </c>
      <c r="B10" s="73">
        <f>E37/10^6</f>
        <v>2.8247628118242987</v>
      </c>
      <c r="C10" s="64">
        <f>F37</f>
        <v>1436.8071270723797</v>
      </c>
      <c r="D10" s="65">
        <f t="shared" si="0"/>
        <v>7.1187835756701595E-2</v>
      </c>
    </row>
    <row r="11" spans="1:8" ht="15" customHeight="1" x14ac:dyDescent="0.35">
      <c r="A11" s="63" t="s">
        <v>110</v>
      </c>
      <c r="B11" s="73">
        <f>E41/10^6</f>
        <v>9.3079766828310806</v>
      </c>
      <c r="C11" s="64">
        <f>F41</f>
        <v>4734.4744063230319</v>
      </c>
      <c r="D11" s="65">
        <f t="shared" si="0"/>
        <v>0.23457357642592824</v>
      </c>
    </row>
    <row r="12" spans="1:8" ht="15" customHeight="1" x14ac:dyDescent="0.35">
      <c r="A12" s="72" t="s">
        <v>11</v>
      </c>
      <c r="B12" s="76">
        <f>E43/10^6</f>
        <v>39.680414242097207</v>
      </c>
      <c r="C12" s="64">
        <f>F43</f>
        <v>20183.323622633372</v>
      </c>
      <c r="D12" s="65">
        <f t="shared" si="0"/>
        <v>1</v>
      </c>
    </row>
    <row r="13" spans="1:8" ht="15" customHeight="1" x14ac:dyDescent="0.35">
      <c r="A13" s="63" t="s">
        <v>531</v>
      </c>
      <c r="B13" s="73">
        <f>B21</f>
        <v>1966</v>
      </c>
      <c r="C13" s="73">
        <f>C21</f>
        <v>24575</v>
      </c>
    </row>
    <row r="14" spans="1:8" ht="15" customHeight="1" x14ac:dyDescent="0.35">
      <c r="A14" s="63" t="s">
        <v>532</v>
      </c>
      <c r="B14" s="73">
        <f>D54/10^6</f>
        <v>39.680414242097207</v>
      </c>
      <c r="C14" s="64">
        <f>C55</f>
        <v>1614.6658898106696</v>
      </c>
    </row>
    <row r="15" spans="1:8" ht="15" customHeight="1" x14ac:dyDescent="0.35">
      <c r="A15" s="63" t="s">
        <v>533</v>
      </c>
      <c r="B15" s="73">
        <f>$C$118/10^6</f>
        <v>55.85</v>
      </c>
      <c r="C15" s="64">
        <f>IF($C$117=0,0,$C$118/$C$117)</f>
        <v>2272.6347914547305</v>
      </c>
    </row>
    <row r="16" spans="1:8" ht="15" customHeight="1" x14ac:dyDescent="0.35">
      <c r="A16" s="72" t="s">
        <v>115</v>
      </c>
      <c r="B16" s="76">
        <f>B15-B14</f>
        <v>16.169585757902794</v>
      </c>
      <c r="C16" s="77">
        <f>IF(B15=0,0,B16/B15)</f>
        <v>0.28951809772431142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535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1966</v>
      </c>
      <c r="C21" s="73">
        <f>$C$103</f>
        <v>24575</v>
      </c>
      <c r="D21" s="67"/>
    </row>
    <row r="22" spans="1:8" ht="15" customHeight="1" x14ac:dyDescent="0.35">
      <c r="A22" s="63" t="s">
        <v>537</v>
      </c>
      <c r="B22" s="73">
        <f>$C$104</f>
        <v>1.92</v>
      </c>
      <c r="C22" s="73">
        <f>$C$105</f>
        <v>24</v>
      </c>
      <c r="D22" s="67" t="s">
        <v>538</v>
      </c>
    </row>
    <row r="23" spans="1:8" ht="15" customHeight="1" x14ac:dyDescent="0.35">
      <c r="A23" s="63" t="s">
        <v>539</v>
      </c>
      <c r="B23" s="73">
        <f>SUMIF($B$128:$B$134,"FCC",$C$128:$C$134)</f>
        <v>632.5</v>
      </c>
      <c r="D23" s="67" t="s">
        <v>540</v>
      </c>
    </row>
    <row r="24" spans="1:8" ht="15" customHeight="1" x14ac:dyDescent="0.35">
      <c r="A24" s="63" t="s">
        <v>541</v>
      </c>
      <c r="B24" s="73">
        <f>SUMIF($B$128:$B$134,"KW2",$C$128:$C$134)</f>
        <v>1231.63987138264</v>
      </c>
      <c r="D24" s="67" t="s">
        <v>540</v>
      </c>
    </row>
    <row r="25" spans="1:8" ht="15" customHeight="1" x14ac:dyDescent="0.35">
      <c r="A25" s="63" t="s">
        <v>542</v>
      </c>
      <c r="B25" s="73">
        <f>SUMIF($B$128:$B$134,"KW2UBI",$C$128:$C$134)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1.0546418915131137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632.5</v>
      </c>
      <c r="C31" s="63" t="s">
        <v>137</v>
      </c>
      <c r="D31" s="47">
        <f>FCC!$D$89</f>
        <v>23872.94797365068</v>
      </c>
      <c r="E31" s="64">
        <f>B31*D31</f>
        <v>15099639.593334055</v>
      </c>
      <c r="F31" s="64">
        <f>IF($B$21=0,0,E31/$B$21)</f>
        <v>7680.3863648698143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1231.63987138264</v>
      </c>
      <c r="C32" s="63" t="s">
        <v>137</v>
      </c>
      <c r="D32" s="47">
        <f>FCC!$C$209</f>
        <v>9777.2711808889308</v>
      </c>
      <c r="E32" s="64">
        <f>B32*D32</f>
        <v>12042077.019703235</v>
      </c>
      <c r="F32" s="64">
        <f>IF($B$21=0,0,E32/$B$21)</f>
        <v>6125.1663375906592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SUMIF($B$128:$B$134,"EXT",$F$128:$F$134)</f>
        <v>405958.13440453948</v>
      </c>
      <c r="F34" s="64">
        <f>IF($B$21=0,0,E34/$B$21)</f>
        <v>206.48938677748703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27547674.747441828</v>
      </c>
      <c r="F35" s="64">
        <f>IF($B$21=0,0,E35/$B$21)</f>
        <v>14012.042089237959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130.07560000000001</v>
      </c>
      <c r="C37" s="63" t="s">
        <v>262</v>
      </c>
      <c r="D37" s="80">
        <f>IF('LAIN-LAIN'!$H$43=0,0,B37/'LAIN-LAIN'!$H$43)</f>
        <v>4.8370527801369502E-2</v>
      </c>
      <c r="E37" s="47">
        <f>D37*'BIAYA BERSAMA'!$F$115</f>
        <v>2824762.8118242985</v>
      </c>
      <c r="F37" s="64">
        <f t="shared" ref="F37:F43" si="1">IF($B$21=0,0,E37/$B$21)</f>
        <v>1436.8071270723797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130.07560000000001</v>
      </c>
      <c r="C38" s="63" t="s">
        <v>262</v>
      </c>
      <c r="D38" s="80">
        <f>IF('LAIN-LAIN'!$H$43=0,0,B38/'LAIN-LAIN'!$H$43)</f>
        <v>4.8370527801369502E-2</v>
      </c>
      <c r="E38" s="47">
        <f>D38*'BIAYA BERSAMA'!$F$117</f>
        <v>2525337.9510635319</v>
      </c>
      <c r="F38" s="64">
        <f t="shared" si="1"/>
        <v>1284.5055702256011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809.52049999999997</v>
      </c>
      <c r="C39" s="63" t="s">
        <v>265</v>
      </c>
      <c r="D39" s="80">
        <f>IF('LAIN-LAIN'!$I$43=0,0,B39/'LAIN-LAIN'!$I$43)</f>
        <v>8.0007487997302867E-2</v>
      </c>
      <c r="E39" s="47">
        <f>D39*'BIAYA BERSAMA'!$F$118+IF('BIAYA BERSAMA'!$F$172=0,0,B39/'BIAYA BERSAMA'!$F$172)*'BIAYA BERSAMA'!$F$176</f>
        <v>6758255.8434277913</v>
      </c>
      <c r="F39" s="64">
        <f t="shared" si="1"/>
        <v>3437.5665531168825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405958.13440453948</v>
      </c>
      <c r="C40" s="63" t="s">
        <v>140</v>
      </c>
      <c r="D40" s="80">
        <f>IF('LAIN-LAIN'!$G$43=0,0,B40/'LAIN-LAIN'!$G$43)</f>
        <v>5.2946260036874221E-3</v>
      </c>
      <c r="E40" s="47">
        <f>D40*'BIAYA BERSAMA'!$F$120</f>
        <v>24382.888339757435</v>
      </c>
      <c r="F40" s="64">
        <f t="shared" si="1"/>
        <v>12.402282980548033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9307976.6828310806</v>
      </c>
      <c r="F41" s="64">
        <f t="shared" si="1"/>
        <v>4734.4744063230319</v>
      </c>
    </row>
    <row r="42" spans="1:8" ht="15" customHeight="1" x14ac:dyDescent="0.35">
      <c r="A42" s="72" t="s">
        <v>164</v>
      </c>
      <c r="E42" s="79">
        <f>E37+E41</f>
        <v>12132739.494655378</v>
      </c>
      <c r="F42" s="64">
        <f t="shared" si="1"/>
        <v>6171.2815333954113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39680414.242097206</v>
      </c>
      <c r="F43" s="81">
        <f t="shared" si="1"/>
        <v>20183.323622633372</v>
      </c>
      <c r="G43" s="29"/>
    </row>
    <row r="45" spans="1:8" ht="15" customHeight="1" x14ac:dyDescent="0.35">
      <c r="A45" s="62" t="s">
        <v>820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562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0</v>
      </c>
      <c r="C47" s="64"/>
      <c r="D47" s="64">
        <f>$C$109</f>
        <v>0</v>
      </c>
      <c r="E47" s="73">
        <f>$C$108</f>
        <v>0</v>
      </c>
      <c r="F47" s="64">
        <f>$C$110</f>
        <v>-0.42</v>
      </c>
      <c r="G47" s="64">
        <f>D47-F47</f>
        <v>0.42</v>
      </c>
    </row>
    <row r="48" spans="1:8" ht="15" customHeight="1" x14ac:dyDescent="0.35">
      <c r="A48" s="63" t="s">
        <v>180</v>
      </c>
      <c r="B48" s="73">
        <f>C21</f>
        <v>24575</v>
      </c>
      <c r="C48" s="64"/>
      <c r="D48" s="64">
        <f>E43</f>
        <v>39680414.242097206</v>
      </c>
      <c r="E48" s="73">
        <f>$C$111</f>
        <v>24575</v>
      </c>
      <c r="F48" s="64">
        <f>$C$112</f>
        <v>18102878.850000001</v>
      </c>
      <c r="G48" s="64">
        <f>D48-F48</f>
        <v>21577535.392097205</v>
      </c>
    </row>
    <row r="49" spans="1:8" ht="15" customHeight="1" x14ac:dyDescent="0.35">
      <c r="A49" s="63" t="s">
        <v>181</v>
      </c>
      <c r="B49" s="73">
        <f>B47+B48</f>
        <v>24575</v>
      </c>
      <c r="C49" s="64"/>
      <c r="D49" s="64">
        <f>D47+D48</f>
        <v>39680414.242097206</v>
      </c>
      <c r="E49" s="73">
        <f>E47+E48</f>
        <v>24575</v>
      </c>
      <c r="F49" s="64">
        <f>F47+F48</f>
        <v>18102878.43</v>
      </c>
      <c r="G49" s="64">
        <f>D49-F49</f>
        <v>21577535.812097207</v>
      </c>
    </row>
    <row r="50" spans="1:8" ht="15" customHeight="1" x14ac:dyDescent="0.35">
      <c r="A50" s="63" t="s">
        <v>568</v>
      </c>
      <c r="B50" s="73"/>
      <c r="C50" s="64">
        <f>IF(B49=0,0,D49/B49)</f>
        <v>1614.6658898106696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24575</v>
      </c>
      <c r="C51" s="64"/>
      <c r="D51" s="64">
        <f>B51*$C$50</f>
        <v>39680414.242097206</v>
      </c>
      <c r="E51" s="73">
        <f>$C$113</f>
        <v>24575</v>
      </c>
      <c r="F51" s="64">
        <f>$C$114</f>
        <v>18102878.850000001</v>
      </c>
      <c r="G51" s="64">
        <f>D51-F51</f>
        <v>21577535.392097205</v>
      </c>
    </row>
    <row r="52" spans="1:8" ht="15" customHeight="1" x14ac:dyDescent="0.35">
      <c r="A52" s="63" t="s">
        <v>570</v>
      </c>
      <c r="B52" s="73">
        <f>$C$115</f>
        <v>0</v>
      </c>
      <c r="C52" s="64"/>
      <c r="D52" s="64">
        <f>B52*$C$50</f>
        <v>0</v>
      </c>
      <c r="E52" s="73">
        <f>$C$115</f>
        <v>0</v>
      </c>
      <c r="F52" s="64">
        <f>$C$116</f>
        <v>-0.42</v>
      </c>
      <c r="G52" s="64">
        <f>D52-F52</f>
        <v>0.42</v>
      </c>
    </row>
    <row r="53" spans="1:8" ht="15" customHeight="1" x14ac:dyDescent="0.35">
      <c r="A53" s="63" t="s">
        <v>571</v>
      </c>
      <c r="B53" s="73">
        <f>B49-B51-B52</f>
        <v>0</v>
      </c>
      <c r="C53" s="64"/>
      <c r="D53" s="64">
        <f>B53*$C$50</f>
        <v>0</v>
      </c>
      <c r="E53" s="73">
        <f>E49-E51-E52</f>
        <v>0</v>
      </c>
      <c r="F53" s="64">
        <f>F49-F51-F52</f>
        <v>-1.7881393588048411E-9</v>
      </c>
      <c r="G53" s="64">
        <f>D53-F53</f>
        <v>1.7881393588048411E-9</v>
      </c>
    </row>
    <row r="54" spans="1:8" ht="15" customHeight="1" x14ac:dyDescent="0.35">
      <c r="A54" s="68" t="s">
        <v>572</v>
      </c>
      <c r="B54" s="29"/>
      <c r="C54" s="29"/>
      <c r="D54" s="70">
        <f>D51+D53</f>
        <v>39680414.242097206</v>
      </c>
      <c r="E54" s="29"/>
      <c r="F54" s="81">
        <f>F51+F53</f>
        <v>18102878.850000001</v>
      </c>
      <c r="G54" s="81">
        <f>D54-F54</f>
        <v>21577535.392097205</v>
      </c>
    </row>
    <row r="55" spans="1:8" ht="15" customHeight="1" x14ac:dyDescent="0.35">
      <c r="A55" s="63" t="s">
        <v>573</v>
      </c>
      <c r="C55" s="64">
        <f>IF(B51=0,0,D54/B51)</f>
        <v>1614.6658898106696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0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13997464.798599999</v>
      </c>
      <c r="C61" s="64">
        <f>E35</f>
        <v>27547674.747441828</v>
      </c>
      <c r="D61" s="64">
        <f t="shared" ref="D61:D66" si="2">C61-B61</f>
        <v>13550209.948841829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3606680.0547000002</v>
      </c>
      <c r="C62" s="64">
        <f>E37+E38</f>
        <v>5350100.7628878299</v>
      </c>
      <c r="D62" s="64">
        <f t="shared" si="2"/>
        <v>1743420.7081878297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875550.12679999997</v>
      </c>
      <c r="C63" s="64">
        <f>E39+E40</f>
        <v>6782638.7317675482</v>
      </c>
      <c r="D63" s="64">
        <f t="shared" si="2"/>
        <v>5907088.6049675485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18479694.980099998</v>
      </c>
      <c r="C64" s="64">
        <f>SUM(C61:C63)</f>
        <v>39680414.242097206</v>
      </c>
      <c r="D64" s="64">
        <f t="shared" si="2"/>
        <v>21200719.261997208</v>
      </c>
      <c r="E64" s="67"/>
    </row>
    <row r="65" spans="1:8" ht="15" customHeight="1" x14ac:dyDescent="0.35">
      <c r="A65" s="63" t="s">
        <v>584</v>
      </c>
      <c r="B65" s="73">
        <f>$C$122</f>
        <v>201.1514</v>
      </c>
      <c r="C65" s="73">
        <f>$C$106</f>
        <v>130.07560000000001</v>
      </c>
      <c r="D65" s="73">
        <f t="shared" si="2"/>
        <v>-71.075799999999987</v>
      </c>
    </row>
    <row r="66" spans="1:8" ht="15" customHeight="1" x14ac:dyDescent="0.35">
      <c r="A66" s="63" t="s">
        <v>585</v>
      </c>
      <c r="B66" s="73">
        <f>$C$123</f>
        <v>809.52049999999997</v>
      </c>
      <c r="C66" s="73">
        <f>$C$107</f>
        <v>809.52049999999997</v>
      </c>
      <c r="D66" s="73">
        <f t="shared" si="2"/>
        <v>0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E34-SUMIF($B$128:$B$134,"EXT",$F$128:$F$134)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COUNTA($A$128:$A$134)-COUNTIF($B$128:$B$134,"FCC")-COUNTIF($B$128:$B$134,"KW2")-COUNTIF($B$128:$B$134,"KW2UBI")-COUNTIF($B$128:$B$134,"EXT")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0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1966</v>
      </c>
      <c r="D102" s="63" t="s">
        <v>246</v>
      </c>
      <c r="E102" s="67" t="s">
        <v>593</v>
      </c>
    </row>
    <row r="103" spans="1:8" ht="15" customHeight="1" x14ac:dyDescent="0.35">
      <c r="A103" s="63" t="s">
        <v>536</v>
      </c>
      <c r="B103" s="63" t="s">
        <v>594</v>
      </c>
      <c r="C103" s="82">
        <v>24575</v>
      </c>
      <c r="D103" s="63" t="s">
        <v>246</v>
      </c>
      <c r="E103" s="67" t="s">
        <v>595</v>
      </c>
    </row>
    <row r="104" spans="1:8" ht="15" customHeight="1" x14ac:dyDescent="0.35">
      <c r="A104" s="63" t="s">
        <v>537</v>
      </c>
      <c r="B104" s="63" t="s">
        <v>137</v>
      </c>
      <c r="C104" s="82">
        <v>1.92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594</v>
      </c>
      <c r="C105" s="82">
        <v>24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130.07560000000001</v>
      </c>
      <c r="D106" s="63" t="s">
        <v>246</v>
      </c>
      <c r="E106" s="67" t="s">
        <v>821</v>
      </c>
    </row>
    <row r="107" spans="1:8" ht="15" customHeight="1" x14ac:dyDescent="0.35">
      <c r="A107" s="63" t="s">
        <v>600</v>
      </c>
      <c r="B107" s="63" t="s">
        <v>265</v>
      </c>
      <c r="C107" s="82">
        <v>809.52049999999997</v>
      </c>
      <c r="D107" s="63" t="s">
        <v>246</v>
      </c>
      <c r="E107" s="67" t="s">
        <v>822</v>
      </c>
    </row>
    <row r="108" spans="1:8" ht="15" customHeight="1" x14ac:dyDescent="0.35">
      <c r="A108" s="63" t="s">
        <v>823</v>
      </c>
      <c r="B108" s="63" t="s">
        <v>594</v>
      </c>
      <c r="C108" s="82">
        <v>0</v>
      </c>
      <c r="D108" s="63" t="s">
        <v>246</v>
      </c>
      <c r="E108" s="67" t="s">
        <v>603</v>
      </c>
    </row>
    <row r="109" spans="1:8" ht="15" customHeight="1" x14ac:dyDescent="0.35">
      <c r="A109" s="63" t="s">
        <v>824</v>
      </c>
      <c r="B109" s="63" t="s">
        <v>140</v>
      </c>
      <c r="C109" s="33">
        <v>0</v>
      </c>
      <c r="D109" s="63" t="s">
        <v>605</v>
      </c>
      <c r="E109" s="67" t="s">
        <v>825</v>
      </c>
    </row>
    <row r="110" spans="1:8" ht="15" customHeight="1" x14ac:dyDescent="0.35">
      <c r="A110" s="63" t="s">
        <v>826</v>
      </c>
      <c r="B110" s="63" t="s">
        <v>140</v>
      </c>
      <c r="C110" s="33">
        <v>-0.42</v>
      </c>
      <c r="D110" s="63" t="s">
        <v>246</v>
      </c>
      <c r="E110" s="67" t="s">
        <v>608</v>
      </c>
    </row>
    <row r="111" spans="1:8" ht="15" customHeight="1" x14ac:dyDescent="0.35">
      <c r="A111" s="63" t="s">
        <v>827</v>
      </c>
      <c r="B111" s="63" t="s">
        <v>594</v>
      </c>
      <c r="C111" s="82">
        <v>24575</v>
      </c>
      <c r="D111" s="63" t="s">
        <v>246</v>
      </c>
      <c r="E111" s="67" t="s">
        <v>610</v>
      </c>
    </row>
    <row r="112" spans="1:8" ht="15" customHeight="1" x14ac:dyDescent="0.35">
      <c r="A112" s="63" t="s">
        <v>828</v>
      </c>
      <c r="B112" s="63" t="s">
        <v>140</v>
      </c>
      <c r="C112" s="33">
        <v>18102878.850000001</v>
      </c>
      <c r="D112" s="63" t="s">
        <v>246</v>
      </c>
      <c r="E112" s="67" t="s">
        <v>610</v>
      </c>
    </row>
    <row r="113" spans="1:8" ht="15" customHeight="1" x14ac:dyDescent="0.35">
      <c r="A113" s="63" t="s">
        <v>829</v>
      </c>
      <c r="B113" s="63" t="s">
        <v>594</v>
      </c>
      <c r="C113" s="82">
        <v>24575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18102878.850000001</v>
      </c>
      <c r="D114" s="63" t="s">
        <v>246</v>
      </c>
      <c r="E114" s="67" t="s">
        <v>613</v>
      </c>
    </row>
    <row r="115" spans="1:8" ht="15" customHeight="1" x14ac:dyDescent="0.35">
      <c r="A115" s="63" t="s">
        <v>830</v>
      </c>
      <c r="B115" s="63" t="s">
        <v>594</v>
      </c>
      <c r="C115" s="82">
        <v>0</v>
      </c>
      <c r="D115" s="63" t="s">
        <v>246</v>
      </c>
      <c r="E115" s="67" t="s">
        <v>616</v>
      </c>
    </row>
    <row r="116" spans="1:8" ht="15" customHeight="1" x14ac:dyDescent="0.35">
      <c r="A116" s="63" t="s">
        <v>831</v>
      </c>
      <c r="B116" s="63" t="s">
        <v>140</v>
      </c>
      <c r="C116" s="33">
        <v>-0.42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594</v>
      </c>
      <c r="C117" s="82">
        <v>24575</v>
      </c>
      <c r="D117" s="63" t="s">
        <v>246</v>
      </c>
      <c r="E117" s="67" t="s">
        <v>832</v>
      </c>
    </row>
    <row r="118" spans="1:8" ht="15" customHeight="1" x14ac:dyDescent="0.35">
      <c r="A118" s="63" t="s">
        <v>53</v>
      </c>
      <c r="B118" s="63" t="s">
        <v>140</v>
      </c>
      <c r="C118" s="33">
        <v>55850000</v>
      </c>
      <c r="D118" s="63" t="s">
        <v>246</v>
      </c>
      <c r="E118" s="67" t="s">
        <v>832</v>
      </c>
    </row>
    <row r="119" spans="1:8" ht="15" customHeight="1" x14ac:dyDescent="0.35">
      <c r="A119" s="63" t="s">
        <v>620</v>
      </c>
      <c r="B119" s="63" t="s">
        <v>140</v>
      </c>
      <c r="C119" s="33">
        <v>13997464.798599999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3606680.0547000002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875550.12679999997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201.1514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809.52049999999997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833</v>
      </c>
      <c r="B128" s="63" t="s">
        <v>737</v>
      </c>
      <c r="C128" s="82">
        <v>1231.63987138264</v>
      </c>
      <c r="D128" s="63" t="s">
        <v>137</v>
      </c>
      <c r="E128" s="33">
        <v>0</v>
      </c>
      <c r="F128" s="33">
        <v>0</v>
      </c>
      <c r="G128" s="67" t="s">
        <v>834</v>
      </c>
    </row>
    <row r="129" spans="1:7" ht="15" customHeight="1" x14ac:dyDescent="0.35">
      <c r="A129" s="63" t="s">
        <v>835</v>
      </c>
      <c r="B129" s="63" t="s">
        <v>5</v>
      </c>
      <c r="C129" s="82">
        <v>632.5</v>
      </c>
      <c r="D129" s="63" t="s">
        <v>137</v>
      </c>
      <c r="E129" s="33">
        <v>21488.548085640501</v>
      </c>
      <c r="F129" s="33">
        <v>13591506.6641676</v>
      </c>
      <c r="G129" s="67" t="s">
        <v>836</v>
      </c>
    </row>
    <row r="130" spans="1:7" ht="15" customHeight="1" x14ac:dyDescent="0.35">
      <c r="A130" s="63" t="s">
        <v>837</v>
      </c>
      <c r="B130" s="63" t="s">
        <v>635</v>
      </c>
      <c r="C130" s="82">
        <v>146.1</v>
      </c>
      <c r="D130" s="63" t="s">
        <v>137</v>
      </c>
      <c r="E130" s="33">
        <v>0</v>
      </c>
      <c r="F130" s="33">
        <v>0</v>
      </c>
      <c r="G130" s="67" t="s">
        <v>638</v>
      </c>
    </row>
    <row r="131" spans="1:7" ht="15" customHeight="1" x14ac:dyDescent="0.35">
      <c r="A131" s="63" t="s">
        <v>838</v>
      </c>
      <c r="B131" s="63" t="s">
        <v>635</v>
      </c>
      <c r="C131" s="82">
        <v>197.01</v>
      </c>
      <c r="D131" s="63" t="s">
        <v>137</v>
      </c>
      <c r="E131" s="33">
        <v>0</v>
      </c>
      <c r="F131" s="33">
        <v>0</v>
      </c>
      <c r="G131" s="67" t="s">
        <v>800</v>
      </c>
    </row>
    <row r="132" spans="1:7" ht="15" customHeight="1" x14ac:dyDescent="0.35">
      <c r="A132" s="63" t="s">
        <v>799</v>
      </c>
      <c r="B132" s="63" t="s">
        <v>635</v>
      </c>
      <c r="C132" s="82">
        <v>985</v>
      </c>
      <c r="D132" s="63" t="s">
        <v>151</v>
      </c>
      <c r="E132" s="33">
        <v>0</v>
      </c>
      <c r="F132" s="33">
        <v>0</v>
      </c>
      <c r="G132" s="67" t="s">
        <v>839</v>
      </c>
    </row>
    <row r="133" spans="1:7" ht="15" customHeight="1" x14ac:dyDescent="0.35">
      <c r="A133" s="63" t="s">
        <v>637</v>
      </c>
      <c r="B133" s="63" t="s">
        <v>635</v>
      </c>
      <c r="C133" s="82">
        <v>13.733325801722501</v>
      </c>
      <c r="D133" s="63" t="s">
        <v>327</v>
      </c>
      <c r="E133" s="33">
        <v>6600</v>
      </c>
      <c r="F133" s="33">
        <v>90639.950291368499</v>
      </c>
      <c r="G133" s="67" t="s">
        <v>840</v>
      </c>
    </row>
    <row r="134" spans="1:7" ht="15" customHeight="1" x14ac:dyDescent="0.35">
      <c r="A134" s="63" t="s">
        <v>106</v>
      </c>
      <c r="B134" s="63" t="s">
        <v>635</v>
      </c>
      <c r="C134" s="82">
        <v>31.084263959390899</v>
      </c>
      <c r="D134" s="63" t="s">
        <v>841</v>
      </c>
      <c r="E134" s="33">
        <v>10143.981035713399</v>
      </c>
      <c r="F134" s="33">
        <v>315318.18411317101</v>
      </c>
      <c r="G134" s="67" t="s">
        <v>842</v>
      </c>
    </row>
    <row r="135" spans="1:7" ht="15" customHeight="1" x14ac:dyDescent="0.35">
      <c r="A135" s="72" t="s">
        <v>9</v>
      </c>
      <c r="F135" s="79">
        <f>SUM(F128:F134)</f>
        <v>13997464.79857214</v>
      </c>
    </row>
    <row r="136" spans="1:7" ht="15" customHeight="1" x14ac:dyDescent="0.35">
      <c r="A136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843</v>
      </c>
    </row>
    <row r="2" spans="1:8" ht="15" customHeight="1" x14ac:dyDescent="0.35">
      <c r="A2" s="75" t="s">
        <v>844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35.582628954726339</v>
      </c>
      <c r="C7" s="64">
        <f>F31</f>
        <v>17365.512120176441</v>
      </c>
      <c r="D7" s="65">
        <f t="shared" ref="D7:D12" si="0">IF($B$12=0,0,B7/$B$12)</f>
        <v>0.6955283271822682</v>
      </c>
    </row>
    <row r="8" spans="1:8" ht="15" customHeight="1" x14ac:dyDescent="0.35">
      <c r="A8" s="63" t="s">
        <v>530</v>
      </c>
      <c r="B8" s="73">
        <f>(E32+E33)/10^6</f>
        <v>3.8731826671559966</v>
      </c>
      <c r="C8" s="64">
        <f>F32+F33</f>
        <v>1890.2425853843733</v>
      </c>
      <c r="D8" s="65">
        <f t="shared" si="0"/>
        <v>7.5708522402489375E-2</v>
      </c>
    </row>
    <row r="9" spans="1:8" ht="15" customHeight="1" x14ac:dyDescent="0.35">
      <c r="A9" s="63" t="s">
        <v>487</v>
      </c>
      <c r="B9" s="73">
        <f>E34/10^6</f>
        <v>0.1989829071135982</v>
      </c>
      <c r="C9" s="64">
        <f>F34</f>
        <v>97.110308785381548</v>
      </c>
      <c r="D9" s="65">
        <f t="shared" si="0"/>
        <v>3.8894891296165053E-3</v>
      </c>
    </row>
    <row r="10" spans="1:8" ht="15" customHeight="1" x14ac:dyDescent="0.35">
      <c r="A10" s="63" t="s">
        <v>109</v>
      </c>
      <c r="B10" s="73">
        <f>E37/10^6</f>
        <v>2.7704220747142791</v>
      </c>
      <c r="C10" s="64">
        <f>F37</f>
        <v>1352.058561430855</v>
      </c>
      <c r="D10" s="65">
        <f t="shared" si="0"/>
        <v>5.4153026007902817E-2</v>
      </c>
    </row>
    <row r="11" spans="1:8" ht="15" customHeight="1" x14ac:dyDescent="0.35">
      <c r="A11" s="63" t="s">
        <v>110</v>
      </c>
      <c r="B11" s="73">
        <f>E41/10^6</f>
        <v>8.7339203632614559</v>
      </c>
      <c r="C11" s="64">
        <f>F41</f>
        <v>4262.4450295072111</v>
      </c>
      <c r="D11" s="65">
        <f t="shared" si="0"/>
        <v>0.17072063527772319</v>
      </c>
    </row>
    <row r="12" spans="1:8" ht="15" customHeight="1" x14ac:dyDescent="0.35">
      <c r="A12" s="72" t="s">
        <v>11</v>
      </c>
      <c r="B12" s="76">
        <f>E43/10^6</f>
        <v>51.159136966971666</v>
      </c>
      <c r="C12" s="64">
        <f>F43</f>
        <v>24967.368605284264</v>
      </c>
      <c r="D12" s="65">
        <f t="shared" si="0"/>
        <v>1</v>
      </c>
    </row>
    <row r="13" spans="1:8" ht="15" customHeight="1" x14ac:dyDescent="0.35">
      <c r="A13" s="63" t="s">
        <v>531</v>
      </c>
      <c r="B13" s="73">
        <f>B21</f>
        <v>2049.04</v>
      </c>
      <c r="C13" s="73">
        <f>C21</f>
        <v>25613</v>
      </c>
    </row>
    <row r="14" spans="1:8" ht="15" customHeight="1" x14ac:dyDescent="0.35">
      <c r="A14" s="63" t="s">
        <v>532</v>
      </c>
      <c r="B14" s="73">
        <f>D54/10^6</f>
        <v>51.159136966971666</v>
      </c>
      <c r="C14" s="64">
        <f>C55</f>
        <v>1997.3894884227411</v>
      </c>
    </row>
    <row r="15" spans="1:8" ht="15" customHeight="1" x14ac:dyDescent="0.35">
      <c r="A15" s="63" t="s">
        <v>533</v>
      </c>
      <c r="B15" s="73">
        <f>$C$118/10^6</f>
        <v>67.481999999999999</v>
      </c>
      <c r="C15" s="64">
        <f>IF($C$117=0,0,$C$118/$C$117)</f>
        <v>2634.6777027290827</v>
      </c>
    </row>
    <row r="16" spans="1:8" ht="15" customHeight="1" x14ac:dyDescent="0.35">
      <c r="A16" s="72" t="s">
        <v>115</v>
      </c>
      <c r="B16" s="76">
        <f>B15-B14</f>
        <v>16.322863033028334</v>
      </c>
      <c r="C16" s="77">
        <f>IF(B15=0,0,B16/B15)</f>
        <v>0.24188469566741255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535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2049.04</v>
      </c>
      <c r="C21" s="73">
        <f>$C$103</f>
        <v>25613</v>
      </c>
      <c r="D21" s="67"/>
    </row>
    <row r="22" spans="1:8" ht="15" customHeight="1" x14ac:dyDescent="0.35">
      <c r="A22" s="63" t="s">
        <v>537</v>
      </c>
      <c r="B22" s="73">
        <f>$C$104</f>
        <v>1.92</v>
      </c>
      <c r="C22" s="73">
        <f>$C$105</f>
        <v>24</v>
      </c>
      <c r="D22" s="67" t="s">
        <v>538</v>
      </c>
    </row>
    <row r="23" spans="1:8" ht="15" customHeight="1" x14ac:dyDescent="0.35">
      <c r="A23" s="63" t="s">
        <v>539</v>
      </c>
      <c r="B23" s="73">
        <f>SUMIF($B$128:$B$134,"FCC",$C$128:$C$134)</f>
        <v>1490.5</v>
      </c>
      <c r="D23" s="67" t="s">
        <v>540</v>
      </c>
    </row>
    <row r="24" spans="1:8" ht="15" customHeight="1" x14ac:dyDescent="0.35">
      <c r="A24" s="63" t="s">
        <v>541</v>
      </c>
      <c r="B24" s="73">
        <f>SUMIF($B$128:$B$134,"KW2",$C$128:$C$134)</f>
        <v>396.14147909967801</v>
      </c>
      <c r="D24" s="67" t="s">
        <v>540</v>
      </c>
    </row>
    <row r="25" spans="1:8" ht="15" customHeight="1" x14ac:dyDescent="0.35">
      <c r="A25" s="63" t="s">
        <v>542</v>
      </c>
      <c r="B25" s="73">
        <f>SUMIF($B$128:$B$134,"KW2UBI",$C$128:$C$134)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1.0860781037093596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1490.5</v>
      </c>
      <c r="C31" s="63" t="s">
        <v>137</v>
      </c>
      <c r="D31" s="47">
        <f>FCC!$D$89</f>
        <v>23872.94797365068</v>
      </c>
      <c r="E31" s="64">
        <f>B31*D31</f>
        <v>35582628.954726338</v>
      </c>
      <c r="F31" s="64">
        <f>IF($B$21=0,0,E31/$B$21)</f>
        <v>17365.512120176441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396.14147909967801</v>
      </c>
      <c r="C32" s="63" t="s">
        <v>137</v>
      </c>
      <c r="D32" s="47">
        <f>FCC!$C$209</f>
        <v>9777.2711808889308</v>
      </c>
      <c r="E32" s="64">
        <f>B32*D32</f>
        <v>3873182.6671559964</v>
      </c>
      <c r="F32" s="64">
        <f>IF($B$21=0,0,E32/$B$21)</f>
        <v>1890.2425853843733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SUMIF($B$128:$B$134,"EXT",$F$128:$F$134)</f>
        <v>198982.90711359819</v>
      </c>
      <c r="F34" s="64">
        <f>IF($B$21=0,0,E34/$B$21)</f>
        <v>97.110308785381548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39654794.528995931</v>
      </c>
      <c r="F35" s="64">
        <f>IF($B$21=0,0,E35/$B$21)</f>
        <v>19352.865014346196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127.5733</v>
      </c>
      <c r="C37" s="63" t="s">
        <v>262</v>
      </c>
      <c r="D37" s="80">
        <f>IF('LAIN-LAIN'!$H$43=0,0,B37/'LAIN-LAIN'!$H$43)</f>
        <v>4.7440010688879784E-2</v>
      </c>
      <c r="E37" s="47">
        <f>D37*'BIAYA BERSAMA'!$F$115</f>
        <v>2770422.0747142793</v>
      </c>
      <c r="F37" s="64">
        <f t="shared" ref="F37:F43" si="1">IF($B$21=0,0,E37/$B$21)</f>
        <v>1352.058561430855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127.5733</v>
      </c>
      <c r="C38" s="63" t="s">
        <v>262</v>
      </c>
      <c r="D38" s="80">
        <f>IF('LAIN-LAIN'!$H$43=0,0,B38/'LAIN-LAIN'!$H$43)</f>
        <v>4.7440010688879784E-2</v>
      </c>
      <c r="E38" s="47">
        <f>D38*'BIAYA BERSAMA'!$F$117</f>
        <v>2476757.3321392578</v>
      </c>
      <c r="F38" s="64">
        <f t="shared" si="1"/>
        <v>1208.7403526233054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748.06679999999994</v>
      </c>
      <c r="C39" s="63" t="s">
        <v>265</v>
      </c>
      <c r="D39" s="80">
        <f>IF('LAIN-LAIN'!$I$43=0,0,B39/'LAIN-LAIN'!$I$43)</f>
        <v>7.3933823198029894E-2</v>
      </c>
      <c r="E39" s="47">
        <f>D39*'BIAYA BERSAMA'!$F$118+IF('BIAYA BERSAMA'!$F$172=0,0,B39/'BIAYA BERSAMA'!$F$172)*'BIAYA BERSAMA'!$F$176</f>
        <v>6245211.6065922081</v>
      </c>
      <c r="F39" s="64">
        <f t="shared" si="1"/>
        <v>3047.8719822903449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198982.90711359819</v>
      </c>
      <c r="C40" s="63" t="s">
        <v>140</v>
      </c>
      <c r="D40" s="80">
        <f>IF('LAIN-LAIN'!$G$43=0,0,B40/'LAIN-LAIN'!$G$43)</f>
        <v>2.5951939005688638E-3</v>
      </c>
      <c r="E40" s="47">
        <f>D40*'BIAYA BERSAMA'!$F$120</f>
        <v>11951.424529989506</v>
      </c>
      <c r="F40" s="64">
        <f t="shared" si="1"/>
        <v>5.832694593560646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8733920.3632614557</v>
      </c>
      <c r="F41" s="64">
        <f t="shared" si="1"/>
        <v>4262.4450295072111</v>
      </c>
    </row>
    <row r="42" spans="1:8" ht="15" customHeight="1" x14ac:dyDescent="0.35">
      <c r="A42" s="72" t="s">
        <v>164</v>
      </c>
      <c r="E42" s="79">
        <f>E37+E41</f>
        <v>11504342.437975734</v>
      </c>
      <c r="F42" s="64">
        <f t="shared" si="1"/>
        <v>5614.5035909380658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51159136.966971666</v>
      </c>
      <c r="F43" s="81">
        <f t="shared" si="1"/>
        <v>24967.368605284264</v>
      </c>
      <c r="G43" s="29"/>
    </row>
    <row r="45" spans="1:8" ht="15" customHeight="1" x14ac:dyDescent="0.35">
      <c r="A45" s="62" t="s">
        <v>845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562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0</v>
      </c>
      <c r="C47" s="64"/>
      <c r="D47" s="64">
        <f>$C$109</f>
        <v>0</v>
      </c>
      <c r="E47" s="73">
        <f>$C$108</f>
        <v>0</v>
      </c>
      <c r="F47" s="64">
        <f>$C$110</f>
        <v>-0.44</v>
      </c>
      <c r="G47" s="64">
        <f>D47-F47</f>
        <v>0.44</v>
      </c>
    </row>
    <row r="48" spans="1:8" ht="15" customHeight="1" x14ac:dyDescent="0.35">
      <c r="A48" s="63" t="s">
        <v>180</v>
      </c>
      <c r="B48" s="73">
        <f>C21</f>
        <v>25613</v>
      </c>
      <c r="C48" s="64"/>
      <c r="D48" s="64">
        <f>E43</f>
        <v>51159136.966971666</v>
      </c>
      <c r="E48" s="73">
        <f>$C$111</f>
        <v>25613</v>
      </c>
      <c r="F48" s="64">
        <f>$C$112</f>
        <v>35155435.630000003</v>
      </c>
      <c r="G48" s="64">
        <f>D48-F48</f>
        <v>16003701.336971663</v>
      </c>
    </row>
    <row r="49" spans="1:8" ht="15" customHeight="1" x14ac:dyDescent="0.35">
      <c r="A49" s="63" t="s">
        <v>181</v>
      </c>
      <c r="B49" s="73">
        <f>B47+B48</f>
        <v>25613</v>
      </c>
      <c r="C49" s="64"/>
      <c r="D49" s="64">
        <f>D47+D48</f>
        <v>51159136.966971666</v>
      </c>
      <c r="E49" s="73">
        <f>E47+E48</f>
        <v>25613</v>
      </c>
      <c r="F49" s="64">
        <f>F47+F48</f>
        <v>35155435.190000005</v>
      </c>
      <c r="G49" s="64">
        <f>D49-F49</f>
        <v>16003701.776971661</v>
      </c>
    </row>
    <row r="50" spans="1:8" ht="15" customHeight="1" x14ac:dyDescent="0.35">
      <c r="A50" s="63" t="s">
        <v>568</v>
      </c>
      <c r="B50" s="73"/>
      <c r="C50" s="64">
        <f>IF(B49=0,0,D49/B49)</f>
        <v>1997.3894884227411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25613</v>
      </c>
      <c r="C51" s="64"/>
      <c r="D51" s="64">
        <f>B51*$C$50</f>
        <v>51159136.966971666</v>
      </c>
      <c r="E51" s="73">
        <f>$C$113</f>
        <v>25613</v>
      </c>
      <c r="F51" s="64">
        <f>$C$114</f>
        <v>35155435.630000003</v>
      </c>
      <c r="G51" s="64">
        <f>D51-F51</f>
        <v>16003701.336971663</v>
      </c>
    </row>
    <row r="52" spans="1:8" ht="15" customHeight="1" x14ac:dyDescent="0.35">
      <c r="A52" s="63" t="s">
        <v>570</v>
      </c>
      <c r="B52" s="73">
        <f>$C$115</f>
        <v>0</v>
      </c>
      <c r="C52" s="64"/>
      <c r="D52" s="64">
        <f>B52*$C$50</f>
        <v>0</v>
      </c>
      <c r="E52" s="73">
        <f>$C$115</f>
        <v>0</v>
      </c>
      <c r="F52" s="64">
        <f>$C$116</f>
        <v>-0.44</v>
      </c>
      <c r="G52" s="64">
        <f>D52-F52</f>
        <v>0.44</v>
      </c>
    </row>
    <row r="53" spans="1:8" ht="15" customHeight="1" x14ac:dyDescent="0.35">
      <c r="A53" s="63" t="s">
        <v>571</v>
      </c>
      <c r="B53" s="73">
        <f>B49-B51-B52</f>
        <v>0</v>
      </c>
      <c r="C53" s="64"/>
      <c r="D53" s="64">
        <f>B53*$C$50</f>
        <v>0</v>
      </c>
      <c r="E53" s="73">
        <f>E49-E51-E52</f>
        <v>0</v>
      </c>
      <c r="F53" s="64">
        <f>F49-F51-F52</f>
        <v>2.384185793236071E-9</v>
      </c>
      <c r="G53" s="64">
        <f>D53-F53</f>
        <v>-2.384185793236071E-9</v>
      </c>
    </row>
    <row r="54" spans="1:8" ht="15" customHeight="1" x14ac:dyDescent="0.35">
      <c r="A54" s="68" t="s">
        <v>572</v>
      </c>
      <c r="B54" s="29"/>
      <c r="C54" s="29"/>
      <c r="D54" s="70">
        <f>D51+D53</f>
        <v>51159136.966971666</v>
      </c>
      <c r="E54" s="29"/>
      <c r="F54" s="81">
        <f>F51+F53</f>
        <v>35155435.630000003</v>
      </c>
      <c r="G54" s="81">
        <f>D54-F54</f>
        <v>16003701.336971663</v>
      </c>
    </row>
    <row r="55" spans="1:8" ht="15" customHeight="1" x14ac:dyDescent="0.35">
      <c r="A55" s="63" t="s">
        <v>573</v>
      </c>
      <c r="C55" s="64">
        <f>IF(B51=0,0,D54/B51)</f>
        <v>1997.3894884227411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0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32227663.8288</v>
      </c>
      <c r="C61" s="64">
        <f>E35</f>
        <v>39654794.528995931</v>
      </c>
      <c r="D61" s="64">
        <f t="shared" ref="D61:D66" si="2">C61-B61</f>
        <v>7427130.7001959309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3006664.5787</v>
      </c>
      <c r="C62" s="64">
        <f>E37+E38</f>
        <v>5247179.4068535371</v>
      </c>
      <c r="D62" s="64">
        <f t="shared" si="2"/>
        <v>2240514.8281535371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809083.88829999999</v>
      </c>
      <c r="C63" s="64">
        <f>E39+E40</f>
        <v>6257163.0311221974</v>
      </c>
      <c r="D63" s="64">
        <f t="shared" si="2"/>
        <v>5448079.1428221976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36043412.2958</v>
      </c>
      <c r="C64" s="64">
        <f>SUM(C61:C63)</f>
        <v>51159136.966971666</v>
      </c>
      <c r="D64" s="64">
        <f t="shared" si="2"/>
        <v>15115724.671171665</v>
      </c>
      <c r="E64" s="67"/>
    </row>
    <row r="65" spans="1:8" ht="15" customHeight="1" x14ac:dyDescent="0.35">
      <c r="A65" s="63" t="s">
        <v>584</v>
      </c>
      <c r="B65" s="73">
        <f>$C$122</f>
        <v>167.6874</v>
      </c>
      <c r="C65" s="73">
        <f>$C$106</f>
        <v>127.5733</v>
      </c>
      <c r="D65" s="73">
        <f t="shared" si="2"/>
        <v>-40.114099999999993</v>
      </c>
    </row>
    <row r="66" spans="1:8" ht="15" customHeight="1" x14ac:dyDescent="0.35">
      <c r="A66" s="63" t="s">
        <v>585</v>
      </c>
      <c r="B66" s="73">
        <f>$C$123</f>
        <v>748.06679999999994</v>
      </c>
      <c r="C66" s="73">
        <f>$C$107</f>
        <v>748.06679999999994</v>
      </c>
      <c r="D66" s="73">
        <f t="shared" si="2"/>
        <v>0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E34-SUMIF($B$128:$B$134,"EXT",$F$128:$F$134)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COUNTA($A$128:$A$134)-COUNTIF($B$128:$B$134,"FCC")-COUNTIF($B$128:$B$134,"KW2")-COUNTIF($B$128:$B$134,"KW2UBI")-COUNTIF($B$128:$B$134,"EXT")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0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2049.04</v>
      </c>
      <c r="D102" s="63" t="s">
        <v>246</v>
      </c>
      <c r="E102" s="67" t="s">
        <v>593</v>
      </c>
    </row>
    <row r="103" spans="1:8" ht="15" customHeight="1" x14ac:dyDescent="0.35">
      <c r="A103" s="63" t="s">
        <v>536</v>
      </c>
      <c r="B103" s="63" t="s">
        <v>594</v>
      </c>
      <c r="C103" s="82">
        <v>25613</v>
      </c>
      <c r="D103" s="63" t="s">
        <v>246</v>
      </c>
      <c r="E103" s="67" t="s">
        <v>595</v>
      </c>
    </row>
    <row r="104" spans="1:8" ht="15" customHeight="1" x14ac:dyDescent="0.35">
      <c r="A104" s="63" t="s">
        <v>537</v>
      </c>
      <c r="B104" s="63" t="s">
        <v>137</v>
      </c>
      <c r="C104" s="82">
        <v>1.92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594</v>
      </c>
      <c r="C105" s="82">
        <v>24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127.5733</v>
      </c>
      <c r="D106" s="63" t="s">
        <v>246</v>
      </c>
      <c r="E106" s="67" t="s">
        <v>846</v>
      </c>
    </row>
    <row r="107" spans="1:8" ht="15" customHeight="1" x14ac:dyDescent="0.35">
      <c r="A107" s="63" t="s">
        <v>600</v>
      </c>
      <c r="B107" s="63" t="s">
        <v>265</v>
      </c>
      <c r="C107" s="82">
        <v>748.06679999999994</v>
      </c>
      <c r="D107" s="63" t="s">
        <v>246</v>
      </c>
      <c r="E107" s="67" t="s">
        <v>847</v>
      </c>
    </row>
    <row r="108" spans="1:8" ht="15" customHeight="1" x14ac:dyDescent="0.35">
      <c r="A108" s="63" t="s">
        <v>848</v>
      </c>
      <c r="B108" s="63" t="s">
        <v>594</v>
      </c>
      <c r="C108" s="82">
        <v>0</v>
      </c>
      <c r="D108" s="63" t="s">
        <v>246</v>
      </c>
      <c r="E108" s="67" t="s">
        <v>603</v>
      </c>
    </row>
    <row r="109" spans="1:8" ht="15" customHeight="1" x14ac:dyDescent="0.35">
      <c r="A109" s="63" t="s">
        <v>849</v>
      </c>
      <c r="B109" s="63" t="s">
        <v>140</v>
      </c>
      <c r="C109" s="33">
        <v>0</v>
      </c>
      <c r="D109" s="63" t="s">
        <v>605</v>
      </c>
      <c r="E109" s="67" t="s">
        <v>850</v>
      </c>
    </row>
    <row r="110" spans="1:8" ht="15" customHeight="1" x14ac:dyDescent="0.35">
      <c r="A110" s="63" t="s">
        <v>851</v>
      </c>
      <c r="B110" s="63" t="s">
        <v>140</v>
      </c>
      <c r="C110" s="33">
        <v>-0.44</v>
      </c>
      <c r="D110" s="63" t="s">
        <v>246</v>
      </c>
      <c r="E110" s="67" t="s">
        <v>608</v>
      </c>
    </row>
    <row r="111" spans="1:8" ht="15" customHeight="1" x14ac:dyDescent="0.35">
      <c r="A111" s="63" t="s">
        <v>852</v>
      </c>
      <c r="B111" s="63" t="s">
        <v>594</v>
      </c>
      <c r="C111" s="82">
        <v>25613</v>
      </c>
      <c r="D111" s="63" t="s">
        <v>246</v>
      </c>
      <c r="E111" s="67" t="s">
        <v>610</v>
      </c>
    </row>
    <row r="112" spans="1:8" ht="15" customHeight="1" x14ac:dyDescent="0.35">
      <c r="A112" s="63" t="s">
        <v>853</v>
      </c>
      <c r="B112" s="63" t="s">
        <v>140</v>
      </c>
      <c r="C112" s="33">
        <v>35155435.630000003</v>
      </c>
      <c r="D112" s="63" t="s">
        <v>246</v>
      </c>
      <c r="E112" s="67" t="s">
        <v>610</v>
      </c>
    </row>
    <row r="113" spans="1:8" ht="15" customHeight="1" x14ac:dyDescent="0.35">
      <c r="A113" s="63" t="s">
        <v>854</v>
      </c>
      <c r="B113" s="63" t="s">
        <v>594</v>
      </c>
      <c r="C113" s="82">
        <v>25613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35155435.630000003</v>
      </c>
      <c r="D114" s="63" t="s">
        <v>246</v>
      </c>
      <c r="E114" s="67" t="s">
        <v>613</v>
      </c>
    </row>
    <row r="115" spans="1:8" ht="15" customHeight="1" x14ac:dyDescent="0.35">
      <c r="A115" s="63" t="s">
        <v>855</v>
      </c>
      <c r="B115" s="63" t="s">
        <v>594</v>
      </c>
      <c r="C115" s="82">
        <v>0</v>
      </c>
      <c r="D115" s="63" t="s">
        <v>246</v>
      </c>
      <c r="E115" s="67" t="s">
        <v>616</v>
      </c>
    </row>
    <row r="116" spans="1:8" ht="15" customHeight="1" x14ac:dyDescent="0.35">
      <c r="A116" s="63" t="s">
        <v>856</v>
      </c>
      <c r="B116" s="63" t="s">
        <v>140</v>
      </c>
      <c r="C116" s="33">
        <v>-0.44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594</v>
      </c>
      <c r="C117" s="82">
        <v>25613</v>
      </c>
      <c r="D117" s="63" t="s">
        <v>246</v>
      </c>
      <c r="E117" s="67" t="s">
        <v>857</v>
      </c>
    </row>
    <row r="118" spans="1:8" ht="15" customHeight="1" x14ac:dyDescent="0.35">
      <c r="A118" s="63" t="s">
        <v>53</v>
      </c>
      <c r="B118" s="63" t="s">
        <v>140</v>
      </c>
      <c r="C118" s="33">
        <v>67482000</v>
      </c>
      <c r="D118" s="63" t="s">
        <v>246</v>
      </c>
      <c r="E118" s="67" t="s">
        <v>857</v>
      </c>
    </row>
    <row r="119" spans="1:8" ht="15" customHeight="1" x14ac:dyDescent="0.35">
      <c r="A119" s="63" t="s">
        <v>620</v>
      </c>
      <c r="B119" s="63" t="s">
        <v>140</v>
      </c>
      <c r="C119" s="33">
        <v>32227663.8288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3006664.5787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809083.88829999999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167.6874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748.06679999999994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833</v>
      </c>
      <c r="B128" s="63" t="s">
        <v>737</v>
      </c>
      <c r="C128" s="82">
        <v>396.14147909967801</v>
      </c>
      <c r="D128" s="63" t="s">
        <v>137</v>
      </c>
      <c r="E128" s="33">
        <v>0</v>
      </c>
      <c r="F128" s="33">
        <v>0</v>
      </c>
      <c r="G128" s="67" t="s">
        <v>834</v>
      </c>
    </row>
    <row r="129" spans="1:7" ht="15" customHeight="1" x14ac:dyDescent="0.35">
      <c r="A129" s="63" t="s">
        <v>835</v>
      </c>
      <c r="B129" s="63" t="s">
        <v>5</v>
      </c>
      <c r="C129" s="82">
        <v>1490.5</v>
      </c>
      <c r="D129" s="63" t="s">
        <v>137</v>
      </c>
      <c r="E129" s="33">
        <v>21488.548085640501</v>
      </c>
      <c r="F129" s="33">
        <v>32028680.921647102</v>
      </c>
      <c r="G129" s="67" t="s">
        <v>836</v>
      </c>
    </row>
    <row r="130" spans="1:7" ht="15" customHeight="1" x14ac:dyDescent="0.35">
      <c r="A130" s="63" t="s">
        <v>858</v>
      </c>
      <c r="B130" s="63" t="s">
        <v>635</v>
      </c>
      <c r="C130" s="82">
        <v>149</v>
      </c>
      <c r="D130" s="63" t="s">
        <v>137</v>
      </c>
      <c r="E130" s="33">
        <v>0</v>
      </c>
      <c r="F130" s="33">
        <v>0</v>
      </c>
      <c r="G130" s="67" t="s">
        <v>638</v>
      </c>
    </row>
    <row r="131" spans="1:7" ht="15" customHeight="1" x14ac:dyDescent="0.35">
      <c r="A131" s="63" t="s">
        <v>859</v>
      </c>
      <c r="B131" s="63" t="s">
        <v>635</v>
      </c>
      <c r="C131" s="82">
        <v>210.54</v>
      </c>
      <c r="D131" s="63" t="s">
        <v>137</v>
      </c>
      <c r="E131" s="33">
        <v>0</v>
      </c>
      <c r="F131" s="33">
        <v>0</v>
      </c>
      <c r="G131" s="67" t="s">
        <v>800</v>
      </c>
    </row>
    <row r="132" spans="1:7" ht="15" customHeight="1" x14ac:dyDescent="0.35">
      <c r="A132" s="63" t="s">
        <v>799</v>
      </c>
      <c r="B132" s="63" t="s">
        <v>635</v>
      </c>
      <c r="C132" s="82">
        <v>1030</v>
      </c>
      <c r="D132" s="63" t="s">
        <v>151</v>
      </c>
      <c r="E132" s="33">
        <v>0</v>
      </c>
      <c r="F132" s="33">
        <v>0</v>
      </c>
      <c r="G132" s="67" t="s">
        <v>839</v>
      </c>
    </row>
    <row r="133" spans="1:7" ht="15" customHeight="1" x14ac:dyDescent="0.35">
      <c r="A133" s="63" t="s">
        <v>637</v>
      </c>
      <c r="B133" s="63" t="s">
        <v>635</v>
      </c>
      <c r="C133" s="82">
        <v>14.5186748918864</v>
      </c>
      <c r="D133" s="63" t="s">
        <v>327</v>
      </c>
      <c r="E133" s="33">
        <v>6600</v>
      </c>
      <c r="F133" s="33">
        <v>95823.254286450203</v>
      </c>
      <c r="G133" s="67" t="s">
        <v>840</v>
      </c>
    </row>
    <row r="134" spans="1:7" ht="15" customHeight="1" x14ac:dyDescent="0.35">
      <c r="A134" s="63" t="s">
        <v>106</v>
      </c>
      <c r="B134" s="63" t="s">
        <v>635</v>
      </c>
      <c r="C134" s="82">
        <v>10.169543147208101</v>
      </c>
      <c r="D134" s="63" t="s">
        <v>841</v>
      </c>
      <c r="E134" s="33">
        <v>10143.981035713399</v>
      </c>
      <c r="F134" s="33">
        <v>103159.65282714801</v>
      </c>
      <c r="G134" s="67" t="s">
        <v>842</v>
      </c>
    </row>
    <row r="135" spans="1:7" ht="15" customHeight="1" x14ac:dyDescent="0.35">
      <c r="A135" s="72" t="s">
        <v>9</v>
      </c>
      <c r="F135" s="79">
        <f>SUM(F128:F134)</f>
        <v>32227663.828760698</v>
      </c>
    </row>
    <row r="136" spans="1:7" ht="15" customHeight="1" x14ac:dyDescent="0.35">
      <c r="A136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860</v>
      </c>
    </row>
    <row r="2" spans="1:8" ht="15" customHeight="1" x14ac:dyDescent="0.35">
      <c r="A2" s="75" t="s">
        <v>861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21.533399072232914</v>
      </c>
      <c r="C7" s="64">
        <f>F31</f>
        <v>13449.632159242065</v>
      </c>
      <c r="D7" s="65">
        <f t="shared" ref="D7:D12" si="0">IF($B$12=0,0,B7/$B$12)</f>
        <v>0.55362357929948436</v>
      </c>
    </row>
    <row r="8" spans="1:8" ht="15" customHeight="1" x14ac:dyDescent="0.35">
      <c r="A8" s="63" t="s">
        <v>530</v>
      </c>
      <c r="B8" s="73">
        <f>(E32+E33)/10^6</f>
        <v>5.9858277583320021</v>
      </c>
      <c r="C8" s="64">
        <f>F32+F33</f>
        <v>3738.7121860365774</v>
      </c>
      <c r="D8" s="65">
        <f t="shared" si="0"/>
        <v>0.15389560085342979</v>
      </c>
    </row>
    <row r="9" spans="1:8" ht="15" customHeight="1" x14ac:dyDescent="0.35">
      <c r="A9" s="63" t="s">
        <v>487</v>
      </c>
      <c r="B9" s="73">
        <f>E34/10^6</f>
        <v>0.2311263961158187</v>
      </c>
      <c r="C9" s="64">
        <f>F34</f>
        <v>144.36016346613371</v>
      </c>
      <c r="D9" s="65">
        <f t="shared" si="0"/>
        <v>5.9422584543667879E-3</v>
      </c>
    </row>
    <row r="10" spans="1:8" ht="15" customHeight="1" x14ac:dyDescent="0.35">
      <c r="A10" s="63" t="s">
        <v>109</v>
      </c>
      <c r="B10" s="73">
        <f>E37/10^6</f>
        <v>3.1536737881744239</v>
      </c>
      <c r="C10" s="64">
        <f>F37</f>
        <v>1969.765769858607</v>
      </c>
      <c r="D10" s="65">
        <f t="shared" si="0"/>
        <v>8.1080936859776576E-2</v>
      </c>
    </row>
    <row r="11" spans="1:8" ht="15" customHeight="1" x14ac:dyDescent="0.35">
      <c r="A11" s="63" t="s">
        <v>110</v>
      </c>
      <c r="B11" s="73">
        <f>E41/10^6</f>
        <v>7.9913522236515115</v>
      </c>
      <c r="C11" s="64">
        <f>F41</f>
        <v>4991.3507617870337</v>
      </c>
      <c r="D11" s="65">
        <f t="shared" si="0"/>
        <v>0.20545762453294253</v>
      </c>
    </row>
    <row r="12" spans="1:8" ht="15" customHeight="1" x14ac:dyDescent="0.35">
      <c r="A12" s="72" t="s">
        <v>11</v>
      </c>
      <c r="B12" s="76">
        <f>E43/10^6</f>
        <v>38.895379238506671</v>
      </c>
      <c r="C12" s="64">
        <f>F43</f>
        <v>24293.821040390412</v>
      </c>
      <c r="D12" s="65">
        <f t="shared" si="0"/>
        <v>1</v>
      </c>
    </row>
    <row r="13" spans="1:8" ht="15" customHeight="1" x14ac:dyDescent="0.35">
      <c r="A13" s="63" t="s">
        <v>531</v>
      </c>
      <c r="B13" s="73">
        <f>B21</f>
        <v>1601.04</v>
      </c>
      <c r="C13" s="73">
        <f>C21</f>
        <v>20013</v>
      </c>
    </row>
    <row r="14" spans="1:8" ht="15" customHeight="1" x14ac:dyDescent="0.35">
      <c r="A14" s="63" t="s">
        <v>532</v>
      </c>
      <c r="B14" s="73">
        <f>D54/10^6</f>
        <v>38.895379238506671</v>
      </c>
      <c r="C14" s="64">
        <f>C55</f>
        <v>1943.505683231233</v>
      </c>
    </row>
    <row r="15" spans="1:8" ht="15" customHeight="1" x14ac:dyDescent="0.35">
      <c r="A15" s="63" t="s">
        <v>533</v>
      </c>
      <c r="B15" s="73">
        <f>$C$118/10^6</f>
        <v>49.606000000000002</v>
      </c>
      <c r="C15" s="64">
        <f>IF($C$117=0,0,$C$118/$C$117)</f>
        <v>2478.6888522460399</v>
      </c>
    </row>
    <row r="16" spans="1:8" ht="15" customHeight="1" x14ac:dyDescent="0.35">
      <c r="A16" s="72" t="s">
        <v>115</v>
      </c>
      <c r="B16" s="76">
        <f>B15-B14</f>
        <v>10.710620761493331</v>
      </c>
      <c r="C16" s="77">
        <f>IF(B15=0,0,B16/B15)</f>
        <v>0.21591381610074045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535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1601.04</v>
      </c>
      <c r="C21" s="73">
        <f>$C$103</f>
        <v>20013</v>
      </c>
      <c r="D21" s="67"/>
    </row>
    <row r="22" spans="1:8" ht="15" customHeight="1" x14ac:dyDescent="0.35">
      <c r="A22" s="63" t="s">
        <v>537</v>
      </c>
      <c r="B22" s="73">
        <f>$C$104</f>
        <v>1.92</v>
      </c>
      <c r="C22" s="73">
        <f>$C$105</f>
        <v>24</v>
      </c>
      <c r="D22" s="67" t="s">
        <v>538</v>
      </c>
    </row>
    <row r="23" spans="1:8" ht="15" customHeight="1" x14ac:dyDescent="0.35">
      <c r="A23" s="63" t="s">
        <v>539</v>
      </c>
      <c r="B23" s="73">
        <f>SUMIF($B$128:$B$134,"FCC",$C$128:$C$134)</f>
        <v>902</v>
      </c>
      <c r="D23" s="67" t="s">
        <v>540</v>
      </c>
    </row>
    <row r="24" spans="1:8" ht="15" customHeight="1" x14ac:dyDescent="0.35">
      <c r="A24" s="63" t="s">
        <v>541</v>
      </c>
      <c r="B24" s="73">
        <f>SUMIF($B$128:$B$134,"KW2",$C$128:$C$134)</f>
        <v>612.21864951768498</v>
      </c>
      <c r="D24" s="67" t="s">
        <v>540</v>
      </c>
    </row>
    <row r="25" spans="1:8" ht="15" customHeight="1" x14ac:dyDescent="0.35">
      <c r="A25" s="63" t="s">
        <v>542</v>
      </c>
      <c r="B25" s="73">
        <f>SUMIF($B$128:$B$134,"KW2UBI",$C$128:$C$134)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1.0573373934536929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902</v>
      </c>
      <c r="C31" s="63" t="s">
        <v>137</v>
      </c>
      <c r="D31" s="47">
        <f>FCC!$D$89</f>
        <v>23872.94797365068</v>
      </c>
      <c r="E31" s="64">
        <f>B31*D31</f>
        <v>21533399.072232913</v>
      </c>
      <c r="F31" s="64">
        <f>IF($B$21=0,0,E31/$B$21)</f>
        <v>13449.632159242065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612.21864951768498</v>
      </c>
      <c r="C32" s="63" t="s">
        <v>137</v>
      </c>
      <c r="D32" s="47">
        <f>FCC!$C$209</f>
        <v>9777.2711808889308</v>
      </c>
      <c r="E32" s="64">
        <f>B32*D32</f>
        <v>5985827.758332002</v>
      </c>
      <c r="F32" s="64">
        <f>IF($B$21=0,0,E32/$B$21)</f>
        <v>3738.7121860365774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SUMIF($B$128:$B$134,"EXT",$F$128:$F$134)</f>
        <v>231126.3961158187</v>
      </c>
      <c r="F34" s="64">
        <f>IF($B$21=0,0,E34/$B$21)</f>
        <v>144.36016346613371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27750353.226680733</v>
      </c>
      <c r="F35" s="64">
        <f>IF($B$21=0,0,E35/$B$21)</f>
        <v>17332.704508744773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145.22139999999999</v>
      </c>
      <c r="C37" s="63" t="s">
        <v>262</v>
      </c>
      <c r="D37" s="80">
        <f>IF('LAIN-LAIN'!$H$43=0,0,B37/'LAIN-LAIN'!$H$43)</f>
        <v>5.4002716620594485E-2</v>
      </c>
      <c r="E37" s="47">
        <f>D37*'BIAYA BERSAMA'!$F$115</f>
        <v>3153673.7881744239</v>
      </c>
      <c r="F37" s="64">
        <f t="shared" ref="F37:F43" si="1">IF($B$21=0,0,E37/$B$21)</f>
        <v>1969.765769858607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145.22139999999999</v>
      </c>
      <c r="C38" s="63" t="s">
        <v>262</v>
      </c>
      <c r="D38" s="80">
        <f>IF('LAIN-LAIN'!$H$43=0,0,B38/'LAIN-LAIN'!$H$43)</f>
        <v>5.4002716620594485E-2</v>
      </c>
      <c r="E38" s="47">
        <f>D38*'BIAYA BERSAMA'!$F$117</f>
        <v>2819384.3636053</v>
      </c>
      <c r="F38" s="64">
        <f t="shared" si="1"/>
        <v>1760.9705963656747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617.84820000000002</v>
      </c>
      <c r="C39" s="63" t="s">
        <v>265</v>
      </c>
      <c r="D39" s="80">
        <f>IF('LAIN-LAIN'!$I$43=0,0,B39/'LAIN-LAIN'!$I$43)</f>
        <v>6.1063904429418628E-2</v>
      </c>
      <c r="E39" s="47">
        <f>D39*'BIAYA BERSAMA'!$F$118+IF('BIAYA BERSAMA'!$F$172=0,0,B39/'BIAYA BERSAMA'!$F$172)*'BIAYA BERSAMA'!$F$176</f>
        <v>5158085.8149995496</v>
      </c>
      <c r="F39" s="64">
        <f t="shared" si="1"/>
        <v>3221.7095231846488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231126.3961158187</v>
      </c>
      <c r="C40" s="63" t="s">
        <v>140</v>
      </c>
      <c r="D40" s="80">
        <f>IF('LAIN-LAIN'!$G$43=0,0,B40/'LAIN-LAIN'!$G$43)</f>
        <v>3.0144187868247564E-3</v>
      </c>
      <c r="E40" s="47">
        <f>D40*'BIAYA BERSAMA'!$F$120</f>
        <v>13882.04504666168</v>
      </c>
      <c r="F40" s="64">
        <f t="shared" si="1"/>
        <v>8.6706422367096891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7991352.2236515116</v>
      </c>
      <c r="F41" s="64">
        <f t="shared" si="1"/>
        <v>4991.3507617870337</v>
      </c>
    </row>
    <row r="42" spans="1:8" ht="15" customHeight="1" x14ac:dyDescent="0.35">
      <c r="A42" s="72" t="s">
        <v>164</v>
      </c>
      <c r="E42" s="79">
        <f>E37+E41</f>
        <v>11145026.011825936</v>
      </c>
      <c r="F42" s="64">
        <f t="shared" si="1"/>
        <v>6961.1165316456409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38895379.238506667</v>
      </c>
      <c r="F43" s="81">
        <f t="shared" si="1"/>
        <v>24293.821040390412</v>
      </c>
      <c r="G43" s="29"/>
    </row>
    <row r="45" spans="1:8" ht="15" customHeight="1" x14ac:dyDescent="0.35">
      <c r="A45" s="62" t="s">
        <v>862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562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0</v>
      </c>
      <c r="C47" s="64"/>
      <c r="D47" s="64">
        <f>$C$109</f>
        <v>0</v>
      </c>
      <c r="E47" s="73">
        <f>$C$108</f>
        <v>0</v>
      </c>
      <c r="F47" s="64">
        <f>$C$110</f>
        <v>0.08</v>
      </c>
      <c r="G47" s="64">
        <f>D47-F47</f>
        <v>-0.08</v>
      </c>
    </row>
    <row r="48" spans="1:8" ht="15" customHeight="1" x14ac:dyDescent="0.35">
      <c r="A48" s="63" t="s">
        <v>180</v>
      </c>
      <c r="B48" s="73">
        <f>C21</f>
        <v>20013</v>
      </c>
      <c r="C48" s="64"/>
      <c r="D48" s="64">
        <f>E43</f>
        <v>38895379.238506667</v>
      </c>
      <c r="E48" s="73">
        <f>$C$111</f>
        <v>20013</v>
      </c>
      <c r="F48" s="64">
        <f>$C$112</f>
        <v>22348513.100000001</v>
      </c>
      <c r="G48" s="64">
        <f>D48-F48</f>
        <v>16546866.138506666</v>
      </c>
    </row>
    <row r="49" spans="1:8" ht="15" customHeight="1" x14ac:dyDescent="0.35">
      <c r="A49" s="63" t="s">
        <v>181</v>
      </c>
      <c r="B49" s="73">
        <f>B47+B48</f>
        <v>20013</v>
      </c>
      <c r="C49" s="64"/>
      <c r="D49" s="64">
        <f>D47+D48</f>
        <v>38895379.238506667</v>
      </c>
      <c r="E49" s="73">
        <f>E47+E48</f>
        <v>20013</v>
      </c>
      <c r="F49" s="64">
        <f>F47+F48</f>
        <v>22348513.18</v>
      </c>
      <c r="G49" s="64">
        <f>D49-F49</f>
        <v>16546866.058506668</v>
      </c>
    </row>
    <row r="50" spans="1:8" ht="15" customHeight="1" x14ac:dyDescent="0.35">
      <c r="A50" s="63" t="s">
        <v>568</v>
      </c>
      <c r="B50" s="73"/>
      <c r="C50" s="64">
        <f>IF(B49=0,0,D49/B49)</f>
        <v>1943.505683231233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20013</v>
      </c>
      <c r="C51" s="64"/>
      <c r="D51" s="64">
        <f>B51*$C$50</f>
        <v>38895379.238506667</v>
      </c>
      <c r="E51" s="73">
        <f>$C$113</f>
        <v>20013</v>
      </c>
      <c r="F51" s="64">
        <f>$C$114</f>
        <v>22348513.100000001</v>
      </c>
      <c r="G51" s="64">
        <f>D51-F51</f>
        <v>16546866.138506666</v>
      </c>
    </row>
    <row r="52" spans="1:8" ht="15" customHeight="1" x14ac:dyDescent="0.35">
      <c r="A52" s="63" t="s">
        <v>570</v>
      </c>
      <c r="B52" s="73">
        <f>$C$115</f>
        <v>0</v>
      </c>
      <c r="C52" s="64"/>
      <c r="D52" s="64">
        <f>B52*$C$50</f>
        <v>0</v>
      </c>
      <c r="E52" s="73">
        <f>$C$115</f>
        <v>0</v>
      </c>
      <c r="F52" s="64">
        <f>$C$116</f>
        <v>0.08</v>
      </c>
      <c r="G52" s="64">
        <f>D52-F52</f>
        <v>-0.08</v>
      </c>
    </row>
    <row r="53" spans="1:8" ht="15" customHeight="1" x14ac:dyDescent="0.35">
      <c r="A53" s="63" t="s">
        <v>571</v>
      </c>
      <c r="B53" s="73">
        <f>B49-B51-B52</f>
        <v>0</v>
      </c>
      <c r="C53" s="64"/>
      <c r="D53" s="64">
        <f>B53*$C$50</f>
        <v>0</v>
      </c>
      <c r="E53" s="73">
        <f>E49-E51-E52</f>
        <v>0</v>
      </c>
      <c r="F53" s="64">
        <f>F49-F51-F52</f>
        <v>-1.7881393449270533E-9</v>
      </c>
      <c r="G53" s="64">
        <f>D53-F53</f>
        <v>1.7881393449270533E-9</v>
      </c>
    </row>
    <row r="54" spans="1:8" ht="15" customHeight="1" x14ac:dyDescent="0.35">
      <c r="A54" s="68" t="s">
        <v>572</v>
      </c>
      <c r="B54" s="29"/>
      <c r="C54" s="29"/>
      <c r="D54" s="70">
        <f>D51+D53</f>
        <v>38895379.238506667</v>
      </c>
      <c r="E54" s="29"/>
      <c r="F54" s="81">
        <f>F51+F53</f>
        <v>22348513.100000001</v>
      </c>
      <c r="G54" s="81">
        <f>D54-F54</f>
        <v>16546866.138506666</v>
      </c>
    </row>
    <row r="55" spans="1:8" ht="15" customHeight="1" x14ac:dyDescent="0.35">
      <c r="A55" s="63" t="s">
        <v>573</v>
      </c>
      <c r="C55" s="64">
        <f>IF(B51=0,0,D54/B51)</f>
        <v>1943.505683231233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0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19613796.769400001</v>
      </c>
      <c r="C61" s="64">
        <f>E35</f>
        <v>27750353.226680733</v>
      </c>
      <c r="D61" s="64">
        <f t="shared" ref="D61:D66" si="2">C61-B61</f>
        <v>8136556.4572807327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2603844.9035</v>
      </c>
      <c r="C62" s="64">
        <f>E37+E38</f>
        <v>5973058.1517797243</v>
      </c>
      <c r="D62" s="64">
        <f t="shared" si="2"/>
        <v>3369213.2482797243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668243.84889999998</v>
      </c>
      <c r="C63" s="64">
        <f>E39+E40</f>
        <v>5171967.8600462116</v>
      </c>
      <c r="D63" s="64">
        <f t="shared" si="2"/>
        <v>4503724.011146212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22885885.5218</v>
      </c>
      <c r="C64" s="64">
        <f>SUM(C61:C63)</f>
        <v>38895379.238506675</v>
      </c>
      <c r="D64" s="64">
        <f t="shared" si="2"/>
        <v>16009493.716706675</v>
      </c>
      <c r="E64" s="67"/>
    </row>
    <row r="65" spans="1:8" ht="15" customHeight="1" x14ac:dyDescent="0.35">
      <c r="A65" s="63" t="s">
        <v>584</v>
      </c>
      <c r="B65" s="73">
        <f>$C$122</f>
        <v>145.22139999999999</v>
      </c>
      <c r="C65" s="73">
        <f>$C$106</f>
        <v>145.22139999999999</v>
      </c>
      <c r="D65" s="73">
        <f t="shared" si="2"/>
        <v>0</v>
      </c>
    </row>
    <row r="66" spans="1:8" ht="15" customHeight="1" x14ac:dyDescent="0.35">
      <c r="A66" s="63" t="s">
        <v>585</v>
      </c>
      <c r="B66" s="73">
        <f>$C$123</f>
        <v>617.84820000000002</v>
      </c>
      <c r="C66" s="73">
        <f>$C$107</f>
        <v>617.84820000000002</v>
      </c>
      <c r="D66" s="73">
        <f t="shared" si="2"/>
        <v>0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E34-SUMIF($B$128:$B$134,"EXT",$F$128:$F$134)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COUNTA($A$128:$A$134)-COUNTIF($B$128:$B$134,"FCC")-COUNTIF($B$128:$B$134,"KW2")-COUNTIF($B$128:$B$134,"KW2UBI")-COUNTIF($B$128:$B$134,"EXT")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0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1601.04</v>
      </c>
      <c r="D102" s="63" t="s">
        <v>246</v>
      </c>
      <c r="E102" s="67" t="s">
        <v>593</v>
      </c>
    </row>
    <row r="103" spans="1:8" ht="15" customHeight="1" x14ac:dyDescent="0.35">
      <c r="A103" s="63" t="s">
        <v>536</v>
      </c>
      <c r="B103" s="63" t="s">
        <v>594</v>
      </c>
      <c r="C103" s="82">
        <v>20013</v>
      </c>
      <c r="D103" s="63" t="s">
        <v>246</v>
      </c>
      <c r="E103" s="67" t="s">
        <v>595</v>
      </c>
    </row>
    <row r="104" spans="1:8" ht="15" customHeight="1" x14ac:dyDescent="0.35">
      <c r="A104" s="63" t="s">
        <v>537</v>
      </c>
      <c r="B104" s="63" t="s">
        <v>137</v>
      </c>
      <c r="C104" s="82">
        <v>1.92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594</v>
      </c>
      <c r="C105" s="82">
        <v>24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145.22139999999999</v>
      </c>
      <c r="D106" s="63" t="s">
        <v>246</v>
      </c>
      <c r="E106" s="67" t="s">
        <v>863</v>
      </c>
    </row>
    <row r="107" spans="1:8" ht="15" customHeight="1" x14ac:dyDescent="0.35">
      <c r="A107" s="63" t="s">
        <v>600</v>
      </c>
      <c r="B107" s="63" t="s">
        <v>265</v>
      </c>
      <c r="C107" s="82">
        <v>617.84820000000002</v>
      </c>
      <c r="D107" s="63" t="s">
        <v>246</v>
      </c>
      <c r="E107" s="67" t="s">
        <v>864</v>
      </c>
    </row>
    <row r="108" spans="1:8" ht="15" customHeight="1" x14ac:dyDescent="0.35">
      <c r="A108" s="63" t="s">
        <v>865</v>
      </c>
      <c r="B108" s="63" t="s">
        <v>594</v>
      </c>
      <c r="C108" s="82">
        <v>0</v>
      </c>
      <c r="D108" s="63" t="s">
        <v>246</v>
      </c>
      <c r="E108" s="67" t="s">
        <v>603</v>
      </c>
    </row>
    <row r="109" spans="1:8" ht="15" customHeight="1" x14ac:dyDescent="0.35">
      <c r="A109" s="63" t="s">
        <v>866</v>
      </c>
      <c r="B109" s="63" t="s">
        <v>140</v>
      </c>
      <c r="C109" s="33">
        <v>0</v>
      </c>
      <c r="D109" s="63" t="s">
        <v>605</v>
      </c>
      <c r="E109" s="67" t="s">
        <v>867</v>
      </c>
    </row>
    <row r="110" spans="1:8" ht="15" customHeight="1" x14ac:dyDescent="0.35">
      <c r="A110" s="63" t="s">
        <v>868</v>
      </c>
      <c r="B110" s="63" t="s">
        <v>140</v>
      </c>
      <c r="C110" s="33">
        <v>0.08</v>
      </c>
      <c r="D110" s="63" t="s">
        <v>246</v>
      </c>
      <c r="E110" s="67" t="s">
        <v>608</v>
      </c>
    </row>
    <row r="111" spans="1:8" ht="15" customHeight="1" x14ac:dyDescent="0.35">
      <c r="A111" s="63" t="s">
        <v>869</v>
      </c>
      <c r="B111" s="63" t="s">
        <v>594</v>
      </c>
      <c r="C111" s="82">
        <v>20013</v>
      </c>
      <c r="D111" s="63" t="s">
        <v>246</v>
      </c>
      <c r="E111" s="67" t="s">
        <v>610</v>
      </c>
    </row>
    <row r="112" spans="1:8" ht="15" customHeight="1" x14ac:dyDescent="0.35">
      <c r="A112" s="63" t="s">
        <v>870</v>
      </c>
      <c r="B112" s="63" t="s">
        <v>140</v>
      </c>
      <c r="C112" s="33">
        <v>22348513.100000001</v>
      </c>
      <c r="D112" s="63" t="s">
        <v>246</v>
      </c>
      <c r="E112" s="67" t="s">
        <v>610</v>
      </c>
    </row>
    <row r="113" spans="1:8" ht="15" customHeight="1" x14ac:dyDescent="0.35">
      <c r="A113" s="63" t="s">
        <v>871</v>
      </c>
      <c r="B113" s="63" t="s">
        <v>594</v>
      </c>
      <c r="C113" s="82">
        <v>20013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22348513.100000001</v>
      </c>
      <c r="D114" s="63" t="s">
        <v>246</v>
      </c>
      <c r="E114" s="67" t="s">
        <v>613</v>
      </c>
    </row>
    <row r="115" spans="1:8" ht="15" customHeight="1" x14ac:dyDescent="0.35">
      <c r="A115" s="63" t="s">
        <v>872</v>
      </c>
      <c r="B115" s="63" t="s">
        <v>594</v>
      </c>
      <c r="C115" s="82">
        <v>0</v>
      </c>
      <c r="D115" s="63" t="s">
        <v>246</v>
      </c>
      <c r="E115" s="67" t="s">
        <v>616</v>
      </c>
    </row>
    <row r="116" spans="1:8" ht="15" customHeight="1" x14ac:dyDescent="0.35">
      <c r="A116" s="63" t="s">
        <v>873</v>
      </c>
      <c r="B116" s="63" t="s">
        <v>140</v>
      </c>
      <c r="C116" s="33">
        <v>0.08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594</v>
      </c>
      <c r="C117" s="82">
        <v>20013</v>
      </c>
      <c r="D117" s="63" t="s">
        <v>246</v>
      </c>
      <c r="E117" s="67" t="s">
        <v>874</v>
      </c>
    </row>
    <row r="118" spans="1:8" ht="15" customHeight="1" x14ac:dyDescent="0.35">
      <c r="A118" s="63" t="s">
        <v>53</v>
      </c>
      <c r="B118" s="63" t="s">
        <v>140</v>
      </c>
      <c r="C118" s="33">
        <v>49606000</v>
      </c>
      <c r="D118" s="63" t="s">
        <v>246</v>
      </c>
      <c r="E118" s="67" t="s">
        <v>874</v>
      </c>
    </row>
    <row r="119" spans="1:8" ht="15" customHeight="1" x14ac:dyDescent="0.35">
      <c r="A119" s="63" t="s">
        <v>620</v>
      </c>
      <c r="B119" s="63" t="s">
        <v>140</v>
      </c>
      <c r="C119" s="33">
        <v>19613796.769400001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2603844.9035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668243.84889999998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145.22139999999999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617.84820000000002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875</v>
      </c>
      <c r="B128" s="63" t="s">
        <v>737</v>
      </c>
      <c r="C128" s="82">
        <v>612.21864951768498</v>
      </c>
      <c r="D128" s="63" t="s">
        <v>137</v>
      </c>
      <c r="E128" s="33">
        <v>0</v>
      </c>
      <c r="F128" s="33">
        <v>0</v>
      </c>
      <c r="G128" s="67" t="s">
        <v>834</v>
      </c>
    </row>
    <row r="129" spans="1:7" ht="15" customHeight="1" x14ac:dyDescent="0.35">
      <c r="A129" s="63" t="s">
        <v>835</v>
      </c>
      <c r="B129" s="63" t="s">
        <v>5</v>
      </c>
      <c r="C129" s="82">
        <v>902</v>
      </c>
      <c r="D129" s="63" t="s">
        <v>137</v>
      </c>
      <c r="E129" s="33">
        <v>21488.548085640501</v>
      </c>
      <c r="F129" s="33">
        <v>19382670.373247702</v>
      </c>
      <c r="G129" s="67" t="s">
        <v>836</v>
      </c>
    </row>
    <row r="130" spans="1:7" ht="15" customHeight="1" x14ac:dyDescent="0.35">
      <c r="A130" s="63" t="s">
        <v>876</v>
      </c>
      <c r="B130" s="63" t="s">
        <v>635</v>
      </c>
      <c r="C130" s="82">
        <v>119.76</v>
      </c>
      <c r="D130" s="63" t="s">
        <v>137</v>
      </c>
      <c r="E130" s="33">
        <v>0</v>
      </c>
      <c r="F130" s="33">
        <v>0</v>
      </c>
      <c r="G130" s="67" t="s">
        <v>638</v>
      </c>
    </row>
    <row r="131" spans="1:7" ht="15" customHeight="1" x14ac:dyDescent="0.35">
      <c r="A131" s="63" t="s">
        <v>877</v>
      </c>
      <c r="B131" s="63" t="s">
        <v>635</v>
      </c>
      <c r="C131" s="82">
        <v>171.6</v>
      </c>
      <c r="D131" s="63" t="s">
        <v>137</v>
      </c>
      <c r="E131" s="33">
        <v>0</v>
      </c>
      <c r="F131" s="33">
        <v>0</v>
      </c>
      <c r="G131" s="67" t="s">
        <v>800</v>
      </c>
    </row>
    <row r="132" spans="1:7" ht="15" customHeight="1" x14ac:dyDescent="0.35">
      <c r="A132" s="63" t="s">
        <v>799</v>
      </c>
      <c r="B132" s="63" t="s">
        <v>635</v>
      </c>
      <c r="C132" s="82">
        <v>802</v>
      </c>
      <c r="D132" s="63" t="s">
        <v>151</v>
      </c>
      <c r="E132" s="33">
        <v>0</v>
      </c>
      <c r="F132" s="33">
        <v>0</v>
      </c>
      <c r="G132" s="67" t="s">
        <v>839</v>
      </c>
    </row>
    <row r="133" spans="1:7" ht="15" customHeight="1" x14ac:dyDescent="0.35">
      <c r="A133" s="63" t="s">
        <v>637</v>
      </c>
      <c r="B133" s="63" t="s">
        <v>635</v>
      </c>
      <c r="C133" s="82">
        <v>11.2788648986648</v>
      </c>
      <c r="D133" s="63" t="s">
        <v>327</v>
      </c>
      <c r="E133" s="33">
        <v>6600</v>
      </c>
      <c r="F133" s="33">
        <v>74440.508331187695</v>
      </c>
      <c r="G133" s="67" t="s">
        <v>840</v>
      </c>
    </row>
    <row r="134" spans="1:7" ht="15" customHeight="1" x14ac:dyDescent="0.35">
      <c r="A134" s="63" t="s">
        <v>106</v>
      </c>
      <c r="B134" s="63" t="s">
        <v>635</v>
      </c>
      <c r="C134" s="82">
        <v>15.446192893400999</v>
      </c>
      <c r="D134" s="63" t="s">
        <v>841</v>
      </c>
      <c r="E134" s="33">
        <v>10143.981035713399</v>
      </c>
      <c r="F134" s="33">
        <v>156685.88778463099</v>
      </c>
      <c r="G134" s="67" t="s">
        <v>842</v>
      </c>
    </row>
    <row r="135" spans="1:7" ht="15" customHeight="1" x14ac:dyDescent="0.35">
      <c r="A135" s="72" t="s">
        <v>9</v>
      </c>
      <c r="F135" s="79">
        <f>SUM(F128:F134)</f>
        <v>19613796.769363519</v>
      </c>
    </row>
    <row r="136" spans="1:7" ht="15" customHeight="1" x14ac:dyDescent="0.35">
      <c r="A136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54" customWidth="1"/>
    <col min="2" max="2" width="15" customWidth="1"/>
    <col min="3" max="3" width="13" customWidth="1"/>
    <col min="4" max="4" width="15" customWidth="1"/>
    <col min="5" max="5" width="17" customWidth="1"/>
    <col min="6" max="7" width="15" customWidth="1"/>
    <col min="8" max="9" width="40" customWidth="1"/>
  </cols>
  <sheetData>
    <row r="1" spans="1:8" ht="15.75" customHeight="1" x14ac:dyDescent="0.35">
      <c r="A1" s="74" t="s">
        <v>878</v>
      </c>
    </row>
    <row r="2" spans="1:8" ht="15" customHeight="1" x14ac:dyDescent="0.35">
      <c r="A2" s="75" t="s">
        <v>879</v>
      </c>
    </row>
    <row r="4" spans="1:8" ht="15" customHeight="1" x14ac:dyDescent="0.35">
      <c r="A4" s="72" t="s">
        <v>527</v>
      </c>
      <c r="C4" s="72" t="str">
        <f>IF(COUNTIF(C70:C75,"GAGAL")=0,"LULUS","GAGAL")</f>
        <v>LULUS</v>
      </c>
    </row>
    <row r="5" spans="1:8" ht="15" customHeight="1" x14ac:dyDescent="0.35">
      <c r="A5" s="62" t="s">
        <v>98</v>
      </c>
      <c r="B5" s="10"/>
      <c r="C5" s="10"/>
      <c r="D5" s="10"/>
      <c r="E5" s="10"/>
      <c r="F5" s="10"/>
      <c r="G5" s="10"/>
      <c r="H5" s="10"/>
    </row>
    <row r="6" spans="1:8" ht="25.5" customHeight="1" x14ac:dyDescent="0.35">
      <c r="A6" s="19" t="s">
        <v>99</v>
      </c>
      <c r="B6" s="20" t="s">
        <v>100</v>
      </c>
      <c r="C6" s="20" t="s">
        <v>135</v>
      </c>
      <c r="D6" s="20" t="s">
        <v>528</v>
      </c>
    </row>
    <row r="7" spans="1:8" ht="15" customHeight="1" x14ac:dyDescent="0.35">
      <c r="A7" s="63" t="s">
        <v>529</v>
      </c>
      <c r="B7" s="73">
        <f>E31/10^6</f>
        <v>0</v>
      </c>
      <c r="C7" s="64">
        <f>F31</f>
        <v>0</v>
      </c>
      <c r="D7" s="65">
        <f t="shared" ref="D7:D12" si="0">IF($B$12=0,0,B7/$B$12)</f>
        <v>0</v>
      </c>
    </row>
    <row r="8" spans="1:8" ht="15" customHeight="1" x14ac:dyDescent="0.35">
      <c r="A8" s="63" t="s">
        <v>530</v>
      </c>
      <c r="B8" s="73">
        <f>(E32+E33)/10^6</f>
        <v>0</v>
      </c>
      <c r="C8" s="64">
        <f>F32+F33</f>
        <v>0</v>
      </c>
      <c r="D8" s="65">
        <f t="shared" si="0"/>
        <v>0</v>
      </c>
    </row>
    <row r="9" spans="1:8" ht="15" customHeight="1" x14ac:dyDescent="0.35">
      <c r="A9" s="63" t="s">
        <v>487</v>
      </c>
      <c r="B9" s="73">
        <f>E34/10^6</f>
        <v>68.748451944747302</v>
      </c>
      <c r="C9" s="64">
        <f>F34</f>
        <v>4644.3874232390317</v>
      </c>
      <c r="D9" s="65">
        <f t="shared" si="0"/>
        <v>0.727939889987685</v>
      </c>
    </row>
    <row r="10" spans="1:8" ht="15" customHeight="1" x14ac:dyDescent="0.35">
      <c r="A10" s="63" t="s">
        <v>109</v>
      </c>
      <c r="B10" s="73">
        <f>E37/10^6</f>
        <v>10.098086862549922</v>
      </c>
      <c r="C10" s="64">
        <f>F37</f>
        <v>682.18885366167842</v>
      </c>
      <c r="D10" s="65">
        <f t="shared" si="0"/>
        <v>0.1069231383670787</v>
      </c>
    </row>
    <row r="11" spans="1:8" ht="15" customHeight="1" x14ac:dyDescent="0.35">
      <c r="A11" s="63" t="s">
        <v>110</v>
      </c>
      <c r="B11" s="73">
        <f>E41/10^6</f>
        <v>15.595945923015275</v>
      </c>
      <c r="C11" s="64">
        <f>F41</f>
        <v>1053.6035801443593</v>
      </c>
      <c r="D11" s="65">
        <f t="shared" si="0"/>
        <v>0.16513697164523627</v>
      </c>
    </row>
    <row r="12" spans="1:8" ht="15" customHeight="1" x14ac:dyDescent="0.35">
      <c r="A12" s="72" t="s">
        <v>11</v>
      </c>
      <c r="B12" s="76">
        <f>E43/10^6</f>
        <v>94.442484730312501</v>
      </c>
      <c r="C12" s="64">
        <f>F43</f>
        <v>6380.1798570450692</v>
      </c>
      <c r="D12" s="65">
        <f t="shared" si="0"/>
        <v>1</v>
      </c>
    </row>
    <row r="13" spans="1:8" ht="15" customHeight="1" x14ac:dyDescent="0.35">
      <c r="A13" s="63" t="s">
        <v>531</v>
      </c>
      <c r="B13" s="73">
        <f>B21</f>
        <v>14802.48</v>
      </c>
      <c r="C13" s="73">
        <f>C21</f>
        <v>14802.48</v>
      </c>
    </row>
    <row r="14" spans="1:8" ht="15" customHeight="1" x14ac:dyDescent="0.35">
      <c r="A14" s="63" t="s">
        <v>532</v>
      </c>
      <c r="B14" s="73">
        <f>D54/10^6</f>
        <v>94.442484730312486</v>
      </c>
      <c r="C14" s="64">
        <f>C55</f>
        <v>6380.2229594370965</v>
      </c>
    </row>
    <row r="15" spans="1:8" ht="15" customHeight="1" x14ac:dyDescent="0.35">
      <c r="A15" s="63" t="s">
        <v>533</v>
      </c>
      <c r="B15" s="73">
        <f>$C$118/10^6</f>
        <v>103.91069</v>
      </c>
      <c r="C15" s="64">
        <f>IF($C$117=0,0,$C$118/$C$117)</f>
        <v>7019.8636975945765</v>
      </c>
    </row>
    <row r="16" spans="1:8" ht="15" customHeight="1" x14ac:dyDescent="0.35">
      <c r="A16" s="72" t="s">
        <v>115</v>
      </c>
      <c r="B16" s="76">
        <f>B15-B14</f>
        <v>9.4682052696875161</v>
      </c>
      <c r="C16" s="77">
        <f>IF(B15=0,0,B16/B15)</f>
        <v>9.1118683454873756E-2</v>
      </c>
    </row>
    <row r="18" spans="1:8" ht="15" customHeight="1" x14ac:dyDescent="0.35">
      <c r="A18" s="62" t="s">
        <v>117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35">
      <c r="A19" s="72" t="s">
        <v>534</v>
      </c>
    </row>
    <row r="20" spans="1:8" ht="25.5" customHeight="1" x14ac:dyDescent="0.35">
      <c r="A20" s="19" t="s">
        <v>4</v>
      </c>
      <c r="B20" s="20" t="s">
        <v>171</v>
      </c>
      <c r="C20" s="20" t="s">
        <v>880</v>
      </c>
      <c r="D20" s="20" t="s">
        <v>342</v>
      </c>
    </row>
    <row r="21" spans="1:8" ht="15" customHeight="1" x14ac:dyDescent="0.35">
      <c r="A21" s="63" t="s">
        <v>536</v>
      </c>
      <c r="B21" s="73">
        <f>$C$102</f>
        <v>14802.48</v>
      </c>
      <c r="C21" s="73">
        <f>$C$103</f>
        <v>14802.48</v>
      </c>
      <c r="D21" s="67"/>
    </row>
    <row r="22" spans="1:8" ht="15" customHeight="1" x14ac:dyDescent="0.35">
      <c r="A22" s="63" t="s">
        <v>537</v>
      </c>
      <c r="B22" s="73">
        <f>$C$104</f>
        <v>0</v>
      </c>
      <c r="C22" s="73">
        <f>$C$105</f>
        <v>0</v>
      </c>
      <c r="D22" s="67" t="s">
        <v>538</v>
      </c>
    </row>
    <row r="23" spans="1:8" ht="15" customHeight="1" x14ac:dyDescent="0.35">
      <c r="A23" s="63" t="s">
        <v>539</v>
      </c>
      <c r="B23" s="73">
        <f>SUMIF($B$128:$B$128,"FCC",$C$128:$C$128)</f>
        <v>0</v>
      </c>
      <c r="D23" s="67" t="s">
        <v>540</v>
      </c>
    </row>
    <row r="24" spans="1:8" ht="15" customHeight="1" x14ac:dyDescent="0.35">
      <c r="A24" s="63" t="s">
        <v>541</v>
      </c>
      <c r="B24" s="73">
        <f>SUMIF($B$128:$B$128,"KW2",$C$128:$C$128)</f>
        <v>0</v>
      </c>
      <c r="D24" s="67" t="s">
        <v>540</v>
      </c>
    </row>
    <row r="25" spans="1:8" ht="15" customHeight="1" x14ac:dyDescent="0.35">
      <c r="A25" s="63" t="s">
        <v>542</v>
      </c>
      <c r="B25" s="73">
        <f>SUMIF($B$128:$B$128,"KW2UBI",$C$128:$C$128)</f>
        <v>0</v>
      </c>
      <c r="D25" s="67" t="s">
        <v>540</v>
      </c>
    </row>
    <row r="26" spans="1:8" ht="15" customHeight="1" x14ac:dyDescent="0.35">
      <c r="A26" s="63" t="s">
        <v>543</v>
      </c>
      <c r="B26" s="78">
        <f>IF(SUM(B23:B25)=0,0,B21/SUM(B23:B25))</f>
        <v>0</v>
      </c>
      <c r="D26" s="67"/>
    </row>
    <row r="28" spans="1:8" ht="15" customHeight="1" x14ac:dyDescent="0.35">
      <c r="A28" s="72" t="s">
        <v>131</v>
      </c>
    </row>
    <row r="29" spans="1:8" ht="25.5" customHeight="1" x14ac:dyDescent="0.35">
      <c r="A29" s="19" t="s">
        <v>99</v>
      </c>
      <c r="B29" s="20" t="s">
        <v>544</v>
      </c>
      <c r="C29" s="20" t="s">
        <v>133</v>
      </c>
      <c r="D29" s="20" t="s">
        <v>545</v>
      </c>
      <c r="E29" s="20" t="s">
        <v>73</v>
      </c>
      <c r="F29" s="20" t="s">
        <v>135</v>
      </c>
      <c r="G29" s="20" t="s">
        <v>546</v>
      </c>
    </row>
    <row r="30" spans="1:8" ht="15" customHeight="1" x14ac:dyDescent="0.35">
      <c r="A30" s="72" t="s">
        <v>547</v>
      </c>
    </row>
    <row r="31" spans="1:8" ht="15" customHeight="1" x14ac:dyDescent="0.35">
      <c r="A31" s="63" t="s">
        <v>548</v>
      </c>
      <c r="B31" s="73">
        <f>B23</f>
        <v>0</v>
      </c>
      <c r="C31" s="63" t="s">
        <v>137</v>
      </c>
      <c r="D31" s="47">
        <f>FCC!$D$89</f>
        <v>23872.94797365068</v>
      </c>
      <c r="E31" s="64">
        <f>B31*D31</f>
        <v>0</v>
      </c>
      <c r="F31" s="64">
        <f>IF($B$21=0,0,E31/$B$21)</f>
        <v>0</v>
      </c>
      <c r="G31" s="67" t="s">
        <v>549</v>
      </c>
    </row>
    <row r="32" spans="1:8" ht="15" customHeight="1" x14ac:dyDescent="0.35">
      <c r="A32" s="63" t="s">
        <v>550</v>
      </c>
      <c r="B32" s="73">
        <f>B24</f>
        <v>0</v>
      </c>
      <c r="C32" s="63" t="s">
        <v>137</v>
      </c>
      <c r="D32" s="47">
        <f>FCC!$C$209</f>
        <v>9777.2711808889308</v>
      </c>
      <c r="E32" s="64">
        <f>B32*D32</f>
        <v>0</v>
      </c>
      <c r="F32" s="64">
        <f>IF($B$21=0,0,E32/$B$21)</f>
        <v>0</v>
      </c>
      <c r="G32" s="67" t="s">
        <v>551</v>
      </c>
    </row>
    <row r="33" spans="1:8" ht="15" customHeight="1" x14ac:dyDescent="0.35">
      <c r="A33" s="63" t="s">
        <v>552</v>
      </c>
      <c r="B33" s="73">
        <f>B25</f>
        <v>0</v>
      </c>
      <c r="C33" s="63" t="s">
        <v>137</v>
      </c>
      <c r="D33" s="47">
        <f>'LAIN-LAIN'!$C$7</f>
        <v>0</v>
      </c>
      <c r="E33" s="64">
        <f>B33*D33</f>
        <v>0</v>
      </c>
      <c r="F33" s="64">
        <f>IF($B$21=0,0,E33/$B$21)</f>
        <v>0</v>
      </c>
      <c r="G33" s="67" t="s">
        <v>553</v>
      </c>
    </row>
    <row r="34" spans="1:8" ht="15" customHeight="1" x14ac:dyDescent="0.35">
      <c r="A34" s="63" t="s">
        <v>554</v>
      </c>
      <c r="E34" s="64">
        <f>SUMIF($B$128:$B$128,"EXT",$F$128:$F$128)</f>
        <v>68748451.944747299</v>
      </c>
      <c r="F34" s="64">
        <f>IF($B$21=0,0,E34/$B$21)</f>
        <v>4644.3874232390317</v>
      </c>
      <c r="G34" s="67" t="s">
        <v>555</v>
      </c>
    </row>
    <row r="35" spans="1:8" ht="15" customHeight="1" x14ac:dyDescent="0.35">
      <c r="A35" s="72" t="s">
        <v>556</v>
      </c>
      <c r="E35" s="79">
        <f>SUM(E31:E34)</f>
        <v>68748451.944747299</v>
      </c>
      <c r="F35" s="64">
        <f>IF($B$21=0,0,E35/$B$21)</f>
        <v>4644.3874232390317</v>
      </c>
    </row>
    <row r="36" spans="1:8" ht="15" customHeight="1" x14ac:dyDescent="0.35">
      <c r="A36" s="72" t="s">
        <v>557</v>
      </c>
    </row>
    <row r="37" spans="1:8" ht="15" customHeight="1" x14ac:dyDescent="0.35">
      <c r="A37" s="63" t="s">
        <v>158</v>
      </c>
      <c r="B37" s="73">
        <f>$C$106</f>
        <v>465</v>
      </c>
      <c r="C37" s="63" t="s">
        <v>262</v>
      </c>
      <c r="D37" s="80">
        <f>IF('LAIN-LAIN'!$H$43=0,0,B37/'LAIN-LAIN'!$H$43)</f>
        <v>0.1729170991918301</v>
      </c>
      <c r="E37" s="47">
        <f>D37*'BIAYA BERSAMA'!$F$115</f>
        <v>10098086.862549921</v>
      </c>
      <c r="F37" s="64">
        <f t="shared" ref="F37:F43" si="1">IF($B$21=0,0,E37/$B$21)</f>
        <v>682.18885366167842</v>
      </c>
      <c r="G37" s="67" t="s">
        <v>558</v>
      </c>
    </row>
    <row r="38" spans="1:8" ht="15" customHeight="1" x14ac:dyDescent="0.35">
      <c r="A38" s="63" t="s">
        <v>159</v>
      </c>
      <c r="B38" s="73">
        <f>$C$106</f>
        <v>465</v>
      </c>
      <c r="C38" s="63" t="s">
        <v>262</v>
      </c>
      <c r="D38" s="80">
        <f>IF('LAIN-LAIN'!$H$43=0,0,B38/'LAIN-LAIN'!$H$43)</f>
        <v>0.1729170991918301</v>
      </c>
      <c r="E38" s="47">
        <f>D38*'BIAYA BERSAMA'!$F$117</f>
        <v>9027689.6454411298</v>
      </c>
      <c r="F38" s="64">
        <f t="shared" si="1"/>
        <v>609.87683451969735</v>
      </c>
      <c r="G38" s="67" t="s">
        <v>261</v>
      </c>
    </row>
    <row r="39" spans="1:8" ht="15" customHeight="1" x14ac:dyDescent="0.35">
      <c r="A39" s="63" t="s">
        <v>559</v>
      </c>
      <c r="B39" s="73">
        <f>$C$107</f>
        <v>134.99860000000001</v>
      </c>
      <c r="C39" s="63" t="s">
        <v>265</v>
      </c>
      <c r="D39" s="80">
        <f>IF('LAIN-LAIN'!$I$43=0,0,B39/'LAIN-LAIN'!$I$43)</f>
        <v>1.3342341384996046E-2</v>
      </c>
      <c r="E39" s="47">
        <f>D39*'BIAYA BERSAMA'!$F$118+'BIAYA BERSAMA'!$F$177</f>
        <v>2439047.6591565497</v>
      </c>
      <c r="F39" s="64">
        <f t="shared" si="1"/>
        <v>164.77290691536484</v>
      </c>
      <c r="G39" s="67" t="s">
        <v>265</v>
      </c>
    </row>
    <row r="40" spans="1:8" ht="15" customHeight="1" x14ac:dyDescent="0.35">
      <c r="A40" s="63" t="s">
        <v>209</v>
      </c>
      <c r="B40" s="64">
        <f>E34</f>
        <v>68748451.944747299</v>
      </c>
      <c r="C40" s="63" t="s">
        <v>140</v>
      </c>
      <c r="D40" s="80">
        <f>IF('LAIN-LAIN'!$G$43=0,0,B40/'LAIN-LAIN'!$G$43)</f>
        <v>0.89663763460196821</v>
      </c>
      <c r="E40" s="47">
        <f>D40*'BIAYA BERSAMA'!$F$120</f>
        <v>4129208.6184175964</v>
      </c>
      <c r="F40" s="64">
        <f t="shared" si="1"/>
        <v>278.95383870929714</v>
      </c>
      <c r="G40" s="67" t="s">
        <v>560</v>
      </c>
    </row>
    <row r="41" spans="1:8" ht="15" customHeight="1" x14ac:dyDescent="0.35">
      <c r="A41" s="72" t="s">
        <v>163</v>
      </c>
      <c r="E41" s="79">
        <f>SUM(E38:E40)</f>
        <v>15595945.923015276</v>
      </c>
      <c r="F41" s="64">
        <f t="shared" si="1"/>
        <v>1053.6035801443593</v>
      </c>
    </row>
    <row r="42" spans="1:8" ht="15" customHeight="1" x14ac:dyDescent="0.35">
      <c r="A42" s="72" t="s">
        <v>164</v>
      </c>
      <c r="E42" s="79">
        <f>E37+E41</f>
        <v>25694032.785565197</v>
      </c>
      <c r="F42" s="64">
        <f t="shared" si="1"/>
        <v>1735.7924338060377</v>
      </c>
    </row>
    <row r="43" spans="1:8" ht="15" customHeight="1" x14ac:dyDescent="0.35">
      <c r="A43" s="68" t="s">
        <v>165</v>
      </c>
      <c r="B43" s="29"/>
      <c r="C43" s="29"/>
      <c r="D43" s="29"/>
      <c r="E43" s="70">
        <f>E35+E42</f>
        <v>94442484.730312496</v>
      </c>
      <c r="F43" s="81">
        <f t="shared" si="1"/>
        <v>6380.1798570450692</v>
      </c>
      <c r="G43" s="29"/>
    </row>
    <row r="45" spans="1:8" ht="15" customHeight="1" x14ac:dyDescent="0.35">
      <c r="A45" s="62" t="s">
        <v>881</v>
      </c>
      <c r="B45" s="10"/>
      <c r="C45" s="10"/>
      <c r="D45" s="10"/>
      <c r="E45" s="10"/>
      <c r="F45" s="10"/>
      <c r="G45" s="10"/>
      <c r="H45" s="10"/>
    </row>
    <row r="46" spans="1:8" ht="25.5" customHeight="1" x14ac:dyDescent="0.35">
      <c r="A46" s="19" t="s">
        <v>4</v>
      </c>
      <c r="B46" s="20" t="s">
        <v>882</v>
      </c>
      <c r="C46" s="20" t="s">
        <v>563</v>
      </c>
      <c r="D46" s="20" t="s">
        <v>564</v>
      </c>
      <c r="E46" s="20" t="s">
        <v>565</v>
      </c>
      <c r="F46" s="20" t="s">
        <v>566</v>
      </c>
      <c r="G46" s="20" t="s">
        <v>567</v>
      </c>
    </row>
    <row r="47" spans="1:8" ht="15" customHeight="1" x14ac:dyDescent="0.35">
      <c r="A47" s="63" t="s">
        <v>179</v>
      </c>
      <c r="B47" s="73">
        <f>$C$108</f>
        <v>0</v>
      </c>
      <c r="C47" s="64"/>
      <c r="D47" s="64">
        <f>$C$109</f>
        <v>0</v>
      </c>
      <c r="E47" s="73">
        <f>$C$108</f>
        <v>0</v>
      </c>
      <c r="F47" s="64">
        <f>$C$110</f>
        <v>0</v>
      </c>
      <c r="G47" s="64">
        <f>D47-F47</f>
        <v>0</v>
      </c>
    </row>
    <row r="48" spans="1:8" ht="15" customHeight="1" x14ac:dyDescent="0.35">
      <c r="A48" s="63" t="s">
        <v>180</v>
      </c>
      <c r="B48" s="73">
        <f>C21</f>
        <v>14802.48</v>
      </c>
      <c r="C48" s="64"/>
      <c r="D48" s="64">
        <f>E43</f>
        <v>94442484.730312496</v>
      </c>
      <c r="E48" s="73">
        <f>$C$111</f>
        <v>14802.38</v>
      </c>
      <c r="F48" s="64">
        <f>$C$112</f>
        <v>77231473.900000006</v>
      </c>
      <c r="G48" s="64">
        <f>D48-F48</f>
        <v>17211010.83031249</v>
      </c>
    </row>
    <row r="49" spans="1:8" ht="15" customHeight="1" x14ac:dyDescent="0.35">
      <c r="A49" s="63" t="s">
        <v>181</v>
      </c>
      <c r="B49" s="73">
        <f>B47+B48</f>
        <v>14802.48</v>
      </c>
      <c r="C49" s="64"/>
      <c r="D49" s="64">
        <f>D47+D48</f>
        <v>94442484.730312496</v>
      </c>
      <c r="E49" s="73">
        <f>E47+E48</f>
        <v>14802.38</v>
      </c>
      <c r="F49" s="64">
        <f>F47+F48</f>
        <v>77231473.900000006</v>
      </c>
      <c r="G49" s="64">
        <f>D49-F49</f>
        <v>17211010.83031249</v>
      </c>
    </row>
    <row r="50" spans="1:8" ht="15" customHeight="1" x14ac:dyDescent="0.35">
      <c r="A50" s="63" t="s">
        <v>568</v>
      </c>
      <c r="B50" s="73"/>
      <c r="C50" s="64">
        <f>IF(B49=0,0,D49/B49)</f>
        <v>6380.1798570450692</v>
      </c>
      <c r="D50" s="64"/>
      <c r="E50" s="73"/>
      <c r="F50" s="64"/>
    </row>
    <row r="51" spans="1:8" ht="15" customHeight="1" x14ac:dyDescent="0.35">
      <c r="A51" s="63" t="s">
        <v>569</v>
      </c>
      <c r="B51" s="73">
        <f>$C$113</f>
        <v>14802.38</v>
      </c>
      <c r="C51" s="64"/>
      <c r="D51" s="64">
        <f>B51*$C$50</f>
        <v>94441846.71232678</v>
      </c>
      <c r="E51" s="73">
        <f>$C$113</f>
        <v>14802.38</v>
      </c>
      <c r="F51" s="64">
        <f>$C$114</f>
        <v>77231473.900000006</v>
      </c>
      <c r="G51" s="64">
        <f>D51-F51</f>
        <v>17210372.812326774</v>
      </c>
    </row>
    <row r="52" spans="1:8" ht="15" customHeight="1" x14ac:dyDescent="0.35">
      <c r="A52" s="63" t="s">
        <v>570</v>
      </c>
      <c r="B52" s="73">
        <f>$C$115</f>
        <v>0</v>
      </c>
      <c r="C52" s="64"/>
      <c r="D52" s="64">
        <f>B52*$C$50</f>
        <v>0</v>
      </c>
      <c r="E52" s="73">
        <f>$C$115</f>
        <v>0</v>
      </c>
      <c r="F52" s="64">
        <f>$C$116</f>
        <v>0</v>
      </c>
      <c r="G52" s="64">
        <f>D52-F52</f>
        <v>0</v>
      </c>
    </row>
    <row r="53" spans="1:8" ht="15" customHeight="1" x14ac:dyDescent="0.35">
      <c r="A53" s="63" t="s">
        <v>571</v>
      </c>
      <c r="B53" s="73">
        <f>B49-B51-B52</f>
        <v>0.1000000000003638</v>
      </c>
      <c r="C53" s="64"/>
      <c r="D53" s="64">
        <f>B53*$C$50</f>
        <v>638.01798570682797</v>
      </c>
      <c r="E53" s="73">
        <f>E49-E51-E52</f>
        <v>0</v>
      </c>
      <c r="F53" s="64">
        <f>F49-F51-F52</f>
        <v>0</v>
      </c>
      <c r="G53" s="64">
        <f>D53-F53</f>
        <v>638.01798570682797</v>
      </c>
    </row>
    <row r="54" spans="1:8" ht="15" customHeight="1" x14ac:dyDescent="0.35">
      <c r="A54" s="68" t="s">
        <v>572</v>
      </c>
      <c r="B54" s="29"/>
      <c r="C54" s="29"/>
      <c r="D54" s="70">
        <f>D51+D53</f>
        <v>94442484.730312482</v>
      </c>
      <c r="E54" s="29"/>
      <c r="F54" s="81">
        <f>F51+F53</f>
        <v>77231473.900000006</v>
      </c>
      <c r="G54" s="81">
        <f>D54-F54</f>
        <v>17211010.830312476</v>
      </c>
    </row>
    <row r="55" spans="1:8" ht="15" customHeight="1" x14ac:dyDescent="0.35">
      <c r="A55" s="63" t="s">
        <v>573</v>
      </c>
      <c r="C55" s="64">
        <f>IF(B51=0,0,D54/B51)</f>
        <v>6380.2229594370965</v>
      </c>
    </row>
    <row r="56" spans="1:8" ht="15" customHeight="1" x14ac:dyDescent="0.35">
      <c r="A56" s="63" t="s">
        <v>574</v>
      </c>
      <c r="B56" s="73">
        <f>$C$117-B51</f>
        <v>0</v>
      </c>
    </row>
    <row r="57" spans="1:8" ht="15" customHeight="1" x14ac:dyDescent="0.35">
      <c r="A57" s="63" t="s">
        <v>575</v>
      </c>
      <c r="B57" s="73">
        <f>B48-E48</f>
        <v>0.1000000000003638</v>
      </c>
    </row>
    <row r="59" spans="1:8" ht="15" customHeight="1" x14ac:dyDescent="0.35">
      <c r="A59" s="62" t="s">
        <v>576</v>
      </c>
      <c r="B59" s="10"/>
      <c r="C59" s="10"/>
      <c r="D59" s="10"/>
      <c r="E59" s="10"/>
      <c r="F59" s="10"/>
      <c r="G59" s="10"/>
      <c r="H59" s="10"/>
    </row>
    <row r="60" spans="1:8" ht="25.5" customHeight="1" x14ac:dyDescent="0.35">
      <c r="A60" s="19" t="s">
        <v>99</v>
      </c>
      <c r="B60" s="20" t="s">
        <v>339</v>
      </c>
      <c r="C60" s="20" t="s">
        <v>577</v>
      </c>
      <c r="D60" s="20" t="s">
        <v>341</v>
      </c>
      <c r="E60" s="20" t="s">
        <v>342</v>
      </c>
    </row>
    <row r="61" spans="1:8" ht="15" customHeight="1" x14ac:dyDescent="0.35">
      <c r="A61" s="63" t="s">
        <v>578</v>
      </c>
      <c r="B61" s="64">
        <f>$C$119</f>
        <v>68748451.944700003</v>
      </c>
      <c r="C61" s="64">
        <f>E35</f>
        <v>68748451.944747299</v>
      </c>
      <c r="D61" s="64">
        <f t="shared" ref="D61:D66" si="2">C61-B61</f>
        <v>4.7296285629272461E-5</v>
      </c>
      <c r="E61" s="67" t="s">
        <v>579</v>
      </c>
    </row>
    <row r="62" spans="1:8" ht="15" customHeight="1" x14ac:dyDescent="0.35">
      <c r="A62" s="63" t="s">
        <v>580</v>
      </c>
      <c r="B62" s="64">
        <f>$C$120</f>
        <v>8337533.4733999996</v>
      </c>
      <c r="C62" s="64">
        <f>E37+E38</f>
        <v>19125776.507991053</v>
      </c>
      <c r="D62" s="64">
        <f t="shared" si="2"/>
        <v>10788243.034591053</v>
      </c>
      <c r="E62" s="67" t="s">
        <v>581</v>
      </c>
    </row>
    <row r="63" spans="1:8" ht="15" customHeight="1" x14ac:dyDescent="0.35">
      <c r="A63" s="63" t="s">
        <v>582</v>
      </c>
      <c r="B63" s="64">
        <f>$C$121</f>
        <v>146009.9699</v>
      </c>
      <c r="C63" s="64">
        <f>E39+E40</f>
        <v>6568256.2775741462</v>
      </c>
      <c r="D63" s="64">
        <f t="shared" si="2"/>
        <v>6422246.3076741463</v>
      </c>
      <c r="E63" s="67" t="s">
        <v>583</v>
      </c>
    </row>
    <row r="64" spans="1:8" ht="15" customHeight="1" x14ac:dyDescent="0.35">
      <c r="A64" s="72" t="s">
        <v>11</v>
      </c>
      <c r="B64" s="64">
        <f>SUM(B61:B63)</f>
        <v>77231995.387999997</v>
      </c>
      <c r="C64" s="64">
        <f>SUM(C61:C63)</f>
        <v>94442484.730312496</v>
      </c>
      <c r="D64" s="64">
        <f t="shared" si="2"/>
        <v>17210489.3423125</v>
      </c>
      <c r="E64" s="67"/>
    </row>
    <row r="65" spans="1:8" ht="15" customHeight="1" x14ac:dyDescent="0.35">
      <c r="A65" s="63" t="s">
        <v>584</v>
      </c>
      <c r="B65" s="73">
        <f>$C$122</f>
        <v>465</v>
      </c>
      <c r="C65" s="73">
        <f>$C$106</f>
        <v>465</v>
      </c>
      <c r="D65" s="73">
        <f t="shared" si="2"/>
        <v>0</v>
      </c>
    </row>
    <row r="66" spans="1:8" ht="15" customHeight="1" x14ac:dyDescent="0.35">
      <c r="A66" s="63" t="s">
        <v>585</v>
      </c>
      <c r="B66" s="73">
        <f>$C$123</f>
        <v>134.99860000000001</v>
      </c>
      <c r="C66" s="73">
        <f>$C$107</f>
        <v>134.99860000000001</v>
      </c>
      <c r="D66" s="73">
        <f t="shared" si="2"/>
        <v>0</v>
      </c>
    </row>
    <row r="68" spans="1:8" ht="15" customHeight="1" x14ac:dyDescent="0.35">
      <c r="A68" s="62" t="s">
        <v>586</v>
      </c>
      <c r="B68" s="10"/>
      <c r="C68" s="10"/>
      <c r="D68" s="10"/>
      <c r="E68" s="10"/>
      <c r="F68" s="10"/>
      <c r="G68" s="10"/>
      <c r="H68" s="10"/>
    </row>
    <row r="69" spans="1:8" ht="25.5" customHeight="1" x14ac:dyDescent="0.35">
      <c r="A69" s="19" t="s">
        <v>202</v>
      </c>
      <c r="B69" s="20" t="s">
        <v>231</v>
      </c>
      <c r="C69" s="20" t="s">
        <v>50</v>
      </c>
    </row>
    <row r="70" spans="1:8" ht="15" customHeight="1" x14ac:dyDescent="0.35">
      <c r="A70" s="63" t="s">
        <v>587</v>
      </c>
      <c r="B70" s="73">
        <f>E34-SUMIF($B$128:$B$128,"EXT",$F$128:$F$128)</f>
        <v>0</v>
      </c>
      <c r="C70" s="72" t="str">
        <f>IF(ISERROR(B70),"GAGAL",IF(ABS(B70)&lt;=1,"LULUS","GAGAL"))</f>
        <v>LULUS</v>
      </c>
    </row>
    <row r="71" spans="1:8" ht="15" customHeight="1" x14ac:dyDescent="0.35">
      <c r="A71" s="63" t="s">
        <v>588</v>
      </c>
      <c r="B71" s="73">
        <f>COUNTA($A$128:$A$128)-COUNTIF($B$128:$B$128,"FCC")-COUNTIF($B$128:$B$128,"KW2")-COUNTIF($B$128:$B$128,"KW2UBI")-COUNTIF($B$128:$B$128,"EXT")</f>
        <v>0</v>
      </c>
      <c r="C71" s="72" t="str">
        <f>IF(ISERROR(B71),"GAGAL",IF(ABS(B71)&lt;=0.5,"LULUS","GAGAL"))</f>
        <v>LULUS</v>
      </c>
    </row>
    <row r="72" spans="1:8" ht="15" customHeight="1" x14ac:dyDescent="0.35">
      <c r="A72" s="63" t="s">
        <v>589</v>
      </c>
      <c r="B72" s="73">
        <f>E43-E35-E42</f>
        <v>0</v>
      </c>
      <c r="C72" s="72" t="str">
        <f>IF(ISERROR(B72),"GAGAL",IF(ABS(B72)&lt;=1,"LULUS","GAGAL"))</f>
        <v>LULUS</v>
      </c>
    </row>
    <row r="73" spans="1:8" ht="15" customHeight="1" x14ac:dyDescent="0.35">
      <c r="A73" s="63" t="s">
        <v>590</v>
      </c>
      <c r="B73" s="73">
        <f>D49-D51-D52-D53</f>
        <v>9.6341636890429072E-9</v>
      </c>
      <c r="C73" s="72" t="str">
        <f>IF(ISERROR(B73),"GAGAL",IF(ABS(B73)&lt;=1,"LULUS","GAGAL"))</f>
        <v>LULUS</v>
      </c>
    </row>
    <row r="74" spans="1:8" ht="15" customHeight="1" x14ac:dyDescent="0.35">
      <c r="A74" s="63" t="s">
        <v>591</v>
      </c>
      <c r="B74" s="73">
        <f>B12*10^6-E43</f>
        <v>0</v>
      </c>
      <c r="C74" s="72" t="str">
        <f>IF(ISERROR(B74),"GAGAL",IF(ABS(B74)&lt;=1,"LULUS","GAGAL"))</f>
        <v>LULUS</v>
      </c>
    </row>
    <row r="75" spans="1:8" ht="15" customHeight="1" x14ac:dyDescent="0.35">
      <c r="A75" s="63" t="s">
        <v>241</v>
      </c>
      <c r="B75" s="73">
        <f>SUMPRODUCT(--ISERROR(A5:H66))</f>
        <v>0</v>
      </c>
      <c r="C75" s="72" t="str">
        <f>IF(ISERROR(B75),"GAGAL",IF(ABS(B75)&lt;=0.5,"LULUS","GAGAL"))</f>
        <v>LULUS</v>
      </c>
    </row>
    <row r="76" spans="1:8" ht="15" customHeight="1" x14ac:dyDescent="0.35">
      <c r="A76" s="75" t="s">
        <v>592</v>
      </c>
    </row>
    <row r="100" spans="1:8" ht="15" customHeight="1" x14ac:dyDescent="0.35">
      <c r="A100" s="62" t="s">
        <v>243</v>
      </c>
      <c r="B100" s="10"/>
      <c r="C100" s="10"/>
      <c r="D100" s="10"/>
      <c r="E100" s="10"/>
      <c r="F100" s="10"/>
      <c r="G100" s="10"/>
      <c r="H100" s="10"/>
    </row>
    <row r="101" spans="1:8" ht="25.5" customHeight="1" x14ac:dyDescent="0.35">
      <c r="A101" s="19" t="s">
        <v>4</v>
      </c>
      <c r="B101" s="20" t="s">
        <v>133</v>
      </c>
      <c r="C101" s="20" t="s">
        <v>231</v>
      </c>
      <c r="D101" s="20" t="s">
        <v>244</v>
      </c>
      <c r="E101" s="20" t="s">
        <v>74</v>
      </c>
    </row>
    <row r="102" spans="1:8" ht="15" customHeight="1" x14ac:dyDescent="0.35">
      <c r="A102" s="63" t="s">
        <v>536</v>
      </c>
      <c r="B102" s="63" t="s">
        <v>137</v>
      </c>
      <c r="C102" s="82">
        <v>14802.48</v>
      </c>
      <c r="D102" s="63" t="s">
        <v>246</v>
      </c>
      <c r="E102" s="67" t="s">
        <v>883</v>
      </c>
    </row>
    <row r="103" spans="1:8" ht="15" customHeight="1" x14ac:dyDescent="0.35">
      <c r="A103" s="63" t="s">
        <v>536</v>
      </c>
      <c r="B103" s="63" t="s">
        <v>137</v>
      </c>
      <c r="C103" s="82">
        <v>14802.48</v>
      </c>
      <c r="D103" s="63" t="s">
        <v>246</v>
      </c>
      <c r="E103" s="67" t="s">
        <v>884</v>
      </c>
    </row>
    <row r="104" spans="1:8" ht="15" customHeight="1" x14ac:dyDescent="0.35">
      <c r="A104" s="63" t="s">
        <v>537</v>
      </c>
      <c r="B104" s="63" t="s">
        <v>137</v>
      </c>
      <c r="C104" s="82">
        <v>0</v>
      </c>
      <c r="D104" s="63" t="s">
        <v>246</v>
      </c>
      <c r="E104" s="67" t="s">
        <v>596</v>
      </c>
    </row>
    <row r="105" spans="1:8" ht="15" customHeight="1" x14ac:dyDescent="0.35">
      <c r="A105" s="63" t="s">
        <v>537</v>
      </c>
      <c r="B105" s="63" t="s">
        <v>137</v>
      </c>
      <c r="C105" s="82">
        <v>0</v>
      </c>
      <c r="D105" s="63" t="s">
        <v>246</v>
      </c>
      <c r="E105" s="67" t="s">
        <v>597</v>
      </c>
    </row>
    <row r="106" spans="1:8" ht="15" customHeight="1" x14ac:dyDescent="0.35">
      <c r="A106" s="63" t="s">
        <v>598</v>
      </c>
      <c r="B106" s="63" t="s">
        <v>262</v>
      </c>
      <c r="C106" s="82">
        <v>465</v>
      </c>
      <c r="D106" s="63" t="s">
        <v>246</v>
      </c>
      <c r="E106" s="67" t="s">
        <v>885</v>
      </c>
    </row>
    <row r="107" spans="1:8" ht="15" customHeight="1" x14ac:dyDescent="0.35">
      <c r="A107" s="63" t="s">
        <v>600</v>
      </c>
      <c r="B107" s="63" t="s">
        <v>265</v>
      </c>
      <c r="C107" s="82">
        <v>134.99860000000001</v>
      </c>
      <c r="D107" s="63" t="s">
        <v>246</v>
      </c>
      <c r="E107" s="67" t="s">
        <v>886</v>
      </c>
    </row>
    <row r="108" spans="1:8" ht="15" customHeight="1" x14ac:dyDescent="0.35">
      <c r="A108" s="63" t="s">
        <v>887</v>
      </c>
      <c r="B108" s="63" t="s">
        <v>137</v>
      </c>
      <c r="C108" s="82">
        <v>0</v>
      </c>
      <c r="D108" s="63" t="s">
        <v>246</v>
      </c>
      <c r="E108" s="67" t="s">
        <v>603</v>
      </c>
    </row>
    <row r="109" spans="1:8" ht="15" customHeight="1" x14ac:dyDescent="0.35">
      <c r="A109" s="63" t="s">
        <v>888</v>
      </c>
      <c r="B109" s="63" t="s">
        <v>140</v>
      </c>
      <c r="C109" s="33">
        <v>0</v>
      </c>
      <c r="D109" s="63" t="s">
        <v>605</v>
      </c>
      <c r="E109" s="67" t="s">
        <v>889</v>
      </c>
    </row>
    <row r="110" spans="1:8" ht="15" customHeight="1" x14ac:dyDescent="0.35">
      <c r="A110" s="63" t="s">
        <v>890</v>
      </c>
      <c r="B110" s="63" t="s">
        <v>140</v>
      </c>
      <c r="C110" s="33">
        <v>0</v>
      </c>
      <c r="D110" s="63" t="s">
        <v>246</v>
      </c>
      <c r="E110" s="67" t="s">
        <v>608</v>
      </c>
    </row>
    <row r="111" spans="1:8" ht="15" customHeight="1" x14ac:dyDescent="0.35">
      <c r="A111" s="63" t="s">
        <v>891</v>
      </c>
      <c r="B111" s="63" t="s">
        <v>137</v>
      </c>
      <c r="C111" s="82">
        <v>14802.38</v>
      </c>
      <c r="D111" s="63" t="s">
        <v>246</v>
      </c>
      <c r="E111" s="67" t="s">
        <v>610</v>
      </c>
    </row>
    <row r="112" spans="1:8" ht="15" customHeight="1" x14ac:dyDescent="0.35">
      <c r="A112" s="63" t="s">
        <v>892</v>
      </c>
      <c r="B112" s="63" t="s">
        <v>140</v>
      </c>
      <c r="C112" s="33">
        <v>77231473.900000006</v>
      </c>
      <c r="D112" s="63" t="s">
        <v>246</v>
      </c>
      <c r="E112" s="67" t="s">
        <v>610</v>
      </c>
    </row>
    <row r="113" spans="1:8" ht="15" customHeight="1" x14ac:dyDescent="0.35">
      <c r="A113" s="63" t="s">
        <v>893</v>
      </c>
      <c r="B113" s="63" t="s">
        <v>137</v>
      </c>
      <c r="C113" s="82">
        <v>14802.38</v>
      </c>
      <c r="D113" s="63" t="s">
        <v>246</v>
      </c>
      <c r="E113" s="67" t="s">
        <v>613</v>
      </c>
    </row>
    <row r="114" spans="1:8" ht="15" customHeight="1" x14ac:dyDescent="0.35">
      <c r="A114" s="63" t="s">
        <v>614</v>
      </c>
      <c r="B114" s="63" t="s">
        <v>140</v>
      </c>
      <c r="C114" s="33">
        <v>77231473.900000006</v>
      </c>
      <c r="D114" s="63" t="s">
        <v>246</v>
      </c>
      <c r="E114" s="67" t="s">
        <v>613</v>
      </c>
    </row>
    <row r="115" spans="1:8" ht="15" customHeight="1" x14ac:dyDescent="0.35">
      <c r="A115" s="63" t="s">
        <v>894</v>
      </c>
      <c r="B115" s="63" t="s">
        <v>137</v>
      </c>
      <c r="C115" s="82">
        <v>0</v>
      </c>
      <c r="D115" s="63" t="s">
        <v>246</v>
      </c>
      <c r="E115" s="67" t="s">
        <v>616</v>
      </c>
    </row>
    <row r="116" spans="1:8" ht="15" customHeight="1" x14ac:dyDescent="0.35">
      <c r="A116" s="63" t="s">
        <v>895</v>
      </c>
      <c r="B116" s="63" t="s">
        <v>140</v>
      </c>
      <c r="C116" s="33">
        <v>0</v>
      </c>
      <c r="D116" s="63" t="s">
        <v>246</v>
      </c>
      <c r="E116" s="67" t="s">
        <v>608</v>
      </c>
    </row>
    <row r="117" spans="1:8" ht="15" customHeight="1" x14ac:dyDescent="0.35">
      <c r="A117" s="63" t="s">
        <v>618</v>
      </c>
      <c r="B117" s="63" t="s">
        <v>137</v>
      </c>
      <c r="C117" s="82">
        <v>14802.38</v>
      </c>
      <c r="D117" s="63" t="s">
        <v>246</v>
      </c>
      <c r="E117" s="67" t="s">
        <v>896</v>
      </c>
    </row>
    <row r="118" spans="1:8" ht="15" customHeight="1" x14ac:dyDescent="0.35">
      <c r="A118" s="63" t="s">
        <v>53</v>
      </c>
      <c r="B118" s="63" t="s">
        <v>140</v>
      </c>
      <c r="C118" s="33">
        <v>103910690</v>
      </c>
      <c r="D118" s="63" t="s">
        <v>246</v>
      </c>
      <c r="E118" s="67" t="s">
        <v>896</v>
      </c>
    </row>
    <row r="119" spans="1:8" ht="15" customHeight="1" x14ac:dyDescent="0.35">
      <c r="A119" s="63" t="s">
        <v>620</v>
      </c>
      <c r="B119" s="63" t="s">
        <v>140</v>
      </c>
      <c r="C119" s="33">
        <v>68748451.944700003</v>
      </c>
      <c r="D119" s="63" t="s">
        <v>246</v>
      </c>
      <c r="E119" s="67" t="s">
        <v>621</v>
      </c>
    </row>
    <row r="120" spans="1:8" ht="15" customHeight="1" x14ac:dyDescent="0.35">
      <c r="A120" s="63" t="s">
        <v>622</v>
      </c>
      <c r="B120" s="63" t="s">
        <v>140</v>
      </c>
      <c r="C120" s="33">
        <v>8337533.4733999996</v>
      </c>
      <c r="D120" s="63" t="s">
        <v>246</v>
      </c>
      <c r="E120" s="67" t="s">
        <v>621</v>
      </c>
    </row>
    <row r="121" spans="1:8" ht="15" customHeight="1" x14ac:dyDescent="0.35">
      <c r="A121" s="63" t="s">
        <v>623</v>
      </c>
      <c r="B121" s="63" t="s">
        <v>140</v>
      </c>
      <c r="C121" s="33">
        <v>146009.9699</v>
      </c>
      <c r="D121" s="63" t="s">
        <v>246</v>
      </c>
      <c r="E121" s="67" t="s">
        <v>621</v>
      </c>
    </row>
    <row r="122" spans="1:8" ht="15" customHeight="1" x14ac:dyDescent="0.35">
      <c r="A122" s="63" t="s">
        <v>624</v>
      </c>
      <c r="B122" s="63" t="s">
        <v>262</v>
      </c>
      <c r="C122" s="82">
        <v>465</v>
      </c>
      <c r="D122" s="63" t="s">
        <v>246</v>
      </c>
      <c r="E122" s="67" t="s">
        <v>625</v>
      </c>
    </row>
    <row r="123" spans="1:8" ht="15" customHeight="1" x14ac:dyDescent="0.35">
      <c r="A123" s="63" t="s">
        <v>626</v>
      </c>
      <c r="B123" s="63" t="s">
        <v>265</v>
      </c>
      <c r="C123" s="82">
        <v>134.99860000000001</v>
      </c>
      <c r="D123" s="63" t="s">
        <v>246</v>
      </c>
      <c r="E123" s="67" t="s">
        <v>627</v>
      </c>
    </row>
    <row r="126" spans="1:8" ht="15" customHeight="1" x14ac:dyDescent="0.35">
      <c r="A126" s="62" t="s">
        <v>628</v>
      </c>
      <c r="B126" s="10"/>
      <c r="C126" s="10"/>
      <c r="D126" s="10"/>
      <c r="E126" s="10"/>
      <c r="F126" s="10"/>
      <c r="G126" s="10"/>
      <c r="H126" s="10"/>
    </row>
    <row r="127" spans="1:8" ht="25.5" customHeight="1" x14ac:dyDescent="0.35">
      <c r="A127" s="19" t="s">
        <v>292</v>
      </c>
      <c r="B127" s="20" t="s">
        <v>629</v>
      </c>
      <c r="C127" s="20" t="s">
        <v>132</v>
      </c>
      <c r="D127" s="20" t="s">
        <v>133</v>
      </c>
      <c r="E127" s="20" t="s">
        <v>630</v>
      </c>
      <c r="F127" s="20" t="s">
        <v>631</v>
      </c>
      <c r="G127" s="20" t="s">
        <v>74</v>
      </c>
    </row>
    <row r="128" spans="1:8" ht="15" customHeight="1" x14ac:dyDescent="0.35">
      <c r="A128" s="63" t="s">
        <v>897</v>
      </c>
      <c r="B128" s="63" t="s">
        <v>635</v>
      </c>
      <c r="C128" s="82">
        <v>16242</v>
      </c>
      <c r="D128" s="63" t="s">
        <v>171</v>
      </c>
      <c r="E128" s="33">
        <v>4232.7577850478601</v>
      </c>
      <c r="F128" s="33">
        <v>68748451.944747299</v>
      </c>
      <c r="G128" s="67" t="s">
        <v>898</v>
      </c>
    </row>
    <row r="129" spans="1:6" ht="15" customHeight="1" x14ac:dyDescent="0.35">
      <c r="A129" s="72" t="s">
        <v>9</v>
      </c>
      <c r="F129" s="79">
        <f>SUM(F128:F128)</f>
        <v>68748451.944747299</v>
      </c>
    </row>
    <row r="130" spans="1:6" ht="15" customHeight="1" x14ac:dyDescent="0.35">
      <c r="A130" s="75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186"/>
  <sheetViews>
    <sheetView showGridLines="0" zoomScaleNormal="100" workbookViewId="0">
      <pane ySplit="4" topLeftCell="A121" activePane="bottomLeft" state="frozen"/>
      <selection pane="bottomLeft" activeCell="H105" sqref="H105"/>
    </sheetView>
  </sheetViews>
  <sheetFormatPr defaultColWidth="8.6328125" defaultRowHeight="14.5" x14ac:dyDescent="0.35"/>
  <cols>
    <col min="1" max="2" width="44" customWidth="1"/>
    <col min="3" max="8" width="17" customWidth="1"/>
    <col min="9" max="9" width="14" customWidth="1"/>
  </cols>
  <sheetData>
    <row r="1" spans="1:9" ht="16.5" customHeight="1" x14ac:dyDescent="0.35">
      <c r="A1" s="4" t="s">
        <v>899</v>
      </c>
    </row>
    <row r="2" spans="1:9" ht="14.25" customHeight="1" x14ac:dyDescent="0.35">
      <c r="A2" s="5"/>
    </row>
    <row r="3" spans="1:9" ht="14.25" customHeight="1" x14ac:dyDescent="0.35">
      <c r="A3" s="5"/>
    </row>
    <row r="5" spans="1:9" ht="14.25" customHeight="1" x14ac:dyDescent="0.35">
      <c r="A5" s="9" t="s">
        <v>900</v>
      </c>
      <c r="B5" s="10"/>
      <c r="C5" s="10"/>
      <c r="D5" s="10"/>
      <c r="E5" s="10"/>
      <c r="F5" s="10"/>
      <c r="G5" s="10"/>
      <c r="H5" s="10"/>
      <c r="I5" s="10"/>
    </row>
    <row r="6" spans="1:9" ht="24" customHeight="1" x14ac:dyDescent="0.35">
      <c r="A6" s="11" t="s">
        <v>901</v>
      </c>
      <c r="B6" s="11" t="s">
        <v>902</v>
      </c>
      <c r="C6" s="11" t="s">
        <v>903</v>
      </c>
      <c r="D6" s="11" t="s">
        <v>904</v>
      </c>
      <c r="E6" s="11" t="s">
        <v>905</v>
      </c>
      <c r="F6" s="11" t="s">
        <v>74</v>
      </c>
    </row>
    <row r="7" spans="1:9" ht="14.25" customHeight="1" x14ac:dyDescent="0.35">
      <c r="A7" s="12" t="s">
        <v>906</v>
      </c>
      <c r="B7" s="12" t="s">
        <v>907</v>
      </c>
      <c r="C7" s="84">
        <v>792968930</v>
      </c>
      <c r="D7" s="12" t="s">
        <v>908</v>
      </c>
      <c r="E7" s="12" t="s">
        <v>909</v>
      </c>
      <c r="F7" s="12" t="s">
        <v>910</v>
      </c>
    </row>
    <row r="8" spans="1:9" ht="14.25" customHeight="1" x14ac:dyDescent="0.35">
      <c r="A8" s="12" t="s">
        <v>911</v>
      </c>
      <c r="B8" s="12" t="s">
        <v>912</v>
      </c>
      <c r="C8" s="84">
        <v>28362872</v>
      </c>
      <c r="D8" s="12" t="s">
        <v>908</v>
      </c>
      <c r="E8" s="12" t="s">
        <v>913</v>
      </c>
      <c r="F8" s="12" t="s">
        <v>910</v>
      </c>
    </row>
    <row r="9" spans="1:9" ht="14.25" customHeight="1" x14ac:dyDescent="0.35">
      <c r="A9" s="12" t="s">
        <v>914</v>
      </c>
      <c r="B9" s="12" t="s">
        <v>915</v>
      </c>
      <c r="C9" s="84">
        <v>0</v>
      </c>
      <c r="D9" s="12" t="s">
        <v>916</v>
      </c>
      <c r="E9" s="12" t="s">
        <v>917</v>
      </c>
      <c r="F9" s="12" t="s">
        <v>910</v>
      </c>
    </row>
    <row r="10" spans="1:9" ht="14.25" customHeight="1" x14ac:dyDescent="0.35">
      <c r="A10" s="12" t="s">
        <v>918</v>
      </c>
      <c r="B10" s="12" t="s">
        <v>919</v>
      </c>
      <c r="C10" s="84">
        <v>118735319</v>
      </c>
      <c r="D10" s="12" t="s">
        <v>908</v>
      </c>
      <c r="E10" s="12" t="s">
        <v>920</v>
      </c>
      <c r="F10" s="12" t="s">
        <v>910</v>
      </c>
    </row>
    <row r="11" spans="1:9" ht="14.25" customHeight="1" x14ac:dyDescent="0.35">
      <c r="A11" s="12" t="s">
        <v>921</v>
      </c>
      <c r="B11" s="12" t="s">
        <v>922</v>
      </c>
      <c r="C11" s="84">
        <v>46657860</v>
      </c>
      <c r="D11" s="12" t="s">
        <v>923</v>
      </c>
      <c r="E11" s="12" t="s">
        <v>921</v>
      </c>
      <c r="F11" s="12" t="s">
        <v>910</v>
      </c>
    </row>
    <row r="12" spans="1:9" ht="14.25" customHeight="1" x14ac:dyDescent="0.35">
      <c r="A12" s="12" t="s">
        <v>924</v>
      </c>
      <c r="B12" s="12" t="s">
        <v>925</v>
      </c>
      <c r="C12" s="84">
        <v>79400</v>
      </c>
      <c r="D12" s="12" t="s">
        <v>923</v>
      </c>
      <c r="E12" s="12" t="s">
        <v>924</v>
      </c>
      <c r="F12" s="12" t="s">
        <v>910</v>
      </c>
    </row>
    <row r="13" spans="1:9" ht="14.25" customHeight="1" x14ac:dyDescent="0.35">
      <c r="A13" s="12" t="s">
        <v>926</v>
      </c>
      <c r="B13" s="12" t="s">
        <v>927</v>
      </c>
      <c r="C13" s="84">
        <v>0</v>
      </c>
      <c r="D13" s="12" t="s">
        <v>923</v>
      </c>
      <c r="E13" s="12" t="s">
        <v>926</v>
      </c>
      <c r="F13" s="12" t="s">
        <v>910</v>
      </c>
    </row>
    <row r="14" spans="1:9" ht="14.25" customHeight="1" x14ac:dyDescent="0.35">
      <c r="A14" s="12" t="s">
        <v>928</v>
      </c>
      <c r="B14" s="12" t="s">
        <v>929</v>
      </c>
      <c r="C14" s="84">
        <v>33571729.740000002</v>
      </c>
      <c r="D14" s="12" t="s">
        <v>930</v>
      </c>
      <c r="E14" s="12" t="s">
        <v>928</v>
      </c>
      <c r="F14" s="12" t="s">
        <v>910</v>
      </c>
    </row>
    <row r="15" spans="1:9" ht="14.25" customHeight="1" x14ac:dyDescent="0.35">
      <c r="A15" s="12" t="s">
        <v>931</v>
      </c>
      <c r="B15" s="12" t="s">
        <v>932</v>
      </c>
      <c r="C15" s="84">
        <v>130369443.56999999</v>
      </c>
      <c r="D15" s="12" t="s">
        <v>933</v>
      </c>
      <c r="E15" s="12" t="s">
        <v>931</v>
      </c>
      <c r="F15" s="12" t="s">
        <v>910</v>
      </c>
    </row>
    <row r="16" spans="1:9" ht="14.25" customHeight="1" x14ac:dyDescent="0.35">
      <c r="A16" s="12" t="s">
        <v>934</v>
      </c>
      <c r="B16" s="12" t="s">
        <v>935</v>
      </c>
      <c r="C16" s="84">
        <v>57854667</v>
      </c>
      <c r="D16" s="12" t="s">
        <v>930</v>
      </c>
      <c r="E16" s="12" t="s">
        <v>934</v>
      </c>
      <c r="F16" s="12" t="s">
        <v>910</v>
      </c>
    </row>
    <row r="17" spans="1:9" ht="14.25" customHeight="1" x14ac:dyDescent="0.35">
      <c r="A17" s="12" t="s">
        <v>936</v>
      </c>
      <c r="B17" s="12" t="s">
        <v>937</v>
      </c>
      <c r="C17" s="84">
        <v>13265000</v>
      </c>
      <c r="D17" s="12" t="s">
        <v>930</v>
      </c>
      <c r="E17" s="12" t="s">
        <v>936</v>
      </c>
      <c r="F17" s="12" t="s">
        <v>910</v>
      </c>
    </row>
    <row r="18" spans="1:9" ht="14.25" customHeight="1" x14ac:dyDescent="0.35">
      <c r="A18" s="12" t="s">
        <v>938</v>
      </c>
      <c r="B18" s="12" t="s">
        <v>939</v>
      </c>
      <c r="C18" s="84">
        <v>16700889.01</v>
      </c>
      <c r="D18" s="12" t="s">
        <v>933</v>
      </c>
      <c r="E18" s="12" t="s">
        <v>938</v>
      </c>
      <c r="F18" s="12" t="s">
        <v>910</v>
      </c>
    </row>
    <row r="19" spans="1:9" ht="14.25" customHeight="1" x14ac:dyDescent="0.35">
      <c r="A19" s="12" t="s">
        <v>940</v>
      </c>
      <c r="B19" s="12" t="s">
        <v>941</v>
      </c>
      <c r="C19" s="84">
        <v>137626886.69</v>
      </c>
      <c r="D19" s="12" t="s">
        <v>933</v>
      </c>
      <c r="E19" s="12" t="s">
        <v>938</v>
      </c>
      <c r="F19" s="12" t="s">
        <v>910</v>
      </c>
    </row>
    <row r="20" spans="1:9" ht="14.25" customHeight="1" x14ac:dyDescent="0.35">
      <c r="A20" s="12" t="s">
        <v>942</v>
      </c>
      <c r="B20" s="12" t="s">
        <v>943</v>
      </c>
      <c r="C20" s="84">
        <v>159071091</v>
      </c>
      <c r="D20" s="12" t="s">
        <v>930</v>
      </c>
      <c r="E20" s="12" t="s">
        <v>942</v>
      </c>
      <c r="F20" s="12" t="s">
        <v>910</v>
      </c>
    </row>
    <row r="21" spans="1:9" ht="14.25" customHeight="1" x14ac:dyDescent="0.35">
      <c r="A21" s="12" t="s">
        <v>944</v>
      </c>
      <c r="B21" s="12" t="s">
        <v>945</v>
      </c>
      <c r="C21" s="84">
        <v>41091286.18</v>
      </c>
      <c r="D21" s="12" t="s">
        <v>930</v>
      </c>
      <c r="E21" s="12" t="s">
        <v>946</v>
      </c>
      <c r="F21" s="12" t="s">
        <v>910</v>
      </c>
    </row>
    <row r="22" spans="1:9" ht="14.25" customHeight="1" x14ac:dyDescent="0.35">
      <c r="A22" s="12" t="s">
        <v>947</v>
      </c>
      <c r="B22" s="12" t="s">
        <v>948</v>
      </c>
      <c r="C22" s="84">
        <v>14533270.83</v>
      </c>
      <c r="D22" s="12" t="s">
        <v>930</v>
      </c>
      <c r="E22" s="12" t="s">
        <v>946</v>
      </c>
      <c r="F22" s="12" t="s">
        <v>910</v>
      </c>
    </row>
    <row r="23" spans="1:9" ht="14.25" customHeight="1" x14ac:dyDescent="0.35">
      <c r="A23" s="45"/>
      <c r="B23" s="40" t="s">
        <v>949</v>
      </c>
      <c r="C23" s="42">
        <f>SUM(C7:C22)</f>
        <v>1590888645.02</v>
      </c>
      <c r="D23" s="45"/>
      <c r="E23" s="45"/>
      <c r="F23" s="45"/>
    </row>
    <row r="24" spans="1:9" ht="14.25" customHeight="1" x14ac:dyDescent="0.35">
      <c r="B24" s="5" t="s">
        <v>950</v>
      </c>
      <c r="C24" s="84">
        <v>1590888645.02</v>
      </c>
      <c r="F24" s="12" t="s">
        <v>951</v>
      </c>
    </row>
    <row r="26" spans="1:9" ht="14.25" customHeight="1" x14ac:dyDescent="0.35">
      <c r="A26" s="9" t="s">
        <v>952</v>
      </c>
      <c r="B26" s="10"/>
      <c r="C26" s="10"/>
      <c r="D26" s="10"/>
      <c r="E26" s="10"/>
      <c r="F26" s="10"/>
      <c r="G26" s="10"/>
      <c r="H26" s="10"/>
      <c r="I26" s="10"/>
    </row>
    <row r="27" spans="1:9" ht="24" customHeight="1" x14ac:dyDescent="0.35">
      <c r="A27" s="11" t="s">
        <v>629</v>
      </c>
      <c r="B27" s="11" t="s">
        <v>953</v>
      </c>
      <c r="C27" s="11" t="s">
        <v>903</v>
      </c>
      <c r="D27" s="11" t="s">
        <v>904</v>
      </c>
      <c r="F27" s="11" t="s">
        <v>954</v>
      </c>
    </row>
    <row r="28" spans="1:9" ht="14.25" customHeight="1" x14ac:dyDescent="0.35">
      <c r="A28" s="12" t="s">
        <v>955</v>
      </c>
      <c r="B28" s="12" t="s">
        <v>956</v>
      </c>
      <c r="C28" s="84">
        <v>387491800</v>
      </c>
      <c r="D28" s="12" t="s">
        <v>916</v>
      </c>
      <c r="E28" s="12" t="s">
        <v>957</v>
      </c>
      <c r="F28" s="64">
        <f t="shared" ref="F28:F40" si="0">IF(SUM($C$28:$C$40)=0,0,C28/SUM($C$28:$C$40)*$C$164)</f>
        <v>369283781.97897339</v>
      </c>
    </row>
    <row r="29" spans="1:9" ht="14.25" customHeight="1" x14ac:dyDescent="0.35">
      <c r="A29" s="12" t="s">
        <v>955</v>
      </c>
      <c r="B29" s="12" t="s">
        <v>958</v>
      </c>
      <c r="C29" s="84">
        <v>0</v>
      </c>
      <c r="D29" s="12" t="s">
        <v>916</v>
      </c>
      <c r="F29" s="64">
        <f t="shared" si="0"/>
        <v>0</v>
      </c>
    </row>
    <row r="30" spans="1:9" ht="14.25" customHeight="1" x14ac:dyDescent="0.35">
      <c r="A30" s="12" t="s">
        <v>955</v>
      </c>
      <c r="B30" s="12" t="s">
        <v>959</v>
      </c>
      <c r="C30" s="84">
        <v>0</v>
      </c>
      <c r="D30" s="12" t="s">
        <v>916</v>
      </c>
      <c r="F30" s="64">
        <f t="shared" si="0"/>
        <v>0</v>
      </c>
    </row>
    <row r="31" spans="1:9" ht="14.25" customHeight="1" x14ac:dyDescent="0.35">
      <c r="A31" s="12" t="s">
        <v>960</v>
      </c>
      <c r="B31" s="12" t="s">
        <v>961</v>
      </c>
      <c r="C31" s="84">
        <v>51615000</v>
      </c>
      <c r="D31" s="12" t="s">
        <v>962</v>
      </c>
      <c r="F31" s="64">
        <f t="shared" si="0"/>
        <v>49189640.67586647</v>
      </c>
    </row>
    <row r="32" spans="1:9" ht="14.25" customHeight="1" x14ac:dyDescent="0.35">
      <c r="A32" s="12" t="s">
        <v>960</v>
      </c>
      <c r="B32" s="12" t="s">
        <v>963</v>
      </c>
      <c r="C32" s="84">
        <v>0</v>
      </c>
      <c r="D32" s="12" t="s">
        <v>962</v>
      </c>
      <c r="F32" s="64">
        <f t="shared" si="0"/>
        <v>0</v>
      </c>
    </row>
    <row r="33" spans="1:6" ht="14.25" customHeight="1" x14ac:dyDescent="0.35">
      <c r="A33" s="12" t="s">
        <v>960</v>
      </c>
      <c r="B33" s="12" t="s">
        <v>964</v>
      </c>
      <c r="C33" s="84">
        <v>0</v>
      </c>
      <c r="D33" s="12" t="s">
        <v>962</v>
      </c>
      <c r="F33" s="64">
        <f t="shared" si="0"/>
        <v>0</v>
      </c>
    </row>
    <row r="34" spans="1:6" ht="14.25" customHeight="1" x14ac:dyDescent="0.35">
      <c r="A34" s="12" t="s">
        <v>960</v>
      </c>
      <c r="B34" s="12" t="s">
        <v>965</v>
      </c>
      <c r="C34" s="84">
        <v>32691500</v>
      </c>
      <c r="D34" s="12" t="s">
        <v>962</v>
      </c>
      <c r="F34" s="64">
        <f t="shared" si="0"/>
        <v>31155345.115859505</v>
      </c>
    </row>
    <row r="35" spans="1:6" ht="14.25" customHeight="1" x14ac:dyDescent="0.35">
      <c r="A35" s="12" t="s">
        <v>960</v>
      </c>
      <c r="B35" s="12" t="s">
        <v>966</v>
      </c>
      <c r="C35" s="84">
        <v>3086900</v>
      </c>
      <c r="D35" s="12" t="s">
        <v>962</v>
      </c>
      <c r="F35" s="64">
        <f t="shared" si="0"/>
        <v>2941848.3348315838</v>
      </c>
    </row>
    <row r="36" spans="1:6" ht="14.25" customHeight="1" x14ac:dyDescent="0.35">
      <c r="A36" s="12" t="s">
        <v>960</v>
      </c>
      <c r="B36" s="12" t="s">
        <v>967</v>
      </c>
      <c r="C36" s="84">
        <v>15499900</v>
      </c>
      <c r="D36" s="12" t="s">
        <v>962</v>
      </c>
      <c r="F36" s="64">
        <f t="shared" si="0"/>
        <v>14771568.565569362</v>
      </c>
    </row>
    <row r="37" spans="1:6" ht="14.25" customHeight="1" x14ac:dyDescent="0.35">
      <c r="A37" s="12" t="s">
        <v>960</v>
      </c>
      <c r="B37" s="12" t="s">
        <v>968</v>
      </c>
      <c r="C37" s="84">
        <v>40641900</v>
      </c>
      <c r="D37" s="12" t="s">
        <v>962</v>
      </c>
      <c r="F37" s="64">
        <f t="shared" si="0"/>
        <v>38732160.367809691</v>
      </c>
    </row>
    <row r="38" spans="1:6" ht="14.25" customHeight="1" x14ac:dyDescent="0.35">
      <c r="A38" s="12" t="s">
        <v>960</v>
      </c>
      <c r="B38" s="12" t="s">
        <v>969</v>
      </c>
      <c r="C38" s="84">
        <v>0</v>
      </c>
      <c r="D38" s="12" t="s">
        <v>962</v>
      </c>
      <c r="F38" s="64">
        <f t="shared" si="0"/>
        <v>0</v>
      </c>
    </row>
    <row r="39" spans="1:6" ht="14.25" customHeight="1" x14ac:dyDescent="0.35">
      <c r="A39" s="12" t="s">
        <v>970</v>
      </c>
      <c r="B39" s="12" t="s">
        <v>971</v>
      </c>
      <c r="C39" s="84">
        <v>56241375</v>
      </c>
      <c r="D39" s="12" t="s">
        <v>972</v>
      </c>
      <c r="F39" s="64">
        <f t="shared" si="0"/>
        <v>53598624.961089984</v>
      </c>
    </row>
    <row r="40" spans="1:6" ht="14.25" customHeight="1" x14ac:dyDescent="0.35">
      <c r="A40" s="12" t="s">
        <v>970</v>
      </c>
      <c r="B40" s="12" t="s">
        <v>973</v>
      </c>
      <c r="C40" s="84">
        <v>0</v>
      </c>
      <c r="D40" s="12" t="s">
        <v>972</v>
      </c>
      <c r="F40" s="64">
        <f t="shared" si="0"/>
        <v>0</v>
      </c>
    </row>
    <row r="41" spans="1:6" ht="14.25" customHeight="1" x14ac:dyDescent="0.35">
      <c r="A41" s="12" t="s">
        <v>974</v>
      </c>
      <c r="B41" s="12" t="s">
        <v>975</v>
      </c>
      <c r="C41" s="84">
        <v>165344478</v>
      </c>
      <c r="D41" s="12" t="s">
        <v>962</v>
      </c>
      <c r="E41" s="12" t="s">
        <v>976</v>
      </c>
      <c r="F41" s="64">
        <f>$C$165</f>
        <v>165344478</v>
      </c>
    </row>
    <row r="42" spans="1:6" ht="14.25" customHeight="1" x14ac:dyDescent="0.35">
      <c r="A42" s="45"/>
      <c r="B42" s="40" t="s">
        <v>977</v>
      </c>
      <c r="C42" s="42">
        <f>SUM(C28:C41)</f>
        <v>752612853</v>
      </c>
      <c r="D42" s="45"/>
      <c r="F42" s="79">
        <f>SUM(F28:F41)</f>
        <v>725017448</v>
      </c>
    </row>
    <row r="43" spans="1:6" ht="14.25" customHeight="1" x14ac:dyDescent="0.35">
      <c r="B43" s="12" t="s">
        <v>978</v>
      </c>
      <c r="C43" s="39">
        <f>$C$7</f>
        <v>792968930</v>
      </c>
    </row>
    <row r="44" spans="1:6" ht="14.25" customHeight="1" x14ac:dyDescent="0.35">
      <c r="B44" s="6" t="s">
        <v>979</v>
      </c>
      <c r="C44" s="85">
        <f>C43-C42</f>
        <v>40356077</v>
      </c>
    </row>
    <row r="46" spans="1:6" ht="14.25" customHeight="1" x14ac:dyDescent="0.35">
      <c r="A46" s="6" t="s">
        <v>980</v>
      </c>
      <c r="C46" s="86">
        <v>0</v>
      </c>
      <c r="E46" s="12" t="s">
        <v>981</v>
      </c>
    </row>
    <row r="47" spans="1:6" ht="24" customHeight="1" x14ac:dyDescent="0.35">
      <c r="A47" s="11" t="s">
        <v>982</v>
      </c>
      <c r="B47" s="11"/>
      <c r="C47" s="11" t="s">
        <v>983</v>
      </c>
      <c r="D47" s="11" t="s">
        <v>528</v>
      </c>
      <c r="E47" s="11" t="s">
        <v>984</v>
      </c>
      <c r="F47" s="11" t="s">
        <v>985</v>
      </c>
    </row>
    <row r="48" spans="1:6" ht="14.25" customHeight="1" x14ac:dyDescent="0.35">
      <c r="A48" s="12" t="s">
        <v>955</v>
      </c>
      <c r="C48" s="39">
        <f>SUM($F$28:$F$30)</f>
        <v>369283781.97897339</v>
      </c>
      <c r="D48" s="43">
        <f>IF($C$52=0,0,C48/$C$52)</f>
        <v>0.55000510755351983</v>
      </c>
      <c r="E48" s="39">
        <f>D48*$C$160</f>
        <v>34725742.876260348</v>
      </c>
      <c r="F48" s="39">
        <f>D48*$C$10</f>
        <v>65305031.896996491</v>
      </c>
    </row>
    <row r="49" spans="1:9" ht="14.25" customHeight="1" x14ac:dyDescent="0.35">
      <c r="A49" s="12" t="s">
        <v>960</v>
      </c>
      <c r="C49" s="39">
        <f>SUM($F$31:$F$38)</f>
        <v>136790563.05993661</v>
      </c>
      <c r="D49" s="43">
        <f>IF($C$52=0,0,C49/$C$52)</f>
        <v>0.20373358381704074</v>
      </c>
      <c r="E49" s="39">
        <f>D49*$C$160</f>
        <v>12863153.35935523</v>
      </c>
      <c r="F49" s="39">
        <f>D49*$C$10</f>
        <v>24190372.06552957</v>
      </c>
    </row>
    <row r="50" spans="1:9" ht="14.25" customHeight="1" x14ac:dyDescent="0.35">
      <c r="A50" s="12" t="s">
        <v>974</v>
      </c>
      <c r="C50" s="39">
        <f>C41</f>
        <v>165344478</v>
      </c>
      <c r="D50" s="43">
        <f>IF($C$52=0,0,C50/$C$52)</f>
        <v>0.24626130862943943</v>
      </c>
      <c r="E50" s="39">
        <f>D50*$C$160</f>
        <v>15548231.764384422</v>
      </c>
      <c r="F50" s="39">
        <f>D50*$C$10</f>
        <v>29239915.037473943</v>
      </c>
    </row>
    <row r="51" spans="1:9" ht="14.25" customHeight="1" x14ac:dyDescent="0.35">
      <c r="A51" s="12" t="s">
        <v>970</v>
      </c>
      <c r="C51" s="39">
        <f>SUM($F$39:$F$40)*$C$46</f>
        <v>0</v>
      </c>
      <c r="D51" s="43">
        <f>IF($C$52=0,0,C51/$C$52)</f>
        <v>0</v>
      </c>
      <c r="E51" s="39">
        <f>D51*$C$160</f>
        <v>0</v>
      </c>
      <c r="F51" s="39">
        <f>D51*$C$10</f>
        <v>0</v>
      </c>
    </row>
    <row r="52" spans="1:9" ht="14.25" customHeight="1" x14ac:dyDescent="0.35">
      <c r="A52" s="40" t="s">
        <v>9</v>
      </c>
      <c r="B52" s="45"/>
      <c r="C52" s="42">
        <f>SUM(C48:C51)</f>
        <v>671418823.03891003</v>
      </c>
      <c r="D52" s="87">
        <f>SUM(D48:D51)</f>
        <v>1</v>
      </c>
      <c r="E52" s="42">
        <f>SUM(E48:E51)</f>
        <v>63137128</v>
      </c>
      <c r="F52" s="42">
        <f>SUM(F48:F51)</f>
        <v>118735319</v>
      </c>
    </row>
    <row r="54" spans="1:9" ht="14.25" customHeight="1" x14ac:dyDescent="0.35">
      <c r="A54" s="9" t="s">
        <v>986</v>
      </c>
      <c r="B54" s="10"/>
      <c r="C54" s="10"/>
      <c r="D54" s="10"/>
      <c r="E54" s="10"/>
      <c r="F54" s="10"/>
      <c r="G54" s="10"/>
      <c r="H54" s="10"/>
      <c r="I54" s="10"/>
    </row>
    <row r="55" spans="1:9" ht="24" customHeight="1" x14ac:dyDescent="0.35">
      <c r="A55" s="11" t="s">
        <v>904</v>
      </c>
      <c r="B55" s="11" t="s">
        <v>99</v>
      </c>
      <c r="C55" s="11" t="s">
        <v>903</v>
      </c>
      <c r="D55" s="11" t="s">
        <v>987</v>
      </c>
      <c r="E55" s="11" t="s">
        <v>988</v>
      </c>
    </row>
    <row r="56" spans="1:9" ht="14.25" customHeight="1" x14ac:dyDescent="0.35">
      <c r="A56" s="12" t="s">
        <v>679</v>
      </c>
      <c r="B56" s="12" t="s">
        <v>989</v>
      </c>
      <c r="C56" s="39">
        <f>SUM($F$28:$F$30)</f>
        <v>369283781.97897339</v>
      </c>
      <c r="D56" s="12" t="s">
        <v>990</v>
      </c>
      <c r="E56" s="12" t="s">
        <v>261</v>
      </c>
    </row>
    <row r="57" spans="1:9" ht="14.25" customHeight="1" x14ac:dyDescent="0.35">
      <c r="A57" s="12" t="s">
        <v>679</v>
      </c>
      <c r="B57" s="12" t="s">
        <v>991</v>
      </c>
      <c r="C57" s="39">
        <f>E48</f>
        <v>34725742.876260348</v>
      </c>
      <c r="D57" s="12" t="s">
        <v>992</v>
      </c>
      <c r="E57" s="12" t="s">
        <v>261</v>
      </c>
    </row>
    <row r="58" spans="1:9" ht="14.25" customHeight="1" x14ac:dyDescent="0.35">
      <c r="A58" s="12" t="s">
        <v>679</v>
      </c>
      <c r="B58" s="12" t="s">
        <v>993</v>
      </c>
      <c r="C58" s="39">
        <f>F48</f>
        <v>65305031.896996491</v>
      </c>
      <c r="D58" s="12" t="s">
        <v>992</v>
      </c>
      <c r="E58" s="12" t="s">
        <v>261</v>
      </c>
    </row>
    <row r="59" spans="1:9" ht="14.25" customHeight="1" x14ac:dyDescent="0.35">
      <c r="A59" s="12" t="s">
        <v>679</v>
      </c>
      <c r="B59" s="12" t="s">
        <v>994</v>
      </c>
      <c r="C59" s="39">
        <f>$C$9</f>
        <v>0</v>
      </c>
      <c r="D59" s="12" t="s">
        <v>992</v>
      </c>
      <c r="E59" s="12" t="s">
        <v>261</v>
      </c>
    </row>
    <row r="60" spans="1:9" ht="14.25" customHeight="1" x14ac:dyDescent="0.35">
      <c r="A60" s="12" t="s">
        <v>681</v>
      </c>
      <c r="B60" s="12" t="s">
        <v>995</v>
      </c>
      <c r="C60" s="39">
        <f>$C$166</f>
        <v>67951482</v>
      </c>
      <c r="D60" s="12" t="s">
        <v>992</v>
      </c>
      <c r="E60" s="12" t="s">
        <v>261</v>
      </c>
    </row>
    <row r="61" spans="1:9" ht="14.25" customHeight="1" x14ac:dyDescent="0.35">
      <c r="A61" s="12" t="s">
        <v>972</v>
      </c>
      <c r="B61" s="12" t="s">
        <v>996</v>
      </c>
      <c r="C61" s="39">
        <f>SUM($F$39:$F$40)</f>
        <v>53598624.961089984</v>
      </c>
      <c r="D61" s="12" t="s">
        <v>997</v>
      </c>
      <c r="E61" s="12" t="s">
        <v>998</v>
      </c>
    </row>
    <row r="62" spans="1:9" ht="14.25" customHeight="1" x14ac:dyDescent="0.35">
      <c r="A62" s="12" t="s">
        <v>972</v>
      </c>
      <c r="B62" s="12" t="s">
        <v>999</v>
      </c>
      <c r="C62" s="39">
        <f>E51+F51</f>
        <v>0</v>
      </c>
      <c r="D62" s="12" t="s">
        <v>992</v>
      </c>
      <c r="E62" s="12" t="s">
        <v>998</v>
      </c>
    </row>
    <row r="63" spans="1:9" ht="14.25" customHeight="1" x14ac:dyDescent="0.35">
      <c r="A63" s="12" t="s">
        <v>681</v>
      </c>
      <c r="B63" s="12" t="s">
        <v>1000</v>
      </c>
      <c r="C63" s="39">
        <f>SUM($F$31:$F$38)</f>
        <v>136790563.05993661</v>
      </c>
      <c r="D63" s="12" t="s">
        <v>990</v>
      </c>
      <c r="E63" s="12" t="s">
        <v>261</v>
      </c>
    </row>
    <row r="64" spans="1:9" ht="14.25" customHeight="1" x14ac:dyDescent="0.35">
      <c r="A64" s="12" t="s">
        <v>681</v>
      </c>
      <c r="B64" s="12" t="s">
        <v>1001</v>
      </c>
      <c r="C64" s="39">
        <f>C41</f>
        <v>165344478</v>
      </c>
      <c r="D64" s="12" t="s">
        <v>992</v>
      </c>
      <c r="E64" s="12" t="s">
        <v>261</v>
      </c>
    </row>
    <row r="65" spans="1:5" ht="14.25" customHeight="1" x14ac:dyDescent="0.35">
      <c r="A65" s="12" t="s">
        <v>681</v>
      </c>
      <c r="B65" s="12" t="s">
        <v>1002</v>
      </c>
      <c r="C65" s="39">
        <f>E49+E50</f>
        <v>28411385.123739652</v>
      </c>
      <c r="D65" s="12" t="s">
        <v>992</v>
      </c>
      <c r="E65" s="12" t="s">
        <v>261</v>
      </c>
    </row>
    <row r="66" spans="1:5" ht="14.25" customHeight="1" x14ac:dyDescent="0.35">
      <c r="A66" s="12" t="s">
        <v>681</v>
      </c>
      <c r="B66" s="12" t="s">
        <v>1003</v>
      </c>
      <c r="C66" s="39">
        <f>F49+F50</f>
        <v>53430287.103003517</v>
      </c>
      <c r="D66" s="12" t="s">
        <v>992</v>
      </c>
      <c r="E66" s="12" t="s">
        <v>261</v>
      </c>
    </row>
    <row r="67" spans="1:5" ht="14.25" customHeight="1" x14ac:dyDescent="0.35">
      <c r="A67" s="12" t="s">
        <v>1004</v>
      </c>
      <c r="B67" s="12" t="s">
        <v>1005</v>
      </c>
      <c r="C67" s="39">
        <f>$C$11</f>
        <v>46657860</v>
      </c>
      <c r="D67" s="12" t="s">
        <v>997</v>
      </c>
      <c r="E67" s="12" t="s">
        <v>265</v>
      </c>
    </row>
    <row r="68" spans="1:5" ht="14.25" customHeight="1" x14ac:dyDescent="0.35">
      <c r="A68" s="12" t="s">
        <v>1004</v>
      </c>
      <c r="B68" s="12" t="s">
        <v>1006</v>
      </c>
      <c r="C68" s="39">
        <f>$C$12</f>
        <v>79400</v>
      </c>
      <c r="D68" s="12" t="s">
        <v>997</v>
      </c>
      <c r="E68" s="12" t="s">
        <v>265</v>
      </c>
    </row>
    <row r="69" spans="1:5" ht="14.25" customHeight="1" x14ac:dyDescent="0.35">
      <c r="A69" s="12" t="s">
        <v>1004</v>
      </c>
      <c r="B69" s="12" t="s">
        <v>1007</v>
      </c>
      <c r="C69" s="39">
        <f>$C$13</f>
        <v>0</v>
      </c>
      <c r="D69" s="12" t="s">
        <v>997</v>
      </c>
      <c r="E69" s="12" t="s">
        <v>265</v>
      </c>
    </row>
    <row r="70" spans="1:5" ht="14.25" customHeight="1" x14ac:dyDescent="0.35">
      <c r="A70" s="12" t="s">
        <v>1008</v>
      </c>
      <c r="B70" s="12" t="s">
        <v>1009</v>
      </c>
      <c r="C70" s="39">
        <f>$C$15</f>
        <v>130369443.56999999</v>
      </c>
      <c r="D70" s="12" t="s">
        <v>990</v>
      </c>
      <c r="E70" s="12" t="s">
        <v>265</v>
      </c>
    </row>
    <row r="71" spans="1:5" ht="14.25" customHeight="1" x14ac:dyDescent="0.35">
      <c r="A71" s="12" t="s">
        <v>1008</v>
      </c>
      <c r="B71" s="12" t="s">
        <v>1010</v>
      </c>
      <c r="C71" s="39">
        <f>$C$18</f>
        <v>16700889.01</v>
      </c>
      <c r="D71" s="12" t="s">
        <v>992</v>
      </c>
      <c r="E71" s="12" t="s">
        <v>265</v>
      </c>
    </row>
    <row r="72" spans="1:5" ht="14.25" customHeight="1" x14ac:dyDescent="0.35">
      <c r="A72" s="12" t="s">
        <v>1008</v>
      </c>
      <c r="B72" s="12" t="s">
        <v>1011</v>
      </c>
      <c r="C72" s="39">
        <f>$C$19</f>
        <v>137626886.69</v>
      </c>
      <c r="D72" s="12" t="s">
        <v>992</v>
      </c>
      <c r="E72" s="12" t="s">
        <v>265</v>
      </c>
    </row>
    <row r="73" spans="1:5" ht="14.25" customHeight="1" x14ac:dyDescent="0.35">
      <c r="A73" s="12" t="s">
        <v>684</v>
      </c>
      <c r="B73" s="12" t="s">
        <v>1012</v>
      </c>
      <c r="C73" s="39">
        <f>$C$14</f>
        <v>33571729.740000002</v>
      </c>
      <c r="D73" s="12" t="s">
        <v>992</v>
      </c>
      <c r="E73" s="12" t="s">
        <v>1013</v>
      </c>
    </row>
    <row r="74" spans="1:5" ht="14.25" customHeight="1" x14ac:dyDescent="0.35">
      <c r="A74" s="12" t="s">
        <v>684</v>
      </c>
      <c r="B74" s="12" t="s">
        <v>1014</v>
      </c>
      <c r="C74" s="39">
        <f>$C$16</f>
        <v>57854667</v>
      </c>
      <c r="D74" s="12" t="s">
        <v>992</v>
      </c>
      <c r="E74" s="12" t="s">
        <v>1013</v>
      </c>
    </row>
    <row r="75" spans="1:5" ht="14.25" customHeight="1" x14ac:dyDescent="0.35">
      <c r="A75" s="12" t="s">
        <v>684</v>
      </c>
      <c r="B75" s="12" t="s">
        <v>1015</v>
      </c>
      <c r="C75" s="39">
        <f>$C$17</f>
        <v>13265000</v>
      </c>
      <c r="D75" s="12" t="s">
        <v>992</v>
      </c>
      <c r="E75" s="12" t="s">
        <v>1013</v>
      </c>
    </row>
    <row r="76" spans="1:5" ht="14.25" customHeight="1" x14ac:dyDescent="0.35">
      <c r="A76" s="12" t="s">
        <v>684</v>
      </c>
      <c r="B76" s="12" t="s">
        <v>1016</v>
      </c>
      <c r="C76" s="39">
        <f>$C$20</f>
        <v>159071091</v>
      </c>
      <c r="D76" s="12" t="s">
        <v>997</v>
      </c>
      <c r="E76" s="12" t="s">
        <v>1013</v>
      </c>
    </row>
    <row r="77" spans="1:5" ht="14.25" customHeight="1" x14ac:dyDescent="0.35">
      <c r="A77" s="12" t="s">
        <v>684</v>
      </c>
      <c r="B77" s="12" t="s">
        <v>1017</v>
      </c>
      <c r="C77" s="39">
        <f>$C$21</f>
        <v>41091286.18</v>
      </c>
      <c r="D77" s="12" t="s">
        <v>992</v>
      </c>
      <c r="E77" s="12" t="s">
        <v>1013</v>
      </c>
    </row>
    <row r="78" spans="1:5" ht="14.25" customHeight="1" x14ac:dyDescent="0.35">
      <c r="A78" s="12" t="s">
        <v>684</v>
      </c>
      <c r="B78" s="12" t="s">
        <v>1018</v>
      </c>
      <c r="C78" s="39">
        <f>$C$22</f>
        <v>14533270.83</v>
      </c>
      <c r="D78" s="12" t="s">
        <v>992</v>
      </c>
      <c r="E78" s="12" t="s">
        <v>1013</v>
      </c>
    </row>
    <row r="80" spans="1:5" ht="14.25" customHeight="1" x14ac:dyDescent="0.35">
      <c r="A80" s="6" t="s">
        <v>1019</v>
      </c>
      <c r="D80" s="88" t="s">
        <v>992</v>
      </c>
      <c r="E80" s="88" t="s">
        <v>1020</v>
      </c>
    </row>
    <row r="81" spans="1:9" ht="14.25" customHeight="1" x14ac:dyDescent="0.35">
      <c r="A81" s="12" t="s">
        <v>679</v>
      </c>
      <c r="C81" s="39">
        <f t="shared" ref="C81:C86" si="1">SUMIF($A$56:$A$78,A81,$C$56:$C$78)+SUMIF($D$144:$D$155,A81,$C$144:$C$155)</f>
        <v>469314556.75223023</v>
      </c>
      <c r="D81" s="39">
        <f t="shared" ref="D81:D86" si="2">SUMIFS($C$56:$C$78,$A$56:$A$78,A81,$D$56:$D$78,"Tetap")+SUMIFS($C$144:$C$155,$D$144:$D$155,A81,$E$144:$E$155,"Tetap")</f>
        <v>100030774.77325684</v>
      </c>
      <c r="E81" s="39">
        <f t="shared" ref="E81:E86" si="3">C81-D81</f>
        <v>369283781.97897339</v>
      </c>
    </row>
    <row r="82" spans="1:9" ht="14.25" customHeight="1" x14ac:dyDescent="0.35">
      <c r="A82" s="12" t="s">
        <v>972</v>
      </c>
      <c r="C82" s="39">
        <f t="shared" si="1"/>
        <v>53598624.961089984</v>
      </c>
      <c r="D82" s="39">
        <f t="shared" si="2"/>
        <v>0</v>
      </c>
      <c r="E82" s="39">
        <f t="shared" si="3"/>
        <v>53598624.961089984</v>
      </c>
    </row>
    <row r="83" spans="1:9" ht="14.25" customHeight="1" x14ac:dyDescent="0.35">
      <c r="A83" s="12" t="s">
        <v>681</v>
      </c>
      <c r="C83" s="39">
        <f t="shared" si="1"/>
        <v>419567213.2866798</v>
      </c>
      <c r="D83" s="39">
        <f t="shared" si="2"/>
        <v>282776650.22674316</v>
      </c>
      <c r="E83" s="39">
        <f t="shared" si="3"/>
        <v>136790563.05993664</v>
      </c>
    </row>
    <row r="84" spans="1:9" ht="14.25" customHeight="1" x14ac:dyDescent="0.35">
      <c r="A84" s="12" t="s">
        <v>1004</v>
      </c>
      <c r="C84" s="39">
        <f t="shared" si="1"/>
        <v>46737260</v>
      </c>
      <c r="D84" s="39">
        <f t="shared" si="2"/>
        <v>0</v>
      </c>
      <c r="E84" s="39">
        <f t="shared" si="3"/>
        <v>46737260</v>
      </c>
    </row>
    <row r="85" spans="1:9" ht="14.25" customHeight="1" x14ac:dyDescent="0.35">
      <c r="A85" s="12" t="s">
        <v>1008</v>
      </c>
      <c r="C85" s="39">
        <f t="shared" si="1"/>
        <v>313485769.26999998</v>
      </c>
      <c r="D85" s="39">
        <f t="shared" si="2"/>
        <v>154327775.69999999</v>
      </c>
      <c r="E85" s="39">
        <f t="shared" si="3"/>
        <v>159157993.56999999</v>
      </c>
    </row>
    <row r="86" spans="1:9" ht="14.25" customHeight="1" x14ac:dyDescent="0.35">
      <c r="A86" s="12" t="s">
        <v>684</v>
      </c>
      <c r="C86" s="39">
        <f t="shared" si="1"/>
        <v>270063312.92000002</v>
      </c>
      <c r="D86" s="39">
        <f t="shared" si="2"/>
        <v>269191912.92000002</v>
      </c>
      <c r="E86" s="39">
        <f t="shared" si="3"/>
        <v>871400</v>
      </c>
    </row>
    <row r="87" spans="1:9" ht="14.25" customHeight="1" x14ac:dyDescent="0.35">
      <c r="A87" s="40" t="s">
        <v>1021</v>
      </c>
      <c r="B87" s="45"/>
      <c r="C87" s="42">
        <f>SUM(C81:C86)</f>
        <v>1572766737.1900001</v>
      </c>
      <c r="D87" s="42">
        <f>SUM(D81:D86)</f>
        <v>806327113.62000012</v>
      </c>
      <c r="E87" s="42">
        <f>SUM(E81:E86)</f>
        <v>766439623.56999993</v>
      </c>
    </row>
    <row r="89" spans="1:9" ht="14.25" customHeight="1" x14ac:dyDescent="0.35">
      <c r="A89" s="9" t="s">
        <v>1022</v>
      </c>
      <c r="B89" s="10"/>
      <c r="C89" s="10"/>
      <c r="D89" s="10"/>
      <c r="E89" s="10"/>
      <c r="F89" s="10"/>
      <c r="G89" s="10"/>
      <c r="H89" s="10"/>
      <c r="I89" s="10"/>
    </row>
    <row r="90" spans="1:9" ht="24" customHeight="1" x14ac:dyDescent="0.35">
      <c r="A90" s="11" t="s">
        <v>1023</v>
      </c>
      <c r="B90" s="11" t="s">
        <v>133</v>
      </c>
      <c r="C90" s="11" t="s">
        <v>5</v>
      </c>
      <c r="D90" s="11" t="s">
        <v>6</v>
      </c>
      <c r="E90" s="11" t="s">
        <v>7</v>
      </c>
      <c r="F90" s="11" t="s">
        <v>8</v>
      </c>
      <c r="G90" s="11" t="s">
        <v>9</v>
      </c>
      <c r="H90" s="11" t="s">
        <v>74</v>
      </c>
    </row>
    <row r="91" spans="1:9" ht="14.25" customHeight="1" x14ac:dyDescent="0.35">
      <c r="A91" s="12" t="s">
        <v>261</v>
      </c>
      <c r="B91" s="12" t="s">
        <v>262</v>
      </c>
      <c r="C91" s="15">
        <f>FCC!$C$199</f>
        <v>17722</v>
      </c>
      <c r="D91" s="15">
        <f>UU!$C$199</f>
        <v>91</v>
      </c>
      <c r="E91" s="15">
        <f>UO!$C$195</f>
        <v>1109</v>
      </c>
      <c r="F91" s="15">
        <f>'LAIN-LAIN'!$H$43</f>
        <v>2689.1498999999999</v>
      </c>
      <c r="G91" s="38">
        <f>SUM(C91:F91)</f>
        <v>21611.1499</v>
      </c>
      <c r="H91" s="12"/>
    </row>
    <row r="92" spans="1:9" ht="14.25" customHeight="1" x14ac:dyDescent="0.35">
      <c r="A92" s="12" t="s">
        <v>998</v>
      </c>
      <c r="B92" s="12" t="s">
        <v>137</v>
      </c>
      <c r="C92" s="15">
        <f>FCC!$C$198</f>
        <v>215224</v>
      </c>
      <c r="D92" s="15">
        <f>UU!$C$198</f>
        <v>0</v>
      </c>
      <c r="E92" s="15">
        <f>UO!$C$194</f>
        <v>0</v>
      </c>
      <c r="F92" s="51">
        <v>0</v>
      </c>
      <c r="G92" s="38">
        <f>SUM(C92:F92)</f>
        <v>215224</v>
      </c>
      <c r="H92" s="12"/>
    </row>
    <row r="93" spans="1:9" ht="14.25" customHeight="1" x14ac:dyDescent="0.35">
      <c r="A93" s="12" t="s">
        <v>265</v>
      </c>
      <c r="B93" s="12" t="s">
        <v>265</v>
      </c>
      <c r="C93" s="15">
        <f>FCC!$C$200</f>
        <v>32546.283169066701</v>
      </c>
      <c r="D93" s="15">
        <f>UU!$C$200</f>
        <v>25.782341333333299</v>
      </c>
      <c r="E93" s="15">
        <f>UO!$C$196</f>
        <v>458.27533866666698</v>
      </c>
      <c r="F93" s="15">
        <f>'LAIN-LAIN'!$I$43</f>
        <v>10118.059200000002</v>
      </c>
      <c r="G93" s="38">
        <f>SUM(C93:F93)</f>
        <v>43148.400049066702</v>
      </c>
      <c r="H93" s="12"/>
    </row>
    <row r="94" spans="1:9" ht="14.25" customHeight="1" x14ac:dyDescent="0.35">
      <c r="A94" s="12" t="s">
        <v>1013</v>
      </c>
      <c r="B94" s="12" t="s">
        <v>140</v>
      </c>
      <c r="C94" s="13">
        <f>FCC!$G$229</f>
        <v>4233644581.4594436</v>
      </c>
      <c r="D94" s="13">
        <f>UU!$G$218</f>
        <v>12447449.363263678</v>
      </c>
      <c r="E94" s="13">
        <f>UO!$G$214</f>
        <v>173600702.19353086</v>
      </c>
      <c r="F94" s="13">
        <f>'LAIN-LAIN'!$G$43</f>
        <v>76673618.518439546</v>
      </c>
      <c r="G94" s="39">
        <f>SUM(C94:F94)</f>
        <v>4496366351.5346775</v>
      </c>
      <c r="H94" s="12"/>
    </row>
    <row r="95" spans="1:9" ht="14.25" customHeight="1" x14ac:dyDescent="0.35">
      <c r="A95" s="12" t="s">
        <v>1024</v>
      </c>
      <c r="B95" s="12" t="s">
        <v>137</v>
      </c>
      <c r="C95" s="15">
        <f>FCC!$B$30</f>
        <v>236923</v>
      </c>
      <c r="D95" s="15">
        <f>UU!$B$32</f>
        <v>467.5</v>
      </c>
      <c r="E95" s="15">
        <f>UO!$B$28</f>
        <v>6715.5</v>
      </c>
      <c r="F95" s="51">
        <v>0</v>
      </c>
      <c r="G95" s="38">
        <f>SUM(C95:F95)</f>
        <v>244106</v>
      </c>
      <c r="H95" s="12"/>
    </row>
    <row r="96" spans="1:9" ht="14.25" customHeight="1" x14ac:dyDescent="0.35">
      <c r="A96" s="6" t="s">
        <v>528</v>
      </c>
    </row>
    <row r="97" spans="1:9" ht="14.25" customHeight="1" x14ac:dyDescent="0.35">
      <c r="A97" s="12" t="s">
        <v>1025</v>
      </c>
      <c r="C97" s="43">
        <f>IF($G$91=0,0,C91/$G$91)</f>
        <v>0.82003965925015398</v>
      </c>
      <c r="D97" s="43">
        <f>IF($G$91=0,0,D91/$G$91)</f>
        <v>4.2107893573955545E-3</v>
      </c>
      <c r="E97" s="43">
        <f>IF($G$91=0,0,E91/$G$91)</f>
        <v>5.131610326760077E-2</v>
      </c>
      <c r="F97" s="43">
        <f>IF($G$91=0,0,F91/$G$91)</f>
        <v>0.12443344812484966</v>
      </c>
      <c r="G97" s="43">
        <f>IF($G$91=0,0,G91/$G$91)</f>
        <v>1</v>
      </c>
    </row>
    <row r="98" spans="1:9" ht="14.25" customHeight="1" x14ac:dyDescent="0.35">
      <c r="A98" s="12" t="s">
        <v>1026</v>
      </c>
      <c r="C98" s="43">
        <f>IF($G$92=0,0,C92/$G$92)</f>
        <v>1</v>
      </c>
      <c r="D98" s="43">
        <f>IF($G$92=0,0,D92/$G$92)</f>
        <v>0</v>
      </c>
      <c r="E98" s="43">
        <f>IF($G$92=0,0,E92/$G$92)</f>
        <v>0</v>
      </c>
      <c r="F98" s="43">
        <f>IF($G$92=0,0,F92/$G$92)</f>
        <v>0</v>
      </c>
      <c r="G98" s="43">
        <f>IF($G$92=0,0,G92/$G$92)</f>
        <v>1</v>
      </c>
    </row>
    <row r="99" spans="1:9" ht="14.25" customHeight="1" x14ac:dyDescent="0.35">
      <c r="A99" s="12" t="s">
        <v>1027</v>
      </c>
      <c r="C99" s="43">
        <f>IF($G$93=0,0,C93/$G$93)</f>
        <v>0.75428713769354871</v>
      </c>
      <c r="D99" s="43">
        <f>IF($G$93=0,0,D93/$G$93)</f>
        <v>5.9752716911900812E-4</v>
      </c>
      <c r="E99" s="43">
        <f>IF($G$93=0,0,E93/$G$93)</f>
        <v>1.0620911508782107E-2</v>
      </c>
      <c r="F99" s="43">
        <f>IF($G$93=0,0,F93/$G$93)</f>
        <v>0.23449442362855016</v>
      </c>
      <c r="G99" s="43">
        <f>IF($G$93=0,0,G93/$G$93)</f>
        <v>1</v>
      </c>
    </row>
    <row r="100" spans="1:9" ht="14.25" customHeight="1" x14ac:dyDescent="0.35">
      <c r="A100" s="12" t="s">
        <v>1028</v>
      </c>
      <c r="C100" s="43">
        <f>IF($G$94=0,0,C94/$G$94)</f>
        <v>0.94157020368556865</v>
      </c>
      <c r="D100" s="43">
        <f>IF($G$94=0,0,D94/$G$94)</f>
        <v>2.7683352267359566E-3</v>
      </c>
      <c r="E100" s="43">
        <f>IF($G$94=0,0,E94/$G$94)</f>
        <v>3.8609109805805376E-2</v>
      </c>
      <c r="F100" s="43">
        <f>IF($G$94=0,0,F94/$G$94)</f>
        <v>1.7052351281890029E-2</v>
      </c>
      <c r="G100" s="43">
        <f>IF($G$94=0,0,G94/$G$94)</f>
        <v>1</v>
      </c>
    </row>
    <row r="101" spans="1:9" ht="14.25" customHeight="1" x14ac:dyDescent="0.35">
      <c r="A101" s="12" t="s">
        <v>1029</v>
      </c>
      <c r="C101" s="43">
        <f>IF($G$95=0,0,C95/$G$95)</f>
        <v>0.9705742587236692</v>
      </c>
      <c r="D101" s="43">
        <f>IF($G$95=0,0,D95/$G$95)</f>
        <v>1.9151516144625695E-3</v>
      </c>
      <c r="E101" s="43">
        <f>IF($G$95=0,0,E95/$G$95)</f>
        <v>2.7510589661868205E-2</v>
      </c>
      <c r="F101" s="43">
        <f>IF($G$95=0,0,F95/$G$95)</f>
        <v>0</v>
      </c>
      <c r="G101" s="43">
        <f>IF($G$95=0,0,G95/$G$95)</f>
        <v>1</v>
      </c>
    </row>
    <row r="103" spans="1:9" ht="14.25" customHeight="1" x14ac:dyDescent="0.35">
      <c r="A103" s="9" t="s">
        <v>1030</v>
      </c>
      <c r="B103" s="10"/>
      <c r="C103" s="10"/>
      <c r="D103" s="10"/>
      <c r="E103" s="10"/>
      <c r="F103" s="10"/>
      <c r="G103" s="10"/>
      <c r="H103" s="10"/>
      <c r="I103" s="10"/>
    </row>
    <row r="104" spans="1:9" ht="24" customHeight="1" x14ac:dyDescent="0.35">
      <c r="A104" s="11" t="s">
        <v>4</v>
      </c>
      <c r="B104" s="11" t="s">
        <v>133</v>
      </c>
      <c r="C104" s="11" t="s">
        <v>95</v>
      </c>
      <c r="D104" s="11"/>
      <c r="E104" s="11"/>
      <c r="F104" s="11"/>
      <c r="G104" s="11"/>
      <c r="H104" s="11" t="s">
        <v>74</v>
      </c>
    </row>
    <row r="105" spans="1:9" ht="14.25" customHeight="1" x14ac:dyDescent="0.35">
      <c r="A105" s="12" t="s">
        <v>1031</v>
      </c>
      <c r="B105" s="12" t="s">
        <v>262</v>
      </c>
      <c r="C105" s="51">
        <v>24875.966666666602</v>
      </c>
      <c r="H105" s="12" t="s">
        <v>1032</v>
      </c>
    </row>
    <row r="106" spans="1:9" ht="14.25" customHeight="1" x14ac:dyDescent="0.35">
      <c r="A106" s="12" t="s">
        <v>1033</v>
      </c>
      <c r="B106" s="12" t="s">
        <v>262</v>
      </c>
      <c r="C106" s="38">
        <f>G91</f>
        <v>21611.1499</v>
      </c>
    </row>
    <row r="107" spans="1:9" ht="14.25" customHeight="1" x14ac:dyDescent="0.35">
      <c r="A107" s="12" t="s">
        <v>1034</v>
      </c>
      <c r="B107" s="12" t="s">
        <v>262</v>
      </c>
      <c r="C107" s="38">
        <f>C105-C106</f>
        <v>3264.8167666666013</v>
      </c>
      <c r="D107" s="43">
        <f>IF(C105=0,0,C107/C105)</f>
        <v>0.13124381498072207</v>
      </c>
    </row>
    <row r="108" spans="1:9" ht="14.25" customHeight="1" x14ac:dyDescent="0.35">
      <c r="A108" s="12" t="s">
        <v>1035</v>
      </c>
      <c r="B108" s="12" t="s">
        <v>1036</v>
      </c>
      <c r="C108" s="46">
        <f>IF(C105=0,0,$C$81/C105)</f>
        <v>18866.183696133678</v>
      </c>
    </row>
    <row r="109" spans="1:9" ht="14.25" customHeight="1" x14ac:dyDescent="0.35">
      <c r="A109" s="6" t="s">
        <v>1037</v>
      </c>
      <c r="B109" s="12" t="s">
        <v>140</v>
      </c>
      <c r="C109" s="85">
        <f>C107*C108</f>
        <v>61594632.854149304</v>
      </c>
    </row>
    <row r="110" spans="1:9" ht="14.25" customHeight="1" x14ac:dyDescent="0.35">
      <c r="A110" s="6" t="s">
        <v>1038</v>
      </c>
      <c r="C110" s="86">
        <v>0</v>
      </c>
      <c r="E110" s="12" t="s">
        <v>1039</v>
      </c>
    </row>
    <row r="111" spans="1:9" ht="14.25" customHeight="1" x14ac:dyDescent="0.35">
      <c r="A111" s="6" t="s">
        <v>1040</v>
      </c>
      <c r="C111" s="85">
        <f>C109*$C$110</f>
        <v>0</v>
      </c>
    </row>
    <row r="113" spans="1:9" ht="14.25" customHeight="1" x14ac:dyDescent="0.35">
      <c r="A113" s="9" t="s">
        <v>1041</v>
      </c>
      <c r="B113" s="10"/>
      <c r="C113" s="10"/>
      <c r="D113" s="10"/>
      <c r="E113" s="10"/>
      <c r="F113" s="10"/>
      <c r="G113" s="10"/>
      <c r="H113" s="10"/>
      <c r="I113" s="10"/>
    </row>
    <row r="114" spans="1:9" ht="24" customHeight="1" x14ac:dyDescent="0.35">
      <c r="A114" s="11" t="s">
        <v>904</v>
      </c>
      <c r="B114" s="11" t="s">
        <v>1023</v>
      </c>
      <c r="C114" s="11" t="s">
        <v>5</v>
      </c>
      <c r="D114" s="11" t="s">
        <v>6</v>
      </c>
      <c r="E114" s="11" t="s">
        <v>7</v>
      </c>
      <c r="F114" s="11" t="s">
        <v>8</v>
      </c>
      <c r="G114" s="11" t="s">
        <v>9</v>
      </c>
      <c r="H114" s="11" t="s">
        <v>1042</v>
      </c>
      <c r="I114" s="11" t="s">
        <v>41</v>
      </c>
    </row>
    <row r="115" spans="1:9" ht="14.25" customHeight="1" x14ac:dyDescent="0.35">
      <c r="A115" s="12" t="s">
        <v>679</v>
      </c>
      <c r="B115" s="12" t="s">
        <v>261</v>
      </c>
      <c r="C115" s="39">
        <f>($C$81-$C$111)*C$97</f>
        <v>384856549.2002359</v>
      </c>
      <c r="D115" s="39">
        <f>($C$81-$C$111)*D$97</f>
        <v>1976184.740843103</v>
      </c>
      <c r="E115" s="39">
        <f>($C$81-$C$111)*E$97</f>
        <v>24083394.259285729</v>
      </c>
      <c r="F115" s="39">
        <f>($C$81-$C$111)*F$97</f>
        <v>58398428.551865451</v>
      </c>
      <c r="G115" s="39">
        <f t="shared" ref="G115:G120" si="4">SUM(C115:F115)</f>
        <v>469314556.75223023</v>
      </c>
      <c r="H115" s="39">
        <f>$C$81-$C$111</f>
        <v>469314556.75223023</v>
      </c>
      <c r="I115" s="39">
        <f t="shared" ref="I115:I120" si="5">G115-H115</f>
        <v>0</v>
      </c>
    </row>
    <row r="116" spans="1:9" ht="14.25" customHeight="1" x14ac:dyDescent="0.35">
      <c r="A116" s="12" t="s">
        <v>972</v>
      </c>
      <c r="B116" s="12" t="s">
        <v>998</v>
      </c>
      <c r="C116" s="39">
        <f>($C$82)*C$98</f>
        <v>53598624.961089984</v>
      </c>
      <c r="D116" s="39">
        <f>($C$82)*D$98</f>
        <v>0</v>
      </c>
      <c r="E116" s="39">
        <f>($C$82)*E$98</f>
        <v>0</v>
      </c>
      <c r="F116" s="39">
        <f>($C$82)*F$98</f>
        <v>0</v>
      </c>
      <c r="G116" s="39">
        <f t="shared" si="4"/>
        <v>53598624.961089984</v>
      </c>
      <c r="H116" s="39">
        <f>$C$82</f>
        <v>53598624.961089984</v>
      </c>
      <c r="I116" s="39">
        <f t="shared" si="5"/>
        <v>0</v>
      </c>
    </row>
    <row r="117" spans="1:9" ht="14.25" customHeight="1" x14ac:dyDescent="0.35">
      <c r="A117" s="12" t="s">
        <v>681</v>
      </c>
      <c r="B117" s="12" t="s">
        <v>261</v>
      </c>
      <c r="C117" s="39">
        <f>($C$83)*C$97</f>
        <v>344061754.61614561</v>
      </c>
      <c r="D117" s="39">
        <f>($C$83)*D$97</f>
        <v>1766709.1564196621</v>
      </c>
      <c r="E117" s="39">
        <f>($C$83)*E$97</f>
        <v>21530554.444718737</v>
      </c>
      <c r="F117" s="39">
        <f>($C$83)*F$97</f>
        <v>52208195.069395803</v>
      </c>
      <c r="G117" s="39">
        <f t="shared" si="4"/>
        <v>419567213.28667974</v>
      </c>
      <c r="H117" s="39">
        <f>$C$83</f>
        <v>419567213.2866798</v>
      </c>
      <c r="I117" s="39">
        <f t="shared" si="5"/>
        <v>0</v>
      </c>
    </row>
    <row r="118" spans="1:9" ht="14.25" customHeight="1" x14ac:dyDescent="0.35">
      <c r="A118" s="12" t="s">
        <v>1004</v>
      </c>
      <c r="B118" s="12" t="s">
        <v>265</v>
      </c>
      <c r="C118" s="39">
        <f>($C$84)*C$99</f>
        <v>35253314.069039188</v>
      </c>
      <c r="D118" s="39">
        <f>($C$84)*D$99</f>
        <v>27926.782660179055</v>
      </c>
      <c r="E118" s="39">
        <f>($C$84)*E$99</f>
        <v>496392.30262294161</v>
      </c>
      <c r="F118" s="39">
        <f>($C$84)*F$99</f>
        <v>10959626.845677692</v>
      </c>
      <c r="G118" s="39">
        <f t="shared" si="4"/>
        <v>46737260</v>
      </c>
      <c r="H118" s="39">
        <f>$C$84</f>
        <v>46737260</v>
      </c>
      <c r="I118" s="39">
        <f t="shared" si="5"/>
        <v>0</v>
      </c>
    </row>
    <row r="119" spans="1:9" ht="14.25" customHeight="1" x14ac:dyDescent="0.35">
      <c r="A119" s="12" t="s">
        <v>1008</v>
      </c>
      <c r="B119" s="12" t="s">
        <v>1043</v>
      </c>
      <c r="C119" s="39">
        <f>$C$85*C$174</f>
        <v>214972608.09768781</v>
      </c>
      <c r="D119" s="39">
        <f>$C$85*D$174</f>
        <v>1261824.927294265</v>
      </c>
      <c r="E119" s="39">
        <f>$C$85*E$174</f>
        <v>22428655.272909626</v>
      </c>
      <c r="F119" s="39">
        <f>$C$85*F$174</f>
        <v>74822680.97210826</v>
      </c>
      <c r="G119" s="39">
        <f t="shared" si="4"/>
        <v>313485769.26999992</v>
      </c>
      <c r="H119" s="39">
        <f>$C$85</f>
        <v>313485769.26999998</v>
      </c>
      <c r="I119" s="39">
        <f t="shared" si="5"/>
        <v>0</v>
      </c>
    </row>
    <row r="120" spans="1:9" ht="14.25" customHeight="1" x14ac:dyDescent="0.35">
      <c r="A120" s="12" t="s">
        <v>684</v>
      </c>
      <c r="B120" s="12" t="s">
        <v>1013</v>
      </c>
      <c r="C120" s="39">
        <f>($C$86)*C$100</f>
        <v>254283568.55408388</v>
      </c>
      <c r="D120" s="39">
        <f>($C$86)*D$100</f>
        <v>747625.78260545188</v>
      </c>
      <c r="E120" s="39">
        <f>($C$86)*E$100</f>
        <v>10426904.103047859</v>
      </c>
      <c r="F120" s="39">
        <f>($C$86)*F$100</f>
        <v>4605214.4802628299</v>
      </c>
      <c r="G120" s="39">
        <f t="shared" si="4"/>
        <v>270063312.92000002</v>
      </c>
      <c r="H120" s="39">
        <f>$C$86</f>
        <v>270063312.92000002</v>
      </c>
      <c r="I120" s="39">
        <f t="shared" si="5"/>
        <v>0</v>
      </c>
    </row>
    <row r="121" spans="1:9" ht="14.25" customHeight="1" x14ac:dyDescent="0.35">
      <c r="A121" s="40" t="s">
        <v>9</v>
      </c>
      <c r="B121" s="45"/>
      <c r="C121" s="42">
        <f t="shared" ref="C121:I121" si="6">SUM(C115:C120)</f>
        <v>1287026419.4982824</v>
      </c>
      <c r="D121" s="42">
        <f t="shared" si="6"/>
        <v>5780271.3898226609</v>
      </c>
      <c r="E121" s="42">
        <f t="shared" si="6"/>
        <v>78965900.3825849</v>
      </c>
      <c r="F121" s="42">
        <f t="shared" si="6"/>
        <v>200994145.91931003</v>
      </c>
      <c r="G121" s="42">
        <f t="shared" si="6"/>
        <v>1572766737.1900001</v>
      </c>
      <c r="H121" s="42">
        <f t="shared" si="6"/>
        <v>1572766737.1900001</v>
      </c>
      <c r="I121" s="42">
        <f t="shared" si="6"/>
        <v>0</v>
      </c>
    </row>
    <row r="123" spans="1:9" ht="14.25" customHeight="1" x14ac:dyDescent="0.35">
      <c r="A123" s="9" t="s">
        <v>1044</v>
      </c>
      <c r="B123" s="10"/>
      <c r="C123" s="10"/>
      <c r="D123" s="10"/>
      <c r="E123" s="10"/>
      <c r="F123" s="10"/>
      <c r="G123" s="10"/>
      <c r="H123" s="10"/>
      <c r="I123" s="10"/>
    </row>
    <row r="124" spans="1:9" ht="24" customHeight="1" x14ac:dyDescent="0.35">
      <c r="A124" s="11" t="s">
        <v>904</v>
      </c>
      <c r="B124" s="11" t="s">
        <v>1023</v>
      </c>
      <c r="C124" s="11" t="s">
        <v>5</v>
      </c>
      <c r="D124" s="11" t="s">
        <v>6</v>
      </c>
      <c r="E124" s="11" t="s">
        <v>7</v>
      </c>
      <c r="F124" s="11" t="s">
        <v>8</v>
      </c>
      <c r="G124" s="11" t="s">
        <v>9</v>
      </c>
      <c r="H124" s="11" t="s">
        <v>1042</v>
      </c>
      <c r="I124" s="11" t="s">
        <v>41</v>
      </c>
    </row>
    <row r="125" spans="1:9" ht="14.25" customHeight="1" x14ac:dyDescent="0.35">
      <c r="A125" s="12" t="s">
        <v>679</v>
      </c>
      <c r="B125" s="12" t="s">
        <v>1024</v>
      </c>
      <c r="C125" s="39">
        <f>($C$81-$C$111)*C$101</f>
        <v>455504628.02802324</v>
      </c>
      <c r="D125" s="39">
        <f>($C$81-$C$111)*D$101</f>
        <v>898808.53105481889</v>
      </c>
      <c r="E125" s="39">
        <f>($C$81-$C$111)*E$101</f>
        <v>12911120.193152163</v>
      </c>
      <c r="F125" s="39">
        <f>($C$81-$C$111)*F$101</f>
        <v>0</v>
      </c>
      <c r="G125" s="39">
        <f t="shared" ref="G125:G130" si="7">SUM(C125:F125)</f>
        <v>469314556.75223023</v>
      </c>
      <c r="H125" s="39">
        <f>$C$81-$C$111</f>
        <v>469314556.75223023</v>
      </c>
      <c r="I125" s="39">
        <f t="shared" ref="I125:I130" si="8">G125-H125</f>
        <v>0</v>
      </c>
    </row>
    <row r="126" spans="1:9" ht="14.25" customHeight="1" x14ac:dyDescent="0.35">
      <c r="A126" s="12" t="s">
        <v>972</v>
      </c>
      <c r="B126" s="12" t="s">
        <v>998</v>
      </c>
      <c r="C126" s="39">
        <f>($C$82)*C$98</f>
        <v>53598624.961089984</v>
      </c>
      <c r="D126" s="39">
        <f>($C$82)*D$98</f>
        <v>0</v>
      </c>
      <c r="E126" s="39">
        <f>($C$82)*E$98</f>
        <v>0</v>
      </c>
      <c r="F126" s="39">
        <f>($C$82)*F$98</f>
        <v>0</v>
      </c>
      <c r="G126" s="39">
        <f t="shared" si="7"/>
        <v>53598624.961089984</v>
      </c>
      <c r="H126" s="39">
        <f>$C$82</f>
        <v>53598624.961089984</v>
      </c>
      <c r="I126" s="39">
        <f t="shared" si="8"/>
        <v>0</v>
      </c>
    </row>
    <row r="127" spans="1:9" ht="14.25" customHeight="1" x14ac:dyDescent="0.35">
      <c r="A127" s="12" t="s">
        <v>681</v>
      </c>
      <c r="B127" s="12" t="s">
        <v>1024</v>
      </c>
      <c r="C127" s="39">
        <f>($C$83)*C$101</f>
        <v>407221137.02047485</v>
      </c>
      <c r="D127" s="39">
        <f>($C$83)*D$101</f>
        <v>803534.82590154605</v>
      </c>
      <c r="E127" s="39">
        <f>($C$83)*E$101</f>
        <v>11542541.440303385</v>
      </c>
      <c r="F127" s="39">
        <f>($C$83)*F$101</f>
        <v>0</v>
      </c>
      <c r="G127" s="39">
        <f t="shared" si="7"/>
        <v>419567213.2866798</v>
      </c>
      <c r="H127" s="39">
        <f>$C$83</f>
        <v>419567213.2866798</v>
      </c>
      <c r="I127" s="39">
        <f t="shared" si="8"/>
        <v>0</v>
      </c>
    </row>
    <row r="128" spans="1:9" ht="14.25" customHeight="1" x14ac:dyDescent="0.35">
      <c r="A128" s="12" t="s">
        <v>1004</v>
      </c>
      <c r="B128" s="12" t="s">
        <v>1024</v>
      </c>
      <c r="C128" s="39">
        <f>($C$84)*C$101</f>
        <v>45361981.479275398</v>
      </c>
      <c r="D128" s="39">
        <f>($C$84)*D$101</f>
        <v>89508.938944556867</v>
      </c>
      <c r="E128" s="39">
        <f>($C$84)*E$101</f>
        <v>1285769.5817800465</v>
      </c>
      <c r="F128" s="39">
        <f>($C$84)*F$101</f>
        <v>0</v>
      </c>
      <c r="G128" s="39">
        <f t="shared" si="7"/>
        <v>46737260</v>
      </c>
      <c r="H128" s="39">
        <f>$C$84</f>
        <v>46737260</v>
      </c>
      <c r="I128" s="39">
        <f t="shared" si="8"/>
        <v>0</v>
      </c>
    </row>
    <row r="129" spans="1:9" ht="14.25" customHeight="1" x14ac:dyDescent="0.35">
      <c r="A129" s="12" t="s">
        <v>1008</v>
      </c>
      <c r="B129" s="12" t="s">
        <v>265</v>
      </c>
      <c r="C129" s="39">
        <f>($C$85)*C$99</f>
        <v>236458283.61032853</v>
      </c>
      <c r="D129" s="39">
        <f>($C$85)*D$99</f>
        <v>187316.26427099764</v>
      </c>
      <c r="E129" s="39">
        <f>($C$85)*E$99</f>
        <v>3329504.6146791549</v>
      </c>
      <c r="F129" s="39">
        <f>($C$85)*F$99</f>
        <v>73510664.780721307</v>
      </c>
      <c r="G129" s="39">
        <f t="shared" si="7"/>
        <v>313485769.26999998</v>
      </c>
      <c r="H129" s="39">
        <f>$C$85</f>
        <v>313485769.26999998</v>
      </c>
      <c r="I129" s="39">
        <f t="shared" si="8"/>
        <v>0</v>
      </c>
    </row>
    <row r="130" spans="1:9" ht="14.25" customHeight="1" x14ac:dyDescent="0.35">
      <c r="A130" s="12" t="s">
        <v>684</v>
      </c>
      <c r="B130" s="12" t="s">
        <v>1013</v>
      </c>
      <c r="C130" s="39">
        <f>($C$86)*C$100</f>
        <v>254283568.55408388</v>
      </c>
      <c r="D130" s="39">
        <f>($C$86)*D$100</f>
        <v>747625.78260545188</v>
      </c>
      <c r="E130" s="39">
        <f>($C$86)*E$100</f>
        <v>10426904.103047859</v>
      </c>
      <c r="F130" s="39">
        <f>($C$86)*F$100</f>
        <v>4605214.4802628299</v>
      </c>
      <c r="G130" s="39">
        <f t="shared" si="7"/>
        <v>270063312.92000002</v>
      </c>
      <c r="H130" s="39">
        <f>$C$86</f>
        <v>270063312.92000002</v>
      </c>
      <c r="I130" s="39">
        <f t="shared" si="8"/>
        <v>0</v>
      </c>
    </row>
    <row r="131" spans="1:9" ht="14.25" customHeight="1" x14ac:dyDescent="0.35">
      <c r="A131" s="40" t="s">
        <v>9</v>
      </c>
      <c r="B131" s="45"/>
      <c r="C131" s="42">
        <f t="shared" ref="C131:I131" si="9">SUM(C125:C130)</f>
        <v>1452428223.6532757</v>
      </c>
      <c r="D131" s="42">
        <f t="shared" si="9"/>
        <v>2726794.3427773714</v>
      </c>
      <c r="E131" s="42">
        <f t="shared" si="9"/>
        <v>39495839.932962611</v>
      </c>
      <c r="F131" s="42">
        <f t="shared" si="9"/>
        <v>78115879.260984138</v>
      </c>
      <c r="G131" s="42">
        <f t="shared" si="9"/>
        <v>1572766737.1900001</v>
      </c>
      <c r="H131" s="42">
        <f t="shared" si="9"/>
        <v>1572766737.1900001</v>
      </c>
      <c r="I131" s="42">
        <f t="shared" si="9"/>
        <v>0</v>
      </c>
    </row>
    <row r="133" spans="1:9" ht="14.25" customHeight="1" x14ac:dyDescent="0.35">
      <c r="A133" s="9" t="s">
        <v>1045</v>
      </c>
      <c r="B133" s="10"/>
      <c r="C133" s="10"/>
      <c r="D133" s="10"/>
      <c r="E133" s="10"/>
      <c r="F133" s="10"/>
      <c r="G133" s="10"/>
      <c r="H133" s="10"/>
      <c r="I133" s="10"/>
    </row>
    <row r="134" spans="1:9" ht="14.25" customHeight="1" x14ac:dyDescent="0.35">
      <c r="A134" s="11" t="s">
        <v>202</v>
      </c>
      <c r="B134" s="11"/>
      <c r="C134" s="11" t="s">
        <v>231</v>
      </c>
      <c r="D134" s="11" t="s">
        <v>50</v>
      </c>
    </row>
    <row r="135" spans="1:9" ht="14.25" customHeight="1" x14ac:dyDescent="0.35">
      <c r="A135" s="12" t="s">
        <v>1046</v>
      </c>
      <c r="C135" s="46">
        <f>$C$87-$C$23-$C$157-$C$158</f>
        <v>7.4505805969238281E-8</v>
      </c>
      <c r="D135" s="7" t="str">
        <f>IF(ISERROR(C135),"GAGAL",IF(ABS(C135)&lt;=1,"LULUS","GAGAL"))</f>
        <v>LULUS</v>
      </c>
    </row>
    <row r="136" spans="1:9" ht="14.25" customHeight="1" x14ac:dyDescent="0.35">
      <c r="A136" s="12" t="s">
        <v>1047</v>
      </c>
      <c r="C136" s="46">
        <f>$C$23-$C$24</f>
        <v>0</v>
      </c>
      <c r="D136" s="7" t="str">
        <f>IF(ISERROR(C136),"GAGAL",IF(ABS(C136)&lt;=1,"LULUS","GAGAL"))</f>
        <v>LULUS</v>
      </c>
    </row>
    <row r="137" spans="1:9" ht="14.25" customHeight="1" x14ac:dyDescent="0.35">
      <c r="A137" s="12" t="s">
        <v>1048</v>
      </c>
      <c r="C137" s="46">
        <f>I121</f>
        <v>0</v>
      </c>
      <c r="D137" s="7" t="str">
        <f>IF(ISERROR(C137),"GAGAL",IF(ABS(C137)&lt;=1,"LULUS","GAGAL"))</f>
        <v>LULUS</v>
      </c>
    </row>
    <row r="138" spans="1:9" ht="14.25" customHeight="1" x14ac:dyDescent="0.35">
      <c r="A138" s="12" t="s">
        <v>1049</v>
      </c>
      <c r="C138" s="46">
        <f>I131</f>
        <v>0</v>
      </c>
      <c r="D138" s="7" t="str">
        <f>IF(ISERROR(C138),"GAGAL",IF(ABS(C138)&lt;=1,"LULUS","GAGAL"))</f>
        <v>LULUS</v>
      </c>
    </row>
    <row r="139" spans="1:9" ht="14.25" customHeight="1" x14ac:dyDescent="0.35">
      <c r="A139" s="6" t="s">
        <v>502</v>
      </c>
      <c r="D139" s="7" t="str">
        <f>IF(AND(COUNTIF(D135:D138,"GAGAL")=0,D186="LULUS"),"LULUS","GAGAL")</f>
        <v>LULUS</v>
      </c>
    </row>
    <row r="142" spans="1:9" ht="14.25" customHeight="1" x14ac:dyDescent="0.35">
      <c r="A142" s="62" t="s">
        <v>1050</v>
      </c>
      <c r="B142" s="10"/>
      <c r="C142" s="10"/>
      <c r="D142" s="10"/>
      <c r="E142" s="10"/>
      <c r="F142" s="10"/>
      <c r="G142" s="10"/>
      <c r="H142" s="10"/>
      <c r="I142" s="10"/>
    </row>
    <row r="143" spans="1:9" ht="14.25" customHeight="1" x14ac:dyDescent="0.35">
      <c r="A143" s="19" t="s">
        <v>1051</v>
      </c>
      <c r="B143" s="19" t="s">
        <v>1052</v>
      </c>
      <c r="C143" s="20" t="s">
        <v>903</v>
      </c>
      <c r="D143" s="20" t="s">
        <v>1053</v>
      </c>
      <c r="E143" s="20" t="s">
        <v>987</v>
      </c>
      <c r="F143" s="20" t="s">
        <v>1054</v>
      </c>
    </row>
    <row r="144" spans="1:9" ht="14.25" customHeight="1" x14ac:dyDescent="0.35">
      <c r="A144" s="63" t="s">
        <v>1055</v>
      </c>
      <c r="B144" s="63" t="s">
        <v>1056</v>
      </c>
      <c r="C144" s="33">
        <v>62104535.170000002</v>
      </c>
      <c r="D144" s="63" t="s">
        <v>684</v>
      </c>
      <c r="E144" s="63" t="s">
        <v>992</v>
      </c>
      <c r="F144" s="67" t="s">
        <v>1057</v>
      </c>
    </row>
    <row r="145" spans="1:6" ht="14.25" customHeight="1" x14ac:dyDescent="0.35">
      <c r="A145" s="63" t="s">
        <v>1058</v>
      </c>
      <c r="B145" s="63" t="s">
        <v>1059</v>
      </c>
      <c r="C145" s="33">
        <v>38256757</v>
      </c>
      <c r="D145" s="63" t="s">
        <v>684</v>
      </c>
      <c r="E145" s="63" t="s">
        <v>992</v>
      </c>
      <c r="F145" s="67" t="s">
        <v>1060</v>
      </c>
    </row>
    <row r="146" spans="1:6" ht="14.25" customHeight="1" x14ac:dyDescent="0.35">
      <c r="A146" s="63" t="s">
        <v>1061</v>
      </c>
      <c r="B146" s="63" t="s">
        <v>1062</v>
      </c>
      <c r="C146" s="33">
        <v>2798000</v>
      </c>
      <c r="D146" s="63" t="s">
        <v>684</v>
      </c>
      <c r="E146" s="63" t="s">
        <v>992</v>
      </c>
      <c r="F146" s="67" t="s">
        <v>1063</v>
      </c>
    </row>
    <row r="147" spans="1:6" ht="14.25" customHeight="1" x14ac:dyDescent="0.35">
      <c r="A147" s="63" t="s">
        <v>1064</v>
      </c>
      <c r="B147" s="63" t="s">
        <v>1065</v>
      </c>
      <c r="C147" s="33">
        <v>5716667</v>
      </c>
      <c r="D147" s="63" t="s">
        <v>684</v>
      </c>
      <c r="E147" s="63" t="s">
        <v>992</v>
      </c>
      <c r="F147" s="67" t="s">
        <v>1066</v>
      </c>
    </row>
    <row r="148" spans="1:6" ht="14.25" customHeight="1" x14ac:dyDescent="0.35">
      <c r="A148" s="63" t="s">
        <v>1067</v>
      </c>
      <c r="B148" s="63" t="s">
        <v>1068</v>
      </c>
      <c r="C148" s="33">
        <v>63137128</v>
      </c>
      <c r="D148" s="63" t="s">
        <v>1069</v>
      </c>
      <c r="E148" s="63" t="s">
        <v>992</v>
      </c>
      <c r="F148" s="67" t="s">
        <v>1070</v>
      </c>
    </row>
    <row r="149" spans="1:6" ht="14.25" customHeight="1" x14ac:dyDescent="0.35">
      <c r="A149" s="63" t="s">
        <v>911</v>
      </c>
      <c r="B149" s="63" t="s">
        <v>1071</v>
      </c>
      <c r="C149" s="33">
        <v>-28362872</v>
      </c>
      <c r="D149" s="63" t="s">
        <v>1069</v>
      </c>
      <c r="E149" s="63" t="s">
        <v>992</v>
      </c>
      <c r="F149" s="67" t="s">
        <v>1070</v>
      </c>
    </row>
    <row r="150" spans="1:6" ht="14.25" customHeight="1" x14ac:dyDescent="0.35">
      <c r="A150" s="63" t="s">
        <v>906</v>
      </c>
      <c r="B150" s="63" t="s">
        <v>1072</v>
      </c>
      <c r="C150" s="33">
        <v>-32360982</v>
      </c>
      <c r="D150" s="63" t="s">
        <v>681</v>
      </c>
      <c r="E150" s="63" t="s">
        <v>992</v>
      </c>
      <c r="F150" s="67" t="s">
        <v>1073</v>
      </c>
    </row>
    <row r="151" spans="1:6" ht="14.25" customHeight="1" x14ac:dyDescent="0.35">
      <c r="A151" s="63" t="s">
        <v>906</v>
      </c>
      <c r="B151" s="63" t="s">
        <v>1074</v>
      </c>
      <c r="C151" s="33">
        <v>0</v>
      </c>
      <c r="D151" s="63" t="s">
        <v>681</v>
      </c>
      <c r="E151" s="63" t="s">
        <v>992</v>
      </c>
      <c r="F151" s="67" t="s">
        <v>1075</v>
      </c>
    </row>
    <row r="152" spans="1:6" ht="14.25" customHeight="1" x14ac:dyDescent="0.35">
      <c r="A152" s="63" t="s">
        <v>942</v>
      </c>
      <c r="B152" s="63" t="s">
        <v>1076</v>
      </c>
      <c r="C152" s="33">
        <v>-129411141</v>
      </c>
      <c r="D152" s="63" t="s">
        <v>684</v>
      </c>
      <c r="E152" s="63" t="s">
        <v>997</v>
      </c>
      <c r="F152" s="67" t="s">
        <v>1077</v>
      </c>
    </row>
    <row r="153" spans="1:6" ht="14.25" customHeight="1" x14ac:dyDescent="0.35">
      <c r="A153" s="63" t="s">
        <v>942</v>
      </c>
      <c r="B153" s="63" t="s">
        <v>1078</v>
      </c>
      <c r="C153" s="33">
        <v>41897465</v>
      </c>
      <c r="D153" s="63" t="s">
        <v>1079</v>
      </c>
      <c r="E153" s="63" t="s">
        <v>997</v>
      </c>
      <c r="F153" s="67" t="s">
        <v>1080</v>
      </c>
    </row>
    <row r="154" spans="1:6" ht="14.25" customHeight="1" x14ac:dyDescent="0.35">
      <c r="A154" s="63" t="s">
        <v>942</v>
      </c>
      <c r="B154" s="63" t="s">
        <v>1081</v>
      </c>
      <c r="C154" s="33">
        <v>-28788550</v>
      </c>
      <c r="D154" s="63" t="s">
        <v>684</v>
      </c>
      <c r="E154" s="63" t="s">
        <v>997</v>
      </c>
      <c r="F154" s="67" t="s">
        <v>1082</v>
      </c>
    </row>
    <row r="155" spans="1:6" ht="14.25" customHeight="1" x14ac:dyDescent="0.35">
      <c r="A155" s="63" t="s">
        <v>942</v>
      </c>
      <c r="B155" s="63" t="s">
        <v>1083</v>
      </c>
      <c r="C155" s="33">
        <v>28788550</v>
      </c>
      <c r="D155" s="63" t="s">
        <v>1008</v>
      </c>
      <c r="E155" s="63" t="s">
        <v>990</v>
      </c>
      <c r="F155" s="67" t="s">
        <v>1082</v>
      </c>
    </row>
    <row r="156" spans="1:6" ht="14.25" customHeight="1" x14ac:dyDescent="0.35">
      <c r="B156" s="72" t="s">
        <v>1084</v>
      </c>
      <c r="C156" s="79">
        <f>SUM($C$144:$C$155)</f>
        <v>23775557.170000017</v>
      </c>
    </row>
    <row r="157" spans="1:6" ht="14.25" customHeight="1" x14ac:dyDescent="0.35">
      <c r="B157" s="63" t="s">
        <v>1085</v>
      </c>
      <c r="C157" s="64">
        <f>SUMIF($D$144:$D$155,"Grup*",$C$144:$C$155)</f>
        <v>-52896163.829999998</v>
      </c>
    </row>
    <row r="158" spans="1:6" ht="14.25" customHeight="1" x14ac:dyDescent="0.35">
      <c r="B158" s="63" t="s">
        <v>1086</v>
      </c>
      <c r="C158" s="64">
        <f>SUMIF($D$144:$D$155,"THR*",$C$144:$C$155)</f>
        <v>34774256</v>
      </c>
    </row>
    <row r="159" spans="1:6" ht="14.25" customHeight="1" x14ac:dyDescent="0.35">
      <c r="B159" s="63" t="s">
        <v>1087</v>
      </c>
      <c r="C159" s="64">
        <f>SUMIF($D$144:$D$155,"Material FCC*",$C$144:$C$155)</f>
        <v>41897465</v>
      </c>
    </row>
    <row r="160" spans="1:6" ht="14.25" customHeight="1" x14ac:dyDescent="0.35">
      <c r="B160" s="63" t="s">
        <v>1088</v>
      </c>
      <c r="C160" s="64">
        <f>$C$8+C158</f>
        <v>63137128</v>
      </c>
    </row>
    <row r="162" spans="1:9" ht="14.25" customHeight="1" x14ac:dyDescent="0.35">
      <c r="A162" s="62" t="s">
        <v>1089</v>
      </c>
      <c r="B162" s="10"/>
      <c r="C162" s="10"/>
      <c r="D162" s="10"/>
      <c r="E162" s="10"/>
      <c r="F162" s="10"/>
      <c r="G162" s="10"/>
      <c r="H162" s="10"/>
      <c r="I162" s="10"/>
    </row>
    <row r="163" spans="1:9" ht="14.25" customHeight="1" x14ac:dyDescent="0.35">
      <c r="A163" s="19" t="s">
        <v>99</v>
      </c>
      <c r="B163" s="19"/>
      <c r="C163" s="20" t="s">
        <v>903</v>
      </c>
      <c r="D163" s="20" t="s">
        <v>1090</v>
      </c>
      <c r="E163" s="20"/>
      <c r="F163" s="20" t="s">
        <v>1091</v>
      </c>
    </row>
    <row r="164" spans="1:9" ht="14.25" customHeight="1" x14ac:dyDescent="0.35">
      <c r="A164" s="63" t="s">
        <v>1092</v>
      </c>
      <c r="C164" s="33">
        <v>559672970</v>
      </c>
      <c r="D164" s="67" t="s">
        <v>1093</v>
      </c>
      <c r="F164" s="67" t="s">
        <v>1094</v>
      </c>
    </row>
    <row r="165" spans="1:9" ht="14.25" customHeight="1" x14ac:dyDescent="0.35">
      <c r="A165" s="63" t="s">
        <v>1095</v>
      </c>
      <c r="C165" s="33">
        <v>165344478</v>
      </c>
      <c r="D165" s="67" t="s">
        <v>1096</v>
      </c>
      <c r="F165" s="67" t="s">
        <v>1097</v>
      </c>
    </row>
    <row r="166" spans="1:9" ht="14.25" customHeight="1" x14ac:dyDescent="0.35">
      <c r="A166" s="63" t="s">
        <v>1098</v>
      </c>
      <c r="C166" s="33">
        <v>67951482</v>
      </c>
      <c r="D166" s="67" t="s">
        <v>1099</v>
      </c>
      <c r="F166" s="67" t="s">
        <v>1100</v>
      </c>
    </row>
    <row r="167" spans="1:9" ht="14.25" customHeight="1" x14ac:dyDescent="0.35">
      <c r="A167" s="72" t="s">
        <v>1101</v>
      </c>
      <c r="C167" s="79">
        <f>SUM(C164:C166)</f>
        <v>792968930</v>
      </c>
    </row>
    <row r="169" spans="1:9" ht="14.25" customHeight="1" x14ac:dyDescent="0.35">
      <c r="A169" s="62" t="s">
        <v>1102</v>
      </c>
      <c r="B169" s="10"/>
      <c r="C169" s="10"/>
      <c r="D169" s="10"/>
      <c r="E169" s="10"/>
      <c r="F169" s="10"/>
      <c r="G169" s="10"/>
      <c r="H169" s="10"/>
      <c r="I169" s="10"/>
    </row>
    <row r="170" spans="1:9" ht="14.25" customHeight="1" x14ac:dyDescent="0.35">
      <c r="A170" s="19" t="s">
        <v>4</v>
      </c>
      <c r="B170" s="19" t="s">
        <v>133</v>
      </c>
      <c r="C170" s="20" t="s">
        <v>5</v>
      </c>
      <c r="D170" s="20" t="s">
        <v>6</v>
      </c>
      <c r="E170" s="20" t="s">
        <v>7</v>
      </c>
      <c r="F170" s="20" t="s">
        <v>8</v>
      </c>
      <c r="G170" s="20" t="s">
        <v>9</v>
      </c>
      <c r="H170" s="20" t="s">
        <v>74</v>
      </c>
    </row>
    <row r="171" spans="1:9" ht="14.25" customHeight="1" x14ac:dyDescent="0.35">
      <c r="A171" s="63" t="s">
        <v>1103</v>
      </c>
      <c r="B171" s="63" t="s">
        <v>262</v>
      </c>
      <c r="C171" s="82">
        <v>4626.07</v>
      </c>
      <c r="D171" s="73">
        <f>IF($E$93=0,0,$D$93*E171/$E$93)</f>
        <v>27.153647588234122</v>
      </c>
      <c r="E171" s="82">
        <v>482.65</v>
      </c>
      <c r="F171" s="82">
        <v>49.34</v>
      </c>
      <c r="G171" s="73">
        <f>SUM(C171:F171)</f>
        <v>5185.2136475882335</v>
      </c>
      <c r="H171" s="67" t="s">
        <v>1104</v>
      </c>
    </row>
    <row r="172" spans="1:9" ht="14.25" customHeight="1" x14ac:dyDescent="0.35">
      <c r="A172" s="63" t="s">
        <v>1105</v>
      </c>
      <c r="B172" s="63" t="s">
        <v>265</v>
      </c>
      <c r="F172" s="23">
        <f>'LAIN-LAIN'!$I$43-'LAIN-LAIN'!$I$41</f>
        <v>9983.0606000000007</v>
      </c>
      <c r="G172" s="73">
        <f>F172</f>
        <v>9983.0606000000007</v>
      </c>
      <c r="H172" s="67" t="s">
        <v>1106</v>
      </c>
    </row>
    <row r="173" spans="1:9" ht="14.25" customHeight="1" x14ac:dyDescent="0.35">
      <c r="A173" s="63" t="s">
        <v>1107</v>
      </c>
      <c r="G173" s="65">
        <f>IF($G$93=0,0,G172/$G$93)</f>
        <v>0.23136571897562014</v>
      </c>
    </row>
    <row r="174" spans="1:9" ht="14.25" customHeight="1" x14ac:dyDescent="0.35">
      <c r="A174" s="63" t="s">
        <v>1108</v>
      </c>
      <c r="C174" s="65">
        <f>(1-$G$173)*IF($G$171=0,0,C171/$G$171)</f>
        <v>0.68574917642445055</v>
      </c>
      <c r="D174" s="65">
        <f>(1-$G$173)*IF($G$171=0,0,D171/$G$171)</f>
        <v>4.0251426092885144E-3</v>
      </c>
      <c r="E174" s="65">
        <f>(1-$G$173)*IF($G$171=0,0,E171/$G$171)</f>
        <v>7.1546007734699449E-2</v>
      </c>
      <c r="F174" s="65">
        <f>(1-$G$173)*IF($G$171=0,0,F171/$G$171)+$G$173</f>
        <v>0.23867967323156145</v>
      </c>
      <c r="G174" s="65">
        <f>SUM(C174:F174)</f>
        <v>1</v>
      </c>
    </row>
    <row r="175" spans="1:9" ht="14.25" customHeight="1" x14ac:dyDescent="0.35">
      <c r="A175" s="63" t="s">
        <v>1109</v>
      </c>
      <c r="C175" s="64">
        <f>$C$85*C174</f>
        <v>214972608.09768781</v>
      </c>
      <c r="D175" s="64">
        <f>$C$85*D174</f>
        <v>1261824.927294265</v>
      </c>
      <c r="E175" s="64">
        <f>$C$85*E174</f>
        <v>22428655.272909626</v>
      </c>
      <c r="F175" s="64">
        <f>$C$85*F174</f>
        <v>74822680.97210826</v>
      </c>
      <c r="G175" s="64">
        <f>SUM(C175:F175)</f>
        <v>313485769.26999992</v>
      </c>
    </row>
    <row r="176" spans="1:9" ht="14.25" customHeight="1" x14ac:dyDescent="0.35">
      <c r="A176" s="63" t="s">
        <v>1110</v>
      </c>
      <c r="F176" s="64">
        <f>$C$85*$G$173</f>
        <v>72529860.395778909</v>
      </c>
    </row>
    <row r="177" spans="1:9" ht="14.25" customHeight="1" x14ac:dyDescent="0.35">
      <c r="A177" s="63" t="s">
        <v>1111</v>
      </c>
      <c r="F177" s="64">
        <f>F175-F176</f>
        <v>2292820.5763293505</v>
      </c>
    </row>
    <row r="179" spans="1:9" ht="14.25" customHeight="1" x14ac:dyDescent="0.35">
      <c r="A179" s="62" t="s">
        <v>1112</v>
      </c>
      <c r="B179" s="10"/>
      <c r="C179" s="10"/>
      <c r="D179" s="10"/>
      <c r="E179" s="10"/>
      <c r="F179" s="10"/>
      <c r="G179" s="10"/>
      <c r="H179" s="10"/>
      <c r="I179" s="10"/>
    </row>
    <row r="180" spans="1:9" ht="14.25" customHeight="1" x14ac:dyDescent="0.35">
      <c r="A180" s="19" t="s">
        <v>202</v>
      </c>
      <c r="B180" s="19"/>
      <c r="C180" s="20" t="s">
        <v>231</v>
      </c>
      <c r="D180" s="20" t="s">
        <v>50</v>
      </c>
    </row>
    <row r="181" spans="1:9" ht="14.25" customHeight="1" x14ac:dyDescent="0.35">
      <c r="A181" s="63" t="s">
        <v>1113</v>
      </c>
      <c r="C181" s="73">
        <f>C167-$C$7</f>
        <v>0</v>
      </c>
      <c r="D181" s="72" t="str">
        <f>IF(ISERROR(C181),"GAGAL",IF(ABS(C181)&lt;=1,"LULUS","GAGAL"))</f>
        <v>LULUS</v>
      </c>
    </row>
    <row r="182" spans="1:9" ht="14.25" customHeight="1" x14ac:dyDescent="0.35">
      <c r="A182" s="63" t="s">
        <v>1114</v>
      </c>
      <c r="C182" s="73">
        <f>$C$156-$C$157-$C$158-$C$159</f>
        <v>0</v>
      </c>
      <c r="D182" s="72" t="str">
        <f>IF(ISERROR(C182),"GAGAL",IF(ABS(C182)&lt;=1,"LULUS","GAGAL"))</f>
        <v>LULUS</v>
      </c>
    </row>
    <row r="183" spans="1:9" ht="14.25" customHeight="1" x14ac:dyDescent="0.35">
      <c r="A183" s="63" t="s">
        <v>1115</v>
      </c>
      <c r="C183" s="73">
        <f>$C$41-C165</f>
        <v>0</v>
      </c>
      <c r="D183" s="72" t="str">
        <f>IF(ISERROR(C183),"GAGAL",IF(ABS(C183)&lt;=1,"LULUS","GAGAL"))</f>
        <v>LULUS</v>
      </c>
    </row>
    <row r="184" spans="1:9" ht="14.25" customHeight="1" x14ac:dyDescent="0.35">
      <c r="A184" s="63" t="s">
        <v>1116</v>
      </c>
      <c r="C184" s="73">
        <f>G174-1</f>
        <v>0</v>
      </c>
      <c r="D184" s="72" t="str">
        <f>IF(ISERROR(C184),"GAGAL",IF(ABS(C184)&lt;=0.000001,"LULUS","GAGAL"))</f>
        <v>LULUS</v>
      </c>
    </row>
    <row r="185" spans="1:9" ht="14.25" customHeight="1" x14ac:dyDescent="0.35">
      <c r="A185" s="63" t="s">
        <v>1117</v>
      </c>
      <c r="C185" s="73">
        <f>G175-$C$85</f>
        <v>0</v>
      </c>
      <c r="D185" s="72" t="str">
        <f>IF(ISERROR(C185),"GAGAL",IF(ABS(C185)&lt;=1,"LULUS","GAGAL"))</f>
        <v>LULUS</v>
      </c>
    </row>
    <row r="186" spans="1:9" ht="14.25" customHeight="1" x14ac:dyDescent="0.35">
      <c r="A186" s="72" t="s">
        <v>1118</v>
      </c>
      <c r="D186" s="72" t="str">
        <f>IF(COUNTIF(D181:D185,"GAGAL")=0,"LULUS","GAGAL")</f>
        <v>LULUS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80"/>
  <sheetViews>
    <sheetView showGridLines="0" zoomScaleNormal="100" workbookViewId="0">
      <pane ySplit="3" topLeftCell="A43" activePane="bottomLeft" state="frozen"/>
      <selection pane="bottomLeft" activeCell="A48" sqref="A48"/>
    </sheetView>
  </sheetViews>
  <sheetFormatPr defaultColWidth="8.6328125" defaultRowHeight="14.5" x14ac:dyDescent="0.35"/>
  <cols>
    <col min="1" max="1" width="62" customWidth="1"/>
    <col min="2" max="6" width="15" customWidth="1"/>
    <col min="7" max="7" width="4" customWidth="1"/>
    <col min="8" max="9" width="15" customWidth="1"/>
  </cols>
  <sheetData>
    <row r="1" spans="1:9" ht="16.5" customHeight="1" x14ac:dyDescent="0.35">
      <c r="A1" s="4" t="s">
        <v>1119</v>
      </c>
    </row>
    <row r="2" spans="1:9" ht="14.25" customHeight="1" x14ac:dyDescent="0.35">
      <c r="A2" s="5"/>
    </row>
    <row r="4" spans="1:9" ht="14.25" customHeight="1" x14ac:dyDescent="0.35">
      <c r="A4" s="9" t="s">
        <v>1120</v>
      </c>
      <c r="B4" s="10"/>
      <c r="C4" s="10"/>
      <c r="D4" s="10"/>
      <c r="E4" s="10"/>
      <c r="F4" s="10"/>
      <c r="G4" s="10"/>
      <c r="H4" s="10"/>
      <c r="I4" s="10"/>
    </row>
    <row r="5" spans="1:9" ht="24" customHeight="1" x14ac:dyDescent="0.3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/>
      <c r="H5" s="11" t="s">
        <v>1121</v>
      </c>
      <c r="I5" s="11" t="s">
        <v>20</v>
      </c>
    </row>
    <row r="6" spans="1:9" ht="14.25" customHeight="1" x14ac:dyDescent="0.35">
      <c r="A6" s="12" t="s">
        <v>10</v>
      </c>
      <c r="B6" s="13">
        <f>FCC!$B$30</f>
        <v>236923</v>
      </c>
      <c r="C6" s="13">
        <f>UU!$B$32</f>
        <v>467.5</v>
      </c>
      <c r="D6" s="13">
        <f>UO!$B$28</f>
        <v>6715.5</v>
      </c>
      <c r="E6" s="13">
        <f>'LAIN-LAIN'!$C$43</f>
        <v>45653.42</v>
      </c>
      <c r="F6" s="39">
        <f t="shared" ref="F6:F11" si="0">SUM(B6:E6)</f>
        <v>289759.42</v>
      </c>
    </row>
    <row r="7" spans="1:9" ht="14.25" customHeight="1" x14ac:dyDescent="0.35">
      <c r="A7" s="12" t="s">
        <v>1122</v>
      </c>
      <c r="B7" s="15">
        <f>FCC!$E$56/10^6</f>
        <v>4275.5420464594436</v>
      </c>
      <c r="C7" s="15">
        <f>UU!$G$218/10^6</f>
        <v>12.447449363263678</v>
      </c>
      <c r="D7" s="15">
        <f>UO!$G$214/10^6</f>
        <v>173.60070219353085</v>
      </c>
      <c r="E7" s="15">
        <f>'LAIN-LAIN'!$D$68/10^6</f>
        <v>76.67361851843954</v>
      </c>
      <c r="F7" s="38">
        <f t="shared" si="0"/>
        <v>4538.263816534678</v>
      </c>
    </row>
    <row r="8" spans="1:9" ht="14.25" customHeight="1" x14ac:dyDescent="0.35">
      <c r="A8" s="12" t="s">
        <v>436</v>
      </c>
      <c r="B8" s="15">
        <v>0</v>
      </c>
      <c r="C8" s="15">
        <v>0</v>
      </c>
      <c r="D8" s="15">
        <v>0</v>
      </c>
      <c r="E8" s="15">
        <f>('LAIN-LAIN'!$B$68+'LAIN-LAIN'!$C$68)/10^6</f>
        <v>593.31031323425316</v>
      </c>
      <c r="F8" s="38">
        <f t="shared" si="0"/>
        <v>593.31031323425316</v>
      </c>
    </row>
    <row r="9" spans="1:9" ht="14.25" customHeight="1" x14ac:dyDescent="0.35">
      <c r="A9" s="12" t="s">
        <v>108</v>
      </c>
      <c r="B9" s="15">
        <f>FCC!$E$58/10^6</f>
        <v>53.598624961089982</v>
      </c>
      <c r="C9" s="15">
        <f>UU!$E$58/10^6</f>
        <v>0</v>
      </c>
      <c r="D9" s="15">
        <f>UO!$E$54/10^6</f>
        <v>0</v>
      </c>
      <c r="E9" s="15">
        <v>0</v>
      </c>
      <c r="F9" s="38">
        <f t="shared" si="0"/>
        <v>53.598624961089982</v>
      </c>
    </row>
    <row r="10" spans="1:9" ht="14.25" customHeight="1" x14ac:dyDescent="0.35">
      <c r="A10" s="12" t="s">
        <v>109</v>
      </c>
      <c r="B10" s="15">
        <f>FCC!$E$59/10^6</f>
        <v>384.85654920023592</v>
      </c>
      <c r="C10" s="15">
        <f>UU!$E$59/10^6</f>
        <v>1.976184740843103</v>
      </c>
      <c r="D10" s="15">
        <f>UO!$E$55/10^6</f>
        <v>24.083394259285729</v>
      </c>
      <c r="E10" s="15">
        <f>'LAIN-LAIN'!$E$68/10^6</f>
        <v>58.39842855186545</v>
      </c>
      <c r="F10" s="38">
        <f t="shared" si="0"/>
        <v>469.3145567522302</v>
      </c>
    </row>
    <row r="11" spans="1:9" ht="14.25" customHeight="1" x14ac:dyDescent="0.35">
      <c r="A11" s="12" t="s">
        <v>110</v>
      </c>
      <c r="B11" s="15">
        <f>FCC!$E$64/10^6</f>
        <v>848.57124533695651</v>
      </c>
      <c r="C11" s="15">
        <f>UU!$E$64/10^6</f>
        <v>3.8040866489795579</v>
      </c>
      <c r="D11" s="15">
        <f>UO!$E$60/10^6</f>
        <v>54.882506123299166</v>
      </c>
      <c r="E11" s="15">
        <f>'LAIN-LAIN'!$F$68/10^6</f>
        <v>142.59571736744456</v>
      </c>
      <c r="F11" s="38">
        <f t="shared" si="0"/>
        <v>1049.85355547668</v>
      </c>
    </row>
    <row r="12" spans="1:9" ht="14.25" customHeight="1" x14ac:dyDescent="0.35">
      <c r="A12" s="40" t="s">
        <v>11</v>
      </c>
      <c r="B12" s="41">
        <f>SUM(B7:B11)</f>
        <v>5562.5684659577255</v>
      </c>
      <c r="C12" s="41">
        <f>SUM(C7:C11)</f>
        <v>18.227720753086338</v>
      </c>
      <c r="D12" s="41">
        <f>SUM(D7:D11)</f>
        <v>252.56660257611577</v>
      </c>
      <c r="E12" s="41">
        <f>SUM(E7:E11)</f>
        <v>870.97807767200266</v>
      </c>
      <c r="F12" s="41">
        <f>SUM(F7:F11)</f>
        <v>6704.3408669589317</v>
      </c>
      <c r="G12" s="45"/>
      <c r="H12" s="45"/>
      <c r="I12" s="45"/>
    </row>
    <row r="13" spans="1:9" ht="14.25" customHeight="1" x14ac:dyDescent="0.35">
      <c r="A13" s="12" t="s">
        <v>1123</v>
      </c>
      <c r="B13" s="39">
        <f>IF(B6=0,0,B12*10^6/B6)</f>
        <v>23478.381018127093</v>
      </c>
      <c r="C13" s="39">
        <f>IF(C6=0,0,C12*10^6/C6)</f>
        <v>38989.777011949387</v>
      </c>
      <c r="D13" s="39">
        <f>IF(D6=0,0,D12*10^6/D6)</f>
        <v>37609.500793107851</v>
      </c>
      <c r="E13" s="39">
        <f>IF(E6=0,0,E12*10^6/E6)</f>
        <v>19078.046675846032</v>
      </c>
      <c r="F13" s="39">
        <f>IF(F6=0,0,F12*10^6/F6)</f>
        <v>23137.611425916479</v>
      </c>
    </row>
    <row r="14" spans="1:9" ht="14.25" customHeight="1" x14ac:dyDescent="0.35">
      <c r="A14" s="6" t="s">
        <v>13</v>
      </c>
      <c r="B14" s="14">
        <f>FCC!$E$104/10^6</f>
        <v>5106.3121482576789</v>
      </c>
      <c r="C14" s="14">
        <f>UU!$E$98/10^6</f>
        <v>232.70641734778275</v>
      </c>
      <c r="D14" s="14">
        <f>UO!$E$94/10^6</f>
        <v>252.56660257611577</v>
      </c>
      <c r="E14" s="14">
        <f>'LAIN-LAIN'!$G$93/10^6</f>
        <v>871.58172560754679</v>
      </c>
      <c r="F14" s="44">
        <f>SUM(B14:E14)</f>
        <v>6463.1668937891245</v>
      </c>
      <c r="H14" s="38">
        <f>(FCC!$E$106+UU!$E$100+UO!$E$96+INDEX(BUDGET!$C$199:$R$199,'LAIN-LAIN'!$E$5))/10^6</f>
        <v>0</v>
      </c>
      <c r="I14" s="38">
        <f>F14-H14</f>
        <v>6463.1668937891245</v>
      </c>
    </row>
    <row r="15" spans="1:9" ht="14.25" customHeight="1" x14ac:dyDescent="0.35">
      <c r="A15" s="12" t="s">
        <v>1124</v>
      </c>
      <c r="B15" s="15">
        <f>FCC!$C$211/10^6</f>
        <v>5901.3131420700001</v>
      </c>
      <c r="C15" s="15">
        <f>UU!$C$207/10^6</f>
        <v>321.70049999999998</v>
      </c>
      <c r="D15" s="15">
        <f>UO!$C$203/10^6</f>
        <v>321.67245000000003</v>
      </c>
      <c r="E15" s="15">
        <f>$C$74/10^6</f>
        <v>917.67406059000007</v>
      </c>
      <c r="F15" s="38">
        <f>SUM(B15:E15)</f>
        <v>7462.3601526600005</v>
      </c>
    </row>
    <row r="16" spans="1:9" ht="14.25" customHeight="1" x14ac:dyDescent="0.35">
      <c r="A16" s="6" t="s">
        <v>1125</v>
      </c>
      <c r="B16" s="89">
        <f>IF(B15=0,0,(B15-B14)/B15)</f>
        <v>0.13471594790400485</v>
      </c>
      <c r="C16" s="89">
        <f>IF(C15=0,0,(C15-C14)/C15)</f>
        <v>0.2766364449300428</v>
      </c>
      <c r="D16" s="89">
        <f>IF(D15=0,0,(D15-D14)/D15)</f>
        <v>0.21483296882864619</v>
      </c>
      <c r="E16" s="89">
        <f>IF(E15=0,0,(E15-E14)/E15)</f>
        <v>5.0227348643612245E-2</v>
      </c>
      <c r="F16" s="89">
        <f>IF(F15=0,0,(F15-F14)/F15)</f>
        <v>0.13389775331531109</v>
      </c>
    </row>
    <row r="17" spans="1:9" ht="14.25" customHeight="1" x14ac:dyDescent="0.35">
      <c r="A17" s="5"/>
    </row>
    <row r="18" spans="1:9" ht="14.25" customHeight="1" x14ac:dyDescent="0.35">
      <c r="A18" s="5"/>
    </row>
    <row r="20" spans="1:9" ht="14.25" customHeight="1" x14ac:dyDescent="0.35">
      <c r="A20" s="9" t="s">
        <v>1126</v>
      </c>
      <c r="B20" s="10"/>
      <c r="C20" s="10"/>
      <c r="D20" s="10"/>
      <c r="E20" s="10"/>
      <c r="F20" s="10"/>
      <c r="G20" s="10"/>
      <c r="H20" s="10"/>
      <c r="I20" s="10"/>
    </row>
    <row r="21" spans="1:9" ht="24" customHeight="1" x14ac:dyDescent="0.35">
      <c r="A21" s="11" t="s">
        <v>1127</v>
      </c>
      <c r="B21" s="11" t="s">
        <v>1128</v>
      </c>
      <c r="C21" s="11" t="s">
        <v>528</v>
      </c>
      <c r="D21" s="11" t="s">
        <v>1129</v>
      </c>
      <c r="E21" s="11" t="s">
        <v>1130</v>
      </c>
    </row>
    <row r="22" spans="1:9" ht="14.25" customHeight="1" x14ac:dyDescent="0.35">
      <c r="A22" s="12" t="s">
        <v>5</v>
      </c>
      <c r="B22" s="15">
        <f>'BIAYA BERSAMA'!C94/10^6</f>
        <v>4233.6445814594435</v>
      </c>
      <c r="C22" s="43">
        <f t="shared" ref="C22:C27" si="1">IF($B$28=0,0,B22/$B$28)</f>
        <v>0.94157020368556854</v>
      </c>
      <c r="D22" s="38">
        <f t="shared" ref="D22:D27" si="2">$B$30*C22</f>
        <v>-114.06952621588087</v>
      </c>
      <c r="E22" s="12"/>
    </row>
    <row r="23" spans="1:9" ht="14.25" customHeight="1" x14ac:dyDescent="0.35">
      <c r="A23" s="12" t="s">
        <v>1131</v>
      </c>
      <c r="B23" s="15">
        <f>'BIAYA BERSAMA'!D94/10^6</f>
        <v>12.447449363263678</v>
      </c>
      <c r="C23" s="43">
        <f t="shared" si="1"/>
        <v>2.7683352267359562E-3</v>
      </c>
      <c r="D23" s="38">
        <f t="shared" si="2"/>
        <v>-0.33537880285977839</v>
      </c>
      <c r="E23" s="12"/>
    </row>
    <row r="24" spans="1:9" ht="14.25" customHeight="1" x14ac:dyDescent="0.35">
      <c r="A24" s="12" t="s">
        <v>1132</v>
      </c>
      <c r="B24" s="15">
        <f>'BIAYA BERSAMA'!E94/10^6</f>
        <v>173.60070219353085</v>
      </c>
      <c r="C24" s="43">
        <f t="shared" si="1"/>
        <v>3.8609109805805369E-2</v>
      </c>
      <c r="D24" s="38">
        <f t="shared" si="2"/>
        <v>-4.6774237820251461</v>
      </c>
      <c r="E24" s="12"/>
    </row>
    <row r="25" spans="1:9" ht="14.25" customHeight="1" x14ac:dyDescent="0.35">
      <c r="A25" s="12" t="s">
        <v>1133</v>
      </c>
      <c r="B25" s="15">
        <f>SUMPRODUCT(('LAIN-LAIN'!$B$22:$B$42&lt;&gt;"Ubi Ungu")*('LAIN-LAIN'!$B$22:$B$42&lt;&gt;"Ubi Orange")*('LAIN-LAIN'!$B$22:$B$42&lt;&gt;"Ubi Ungu – cek bahan")*'LAIN-LAIN'!$G$22:$G$42)/10^6</f>
        <v>76.67361851843954</v>
      </c>
      <c r="C25" s="43">
        <f t="shared" si="1"/>
        <v>1.7052351281890026E-2</v>
      </c>
      <c r="D25" s="38">
        <f t="shared" si="2"/>
        <v>-2.0658614981422416</v>
      </c>
      <c r="E25" s="12"/>
    </row>
    <row r="26" spans="1:9" ht="14.25" customHeight="1" x14ac:dyDescent="0.35">
      <c r="A26" s="12" t="s">
        <v>1134</v>
      </c>
      <c r="B26" s="15">
        <f>SUMIF('LAIN-LAIN'!$B$22:$B$42,"Ubi Ungu*",'LAIN-LAIN'!$G$22:$G$42)/10^6</f>
        <v>0</v>
      </c>
      <c r="C26" s="43">
        <f t="shared" si="1"/>
        <v>0</v>
      </c>
      <c r="D26" s="38">
        <f t="shared" si="2"/>
        <v>0</v>
      </c>
      <c r="E26" s="12"/>
    </row>
    <row r="27" spans="1:9" ht="14.25" customHeight="1" x14ac:dyDescent="0.35">
      <c r="A27" s="12" t="s">
        <v>1135</v>
      </c>
      <c r="B27" s="15">
        <f>SUMIF('LAIN-LAIN'!$B$22:$B$42,"Ubi Orange",'LAIN-LAIN'!$G$22:$G$42)/10^6</f>
        <v>0</v>
      </c>
      <c r="C27" s="43">
        <f t="shared" si="1"/>
        <v>0</v>
      </c>
      <c r="D27" s="38">
        <f t="shared" si="2"/>
        <v>0</v>
      </c>
      <c r="E27" s="12"/>
    </row>
    <row r="28" spans="1:9" ht="14.25" customHeight="1" x14ac:dyDescent="0.35">
      <c r="A28" s="40" t="s">
        <v>1136</v>
      </c>
      <c r="B28" s="41">
        <f>SUM(B22:B27)</f>
        <v>4496.366351534678</v>
      </c>
      <c r="C28" s="45"/>
      <c r="D28" s="41">
        <f>SUM(D22:D27)</f>
        <v>-121.14819029890803</v>
      </c>
      <c r="E28" s="45"/>
    </row>
    <row r="29" spans="1:9" ht="14.25" customHeight="1" x14ac:dyDescent="0.35">
      <c r="A29" s="12" t="s">
        <v>1137</v>
      </c>
      <c r="B29" s="53">
        <v>4375.2181612357699</v>
      </c>
      <c r="E29" s="12" t="s">
        <v>1138</v>
      </c>
    </row>
    <row r="30" spans="1:9" ht="14.25" customHeight="1" x14ac:dyDescent="0.35">
      <c r="A30" s="6" t="s">
        <v>36</v>
      </c>
      <c r="B30" s="44">
        <f>B29-B28</f>
        <v>-121.14819029890805</v>
      </c>
    </row>
    <row r="31" spans="1:9" ht="14.25" customHeight="1" x14ac:dyDescent="0.35">
      <c r="A31" s="12" t="s">
        <v>1139</v>
      </c>
      <c r="D31" s="38">
        <f>D22+D25</f>
        <v>-116.13538771402311</v>
      </c>
    </row>
    <row r="32" spans="1:9" ht="14.25" customHeight="1" x14ac:dyDescent="0.35">
      <c r="A32" s="12" t="s">
        <v>1140</v>
      </c>
      <c r="D32" s="38">
        <f>D23+D26</f>
        <v>-0.33537880285977839</v>
      </c>
    </row>
    <row r="33" spans="1:9" ht="14.25" customHeight="1" x14ac:dyDescent="0.35">
      <c r="A33" s="12" t="s">
        <v>1141</v>
      </c>
      <c r="D33" s="38">
        <f>D24+D27</f>
        <v>-4.6774237820251461</v>
      </c>
    </row>
    <row r="34" spans="1:9" ht="14.25" customHeight="1" x14ac:dyDescent="0.35">
      <c r="A34" s="5" t="s">
        <v>1142</v>
      </c>
    </row>
    <row r="36" spans="1:9" ht="14.25" customHeight="1" x14ac:dyDescent="0.35">
      <c r="A36" s="9" t="s">
        <v>1143</v>
      </c>
      <c r="B36" s="10"/>
      <c r="C36" s="10"/>
      <c r="D36" s="10"/>
      <c r="E36" s="10"/>
      <c r="F36" s="10"/>
      <c r="G36" s="10"/>
      <c r="H36" s="10"/>
      <c r="I36" s="10"/>
    </row>
    <row r="37" spans="1:9" ht="14.25" customHeight="1" x14ac:dyDescent="0.35">
      <c r="A37" s="12" t="s">
        <v>1144</v>
      </c>
      <c r="C37" s="38">
        <f>F14</f>
        <v>6463.1668937891245</v>
      </c>
    </row>
    <row r="38" spans="1:9" ht="14.25" customHeight="1" x14ac:dyDescent="0.35">
      <c r="A38" s="12" t="s">
        <v>1145</v>
      </c>
      <c r="C38" s="38">
        <f>$B$30</f>
        <v>-121.14819029890805</v>
      </c>
    </row>
    <row r="39" spans="1:9" ht="14.25" customHeight="1" x14ac:dyDescent="0.35">
      <c r="A39" s="12" t="s">
        <v>1146</v>
      </c>
      <c r="C39" s="38">
        <f>((FCC!$E$79+FCC!$E$92-FCC!$E$72-FCC!$E$86)+(UU!$E$77+UU!$E$89-UU!$E$70-UU!$E$84)+(UO!$E$73+UO!$E$85-UO!$E$66-UO!$E$80)+('LAIN-LAIN'!$F$93-'LAIN-LAIN'!$E$93))/10^6</f>
        <v>-326.53944411287893</v>
      </c>
    </row>
    <row r="40" spans="1:9" ht="14.25" customHeight="1" x14ac:dyDescent="0.35">
      <c r="A40" s="12" t="s">
        <v>1147</v>
      </c>
      <c r="C40" s="38">
        <f>-($C$75+$C$76)/10^6</f>
        <v>409.30549090000096</v>
      </c>
    </row>
    <row r="41" spans="1:9" ht="14.25" customHeight="1" x14ac:dyDescent="0.35">
      <c r="A41" s="12" t="s">
        <v>1148</v>
      </c>
      <c r="C41" s="38">
        <f>(-FCC!$E$74-'LAIN-LAIN'!$E$43*FCC!$C$209-FCC!$E$103)/10^6</f>
        <v>-25.596895951567248</v>
      </c>
    </row>
    <row r="42" spans="1:9" ht="14.25" customHeight="1" x14ac:dyDescent="0.35">
      <c r="A42" s="12" t="s">
        <v>1149</v>
      </c>
      <c r="C42" s="38">
        <f>-'BIAYA BERSAMA'!$C$156/10^6</f>
        <v>-23.775557170000017</v>
      </c>
    </row>
    <row r="43" spans="1:9" ht="14.25" customHeight="1" x14ac:dyDescent="0.35">
      <c r="A43" s="12" t="s">
        <v>1150</v>
      </c>
      <c r="C43" s="38">
        <f>'BIAYA BERSAMA'!$C$111/10^6</f>
        <v>0</v>
      </c>
    </row>
    <row r="44" spans="1:9" ht="14.25" customHeight="1" x14ac:dyDescent="0.35">
      <c r="A44" s="40" t="s">
        <v>1151</v>
      </c>
      <c r="B44" s="45"/>
      <c r="C44" s="41">
        <f>SUM(C37:C43)</f>
        <v>6375.4122971557708</v>
      </c>
    </row>
    <row r="45" spans="1:9" ht="14.25" customHeight="1" x14ac:dyDescent="0.35">
      <c r="A45" s="12" t="s">
        <v>1152</v>
      </c>
      <c r="C45" s="53">
        <v>6375.4123043700001</v>
      </c>
      <c r="E45" s="12" t="s">
        <v>1153</v>
      </c>
    </row>
    <row r="46" spans="1:9" ht="14.25" customHeight="1" x14ac:dyDescent="0.35">
      <c r="A46" s="6" t="s">
        <v>1154</v>
      </c>
      <c r="C46" s="44">
        <f>C45-C44</f>
        <v>7.2142292992793955E-6</v>
      </c>
    </row>
    <row r="47" spans="1:9" ht="14.25" customHeight="1" x14ac:dyDescent="0.35">
      <c r="A47" s="5" t="s">
        <v>1155</v>
      </c>
      <c r="C47" s="38">
        <f>C39+C40</f>
        <v>82.766046787122036</v>
      </c>
    </row>
    <row r="48" spans="1:9" ht="14.25" customHeight="1" x14ac:dyDescent="0.35">
      <c r="A48" s="5"/>
    </row>
    <row r="50" spans="1:9" ht="14.25" customHeight="1" x14ac:dyDescent="0.35">
      <c r="A50" s="9" t="s">
        <v>1156</v>
      </c>
      <c r="B50" s="10"/>
      <c r="C50" s="10"/>
      <c r="D50" s="10"/>
      <c r="E50" s="10"/>
      <c r="F50" s="10"/>
      <c r="G50" s="10"/>
      <c r="H50" s="10"/>
      <c r="I50" s="10"/>
    </row>
    <row r="51" spans="1:9" ht="19.5" customHeight="1" x14ac:dyDescent="0.35">
      <c r="A51" s="11" t="s">
        <v>4</v>
      </c>
      <c r="B51" s="11"/>
      <c r="C51" s="11" t="s">
        <v>171</v>
      </c>
      <c r="D51" s="11" t="s">
        <v>1157</v>
      </c>
    </row>
    <row r="52" spans="1:9" ht="14.25" customHeight="1" x14ac:dyDescent="0.35">
      <c r="A52" s="12" t="s">
        <v>1158</v>
      </c>
      <c r="C52" s="15">
        <f>FCC!$B$33</f>
        <v>7581</v>
      </c>
      <c r="D52" s="15">
        <f>-FCC!$E$74/10^6</f>
        <v>74.121492822318984</v>
      </c>
    </row>
    <row r="53" spans="1:9" ht="14.25" customHeight="1" x14ac:dyDescent="0.35">
      <c r="A53" s="12" t="s">
        <v>1159</v>
      </c>
      <c r="C53" s="15">
        <f>-'LAIN-LAIN'!$E$43</f>
        <v>-4242.0000000000027</v>
      </c>
      <c r="D53" s="15">
        <f>-'LAIN-LAIN'!$E$43*FCC!$C$209/10^6</f>
        <v>-41.475184349330874</v>
      </c>
    </row>
    <row r="54" spans="1:9" ht="14.25" customHeight="1" x14ac:dyDescent="0.35">
      <c r="A54" s="12" t="s">
        <v>1160</v>
      </c>
      <c r="C54" s="15">
        <f>-FCC!$C$208</f>
        <v>-5957</v>
      </c>
      <c r="D54" s="15">
        <f>-FCC!$E$103/10^6</f>
        <v>-58.243204424555358</v>
      </c>
    </row>
    <row r="55" spans="1:9" ht="14.25" customHeight="1" x14ac:dyDescent="0.35">
      <c r="A55" s="40" t="s">
        <v>1161</v>
      </c>
      <c r="B55" s="45"/>
      <c r="C55" s="41">
        <f>SUM(C52:C54)</f>
        <v>-2618.0000000000027</v>
      </c>
      <c r="D55" s="41">
        <f>SUM(D52:D54)</f>
        <v>-25.596895951567248</v>
      </c>
    </row>
    <row r="57" spans="1:9" ht="14.25" customHeight="1" x14ac:dyDescent="0.35">
      <c r="A57" s="9" t="s">
        <v>1162</v>
      </c>
      <c r="B57" s="10"/>
      <c r="C57" s="10"/>
      <c r="D57" s="10"/>
      <c r="E57" s="10"/>
      <c r="F57" s="10"/>
      <c r="G57" s="10"/>
      <c r="H57" s="10"/>
      <c r="I57" s="10"/>
    </row>
    <row r="58" spans="1:9" ht="14.25" customHeight="1" x14ac:dyDescent="0.35">
      <c r="A58" s="11" t="s">
        <v>202</v>
      </c>
      <c r="B58" s="11"/>
      <c r="C58" s="11" t="s">
        <v>231</v>
      </c>
      <c r="D58" s="11" t="s">
        <v>50</v>
      </c>
    </row>
    <row r="59" spans="1:9" ht="14.25" customHeight="1" x14ac:dyDescent="0.35">
      <c r="A59" s="12" t="s">
        <v>1163</v>
      </c>
      <c r="C59" s="46">
        <f>F9+F10+F11-('BIAYA BERSAMA'!$C$87-'BIAYA BERSAMA'!$C$111)/10^6</f>
        <v>0</v>
      </c>
      <c r="D59" s="7" t="str">
        <f>IF(ISERROR(C59),"GAGAL",IF(ABS(C59)&lt;=0.001,"LULUS","GAGAL"))</f>
        <v>LULUS</v>
      </c>
    </row>
    <row r="60" spans="1:9" ht="14.25" customHeight="1" x14ac:dyDescent="0.35">
      <c r="A60" s="12" t="s">
        <v>1164</v>
      </c>
      <c r="C60" s="46">
        <f>F7-'BIAYA BERSAMA'!$C$159/10^6+$B$30-B29</f>
        <v>0</v>
      </c>
      <c r="D60" s="7" t="str">
        <f>IF(ISERROR(C60),"GAGAL",IF(ABS(C60)&lt;=0.001,"LULUS","GAGAL"))</f>
        <v>LULUS</v>
      </c>
    </row>
    <row r="61" spans="1:9" ht="14.25" customHeight="1" x14ac:dyDescent="0.35">
      <c r="A61" s="12" t="s">
        <v>1165</v>
      </c>
      <c r="C61" s="46">
        <f>C46</f>
        <v>7.2142292992793955E-6</v>
      </c>
      <c r="D61" s="7" t="str">
        <f>IF(ISERROR(C61),"GAGAL",IF(ABS(C61)&lt;=0.001,"LULUS","GAGAL"))</f>
        <v>LULUS</v>
      </c>
    </row>
    <row r="62" spans="1:9" ht="14.25" customHeight="1" x14ac:dyDescent="0.35">
      <c r="A62" s="12" t="s">
        <v>1166</v>
      </c>
      <c r="C62" s="46">
        <f>B25+B26+B27-'LAIN-LAIN'!$G$43/10^6</f>
        <v>0</v>
      </c>
      <c r="D62" s="7" t="str">
        <f>IF(ISERROR(C62),"GAGAL",IF(ABS(C62)&lt;=0.001,"LULUS","GAGAL"))</f>
        <v>LULUS</v>
      </c>
    </row>
    <row r="63" spans="1:9" ht="14.25" customHeight="1" x14ac:dyDescent="0.35">
      <c r="A63" s="12" t="s">
        <v>1167</v>
      </c>
      <c r="C63" s="46">
        <f>F15-$C$73/10^6</f>
        <v>0</v>
      </c>
      <c r="D63" s="7" t="str">
        <f>IF(ISERROR(C63),"GAGAL",IF(ABS(C63)&lt;=0.001,"LULUS","GAGAL"))</f>
        <v>LULUS</v>
      </c>
    </row>
    <row r="64" spans="1:9" ht="14.25" customHeight="1" x14ac:dyDescent="0.35">
      <c r="A64" s="12" t="s">
        <v>1168</v>
      </c>
      <c r="C64" s="46">
        <f>IF('BIAYA BERSAMA'!$D$139="LULUS",0,1)</f>
        <v>0</v>
      </c>
      <c r="D64" s="7" t="str">
        <f>IF(ISERROR(C64),"GAGAL",IF(ABS(C64)&lt;=0.5,"LULUS","GAGAL"))</f>
        <v>LULUS</v>
      </c>
    </row>
    <row r="65" spans="1:5" ht="14.25" customHeight="1" x14ac:dyDescent="0.35">
      <c r="A65" s="12" t="s">
        <v>1169</v>
      </c>
      <c r="C65" s="46">
        <f>IF(FCC!$C$6="LULUS",0,1)</f>
        <v>0</v>
      </c>
      <c r="D65" s="7" t="str">
        <f>IF(ISERROR(C65),"GAGAL",IF(ABS(C65)&lt;=0.5,"LULUS","GAGAL"))</f>
        <v>LULUS</v>
      </c>
    </row>
    <row r="66" spans="1:5" ht="14.25" customHeight="1" x14ac:dyDescent="0.35">
      <c r="A66" s="12" t="s">
        <v>1170</v>
      </c>
      <c r="C66" s="46">
        <f>IF(UU!$C$6="LULUS",0,1)</f>
        <v>0</v>
      </c>
      <c r="D66" s="7" t="str">
        <f>IF(ISERROR(C66),"GAGAL",IF(ABS(C66)&lt;=0.5,"LULUS","GAGAL"))</f>
        <v>LULUS</v>
      </c>
    </row>
    <row r="67" spans="1:5" ht="14.25" customHeight="1" x14ac:dyDescent="0.35">
      <c r="A67" s="12" t="s">
        <v>1171</v>
      </c>
      <c r="C67" s="46">
        <f>IF(UO!$C$4="LULUS",0,1)</f>
        <v>0</v>
      </c>
      <c r="D67" s="7" t="str">
        <f>IF(ISERROR(C67),"GAGAL",IF(ABS(C67)&lt;=0.5,"LULUS","GAGAL"))</f>
        <v>LULUS</v>
      </c>
    </row>
    <row r="68" spans="1:5" ht="14.25" customHeight="1" x14ac:dyDescent="0.35">
      <c r="A68" s="12" t="s">
        <v>1172</v>
      </c>
      <c r="C68" s="46">
        <f>IF('LAIN-LAIN'!$C$6="LULUS",0,1)</f>
        <v>0</v>
      </c>
      <c r="D68" s="7" t="str">
        <f>IF(ISERROR(C68),"GAGAL",IF(ABS(C68)&lt;=0.5,"LULUS","GAGAL"))</f>
        <v>LULUS</v>
      </c>
    </row>
    <row r="69" spans="1:5" ht="14.25" customHeight="1" x14ac:dyDescent="0.35">
      <c r="A69" s="6" t="s">
        <v>1173</v>
      </c>
      <c r="D69" s="7" t="str">
        <f>IF(AND(COUNTIF(D59:D68,"GAGAL")=0,D77="LULUS",D78="LULUS",D79="LULUS",D80="LULUS"),"LULUS","GAGAL")</f>
        <v>LULUS</v>
      </c>
    </row>
    <row r="71" spans="1:5" ht="14.25" customHeight="1" x14ac:dyDescent="0.35">
      <c r="A71" s="9" t="s">
        <v>1174</v>
      </c>
    </row>
    <row r="72" spans="1:5" ht="14.25" customHeight="1" x14ac:dyDescent="0.35">
      <c r="A72" s="11" t="s">
        <v>4</v>
      </c>
      <c r="C72" s="11" t="s">
        <v>73</v>
      </c>
      <c r="E72" s="11" t="s">
        <v>74</v>
      </c>
    </row>
    <row r="73" spans="1:5" ht="14.25" customHeight="1" x14ac:dyDescent="0.35">
      <c r="A73" s="12" t="s">
        <v>1175</v>
      </c>
      <c r="C73" s="56">
        <v>7462360152.6599998</v>
      </c>
      <c r="E73" s="12" t="s">
        <v>1176</v>
      </c>
    </row>
    <row r="74" spans="1:5" ht="14.25" customHeight="1" x14ac:dyDescent="0.35">
      <c r="A74" s="12" t="s">
        <v>1177</v>
      </c>
      <c r="C74" s="56">
        <v>917674060.59000003</v>
      </c>
      <c r="E74" s="12" t="s">
        <v>1178</v>
      </c>
    </row>
    <row r="75" spans="1:5" ht="14.25" customHeight="1" x14ac:dyDescent="0.35">
      <c r="A75" s="12" t="s">
        <v>1179</v>
      </c>
      <c r="C75" s="56">
        <v>-196152066.81</v>
      </c>
      <c r="E75" s="12" t="s">
        <v>1180</v>
      </c>
    </row>
    <row r="76" spans="1:5" ht="14.25" customHeight="1" x14ac:dyDescent="0.35">
      <c r="A76" s="12" t="s">
        <v>1181</v>
      </c>
      <c r="C76" s="56">
        <v>-213153424.09000099</v>
      </c>
      <c r="E76" s="12" t="s">
        <v>1182</v>
      </c>
    </row>
    <row r="77" spans="1:5" ht="14.25" customHeight="1" x14ac:dyDescent="0.35">
      <c r="A77" s="12" t="s">
        <v>1183</v>
      </c>
      <c r="C77" s="46">
        <f>SUMPRODUCT(--ISERROR(RINGKASAN!A5:I35))+SUMPRODUCT(--ISERROR(A1:I68))</f>
        <v>0</v>
      </c>
      <c r="D77" s="7" t="str">
        <f>IF(ISERROR(C77),"GAGAL",IF(ABS(C77)&lt;=0.5,"LULUS","GAGAL"))</f>
        <v>LULUS</v>
      </c>
    </row>
    <row r="78" spans="1:5" ht="14.25" customHeight="1" x14ac:dyDescent="0.35">
      <c r="A78" s="12" t="s">
        <v>1184</v>
      </c>
      <c r="C78" s="46">
        <f>IF('REKON MATERIAL'!D89="LULUS",0,1)</f>
        <v>0</v>
      </c>
      <c r="D78" s="7" t="str">
        <f>IF(ISERROR(C78),"GAGAL",IF(ABS(C78)&lt;=0.5,"LULUS","GAGAL"))</f>
        <v>LULUS</v>
      </c>
    </row>
    <row r="79" spans="1:5" ht="14.25" customHeight="1" x14ac:dyDescent="0.35">
      <c r="A79" s="12" t="s">
        <v>1185</v>
      </c>
      <c r="C79" s="46">
        <f>IF('REKON PERSEDIAAN'!$C$3="LULUS",0,1)</f>
        <v>0</v>
      </c>
      <c r="D79" s="7" t="str">
        <f>IF(ISERROR(C79),"GAGAL",IF(ABS(C79)&lt;=0.5,"LULUS","GAGAL"))</f>
        <v>LULUS</v>
      </c>
    </row>
    <row r="80" spans="1:5" x14ac:dyDescent="0.35">
      <c r="A80" s="12" t="s">
        <v>1186</v>
      </c>
      <c r="C80" s="46">
        <f>IF('BRIDGE GP'!$C$3="LULUS",0,1)</f>
        <v>0</v>
      </c>
      <c r="D80" s="7" t="str">
        <f>IF(ISERROR(C80),"GAGAL",IF(ABS(C80)&lt;=0.5,"LULUS","GAGAL"))</f>
        <v>LULUS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7"/>
  <sheetViews>
    <sheetView showGridLines="0" zoomScaleNormal="100" workbookViewId="0"/>
  </sheetViews>
  <sheetFormatPr defaultColWidth="8.6328125" defaultRowHeight="14.5" x14ac:dyDescent="0.35"/>
  <cols>
    <col min="1" max="1" width="46" customWidth="1"/>
    <col min="2" max="12" width="13" customWidth="1"/>
    <col min="13" max="13" width="16" customWidth="1"/>
    <col min="14" max="14" width="50" customWidth="1"/>
  </cols>
  <sheetData>
    <row r="1" spans="1:14" x14ac:dyDescent="0.35">
      <c r="A1" s="90" t="s">
        <v>1187</v>
      </c>
    </row>
    <row r="2" spans="1:14" x14ac:dyDescent="0.35">
      <c r="A2" s="75" t="s">
        <v>1188</v>
      </c>
    </row>
    <row r="4" spans="1:14" x14ac:dyDescent="0.35">
      <c r="A4" s="62" t="s">
        <v>1189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30" customHeight="1" x14ac:dyDescent="0.35">
      <c r="A5" s="19" t="s">
        <v>1190</v>
      </c>
      <c r="B5" s="20" t="s">
        <v>1191</v>
      </c>
      <c r="C5" s="20" t="s">
        <v>1192</v>
      </c>
      <c r="D5" s="20" t="s">
        <v>1193</v>
      </c>
      <c r="E5" s="20" t="s">
        <v>1194</v>
      </c>
      <c r="F5" s="20" t="s">
        <v>1195</v>
      </c>
      <c r="G5" s="20" t="s">
        <v>1196</v>
      </c>
      <c r="H5" s="20" t="s">
        <v>1197</v>
      </c>
      <c r="I5" s="20" t="s">
        <v>1198</v>
      </c>
      <c r="J5" s="20" t="s">
        <v>1199</v>
      </c>
      <c r="K5" s="20" t="s">
        <v>1200</v>
      </c>
      <c r="L5" s="20" t="s">
        <v>1201</v>
      </c>
      <c r="M5" s="20" t="s">
        <v>1202</v>
      </c>
      <c r="N5" s="20" t="s">
        <v>29</v>
      </c>
    </row>
    <row r="6" spans="1:14" x14ac:dyDescent="0.35">
      <c r="A6" s="63" t="s">
        <v>1203</v>
      </c>
      <c r="B6" s="91">
        <f t="shared" ref="B6:J6" si="0">B42/1000</f>
        <v>358.31713000000002</v>
      </c>
      <c r="C6" s="91">
        <f t="shared" si="0"/>
        <v>317.541</v>
      </c>
      <c r="D6" s="91">
        <f t="shared" si="0"/>
        <v>246.93960000000001</v>
      </c>
      <c r="E6" s="91">
        <f t="shared" si="0"/>
        <v>248.99250000000001</v>
      </c>
      <c r="F6" s="91">
        <f t="shared" si="0"/>
        <v>277.02550000000002</v>
      </c>
      <c r="G6" s="91">
        <f t="shared" si="0"/>
        <v>278.40909999999997</v>
      </c>
      <c r="H6" s="91">
        <f t="shared" si="0"/>
        <v>294.71600000000001</v>
      </c>
      <c r="I6" s="91">
        <f t="shared" si="0"/>
        <v>338.75400000000002</v>
      </c>
      <c r="J6" s="91">
        <f t="shared" si="0"/>
        <v>236.923</v>
      </c>
      <c r="K6" s="91">
        <f t="shared" ref="K6:K20" si="1">MIN(B6:I6)</f>
        <v>246.93960000000001</v>
      </c>
      <c r="L6" s="91">
        <f t="shared" ref="L6:L20" si="2">MAX(B6:I6)</f>
        <v>358.31713000000002</v>
      </c>
      <c r="M6" s="92" t="str">
        <f t="shared" ref="M6:M20" si="3">IF(AND(J6&gt;=K6,J6&lt;=L6),"DALAM RENTANG","DI LUAR RENTANG")</f>
        <v>DI LUAR RENTANG</v>
      </c>
      <c r="N6" s="67" t="s">
        <v>1204</v>
      </c>
    </row>
    <row r="7" spans="1:14" x14ac:dyDescent="0.35">
      <c r="A7" s="63" t="s">
        <v>1205</v>
      </c>
      <c r="B7" s="65">
        <f t="shared" ref="B7:J7" si="4">IF(B42=0,0,B45/B42)</f>
        <v>0.92967961090780116</v>
      </c>
      <c r="C7" s="65">
        <f t="shared" si="4"/>
        <v>1.0056339181397047</v>
      </c>
      <c r="D7" s="65">
        <f t="shared" si="4"/>
        <v>0.94592240369709846</v>
      </c>
      <c r="E7" s="65">
        <f t="shared" si="4"/>
        <v>0.9251764611383877</v>
      </c>
      <c r="F7" s="65">
        <f t="shared" si="4"/>
        <v>0.92516573384038658</v>
      </c>
      <c r="G7" s="65">
        <f t="shared" si="4"/>
        <v>0.94294726716906885</v>
      </c>
      <c r="H7" s="65">
        <f t="shared" si="4"/>
        <v>0.91939867533489872</v>
      </c>
      <c r="I7" s="65">
        <f t="shared" si="4"/>
        <v>0.93788560430282741</v>
      </c>
      <c r="J7" s="65">
        <f t="shared" si="4"/>
        <v>0.93290647172288044</v>
      </c>
      <c r="K7" s="65">
        <f t="shared" si="1"/>
        <v>0.91939867533489872</v>
      </c>
      <c r="L7" s="65">
        <f t="shared" si="2"/>
        <v>1.0056339181397047</v>
      </c>
      <c r="M7" s="92" t="str">
        <f t="shared" si="3"/>
        <v>DALAM RENTANG</v>
      </c>
      <c r="N7" s="67"/>
    </row>
    <row r="8" spans="1:14" x14ac:dyDescent="0.35">
      <c r="A8" s="63" t="s">
        <v>1206</v>
      </c>
      <c r="B8" s="65">
        <f t="shared" ref="B8:J8" si="5">IF(B42=0,0,B43/B42)</f>
        <v>2.2340545091997135E-2</v>
      </c>
      <c r="C8" s="65">
        <f t="shared" si="5"/>
        <v>2.9164737781892731E-2</v>
      </c>
      <c r="D8" s="65">
        <f t="shared" si="5"/>
        <v>2.9456595863927858E-2</v>
      </c>
      <c r="E8" s="65">
        <f t="shared" si="5"/>
        <v>3.9762241834593412E-2</v>
      </c>
      <c r="F8" s="65">
        <f t="shared" si="5"/>
        <v>3.7675232063474298E-2</v>
      </c>
      <c r="G8" s="65">
        <f t="shared" si="5"/>
        <v>3.8971427298892171E-2</v>
      </c>
      <c r="H8" s="65">
        <f t="shared" si="5"/>
        <v>4.3981324393653549E-2</v>
      </c>
      <c r="I8" s="65">
        <f t="shared" si="5"/>
        <v>4.0604686586726654E-2</v>
      </c>
      <c r="J8" s="65">
        <f t="shared" si="5"/>
        <v>3.1997737661603139E-2</v>
      </c>
      <c r="K8" s="65">
        <f t="shared" si="1"/>
        <v>2.2340545091997135E-2</v>
      </c>
      <c r="L8" s="65">
        <f t="shared" si="2"/>
        <v>4.3981324393653549E-2</v>
      </c>
      <c r="M8" s="92" t="str">
        <f t="shared" si="3"/>
        <v>DALAM RENTANG</v>
      </c>
      <c r="N8" s="67"/>
    </row>
    <row r="9" spans="1:14" x14ac:dyDescent="0.35">
      <c r="A9" s="63" t="s">
        <v>1207</v>
      </c>
      <c r="B9" s="65">
        <f t="shared" ref="B9:J9" si="6">IF(B42=0,0,B44/B42)</f>
        <v>2.6736092689735487E-2</v>
      </c>
      <c r="C9" s="65">
        <f t="shared" si="6"/>
        <v>3.0499998425400184E-2</v>
      </c>
      <c r="D9" s="65">
        <f t="shared" si="6"/>
        <v>2.9342802855435092E-2</v>
      </c>
      <c r="E9" s="65">
        <f t="shared" si="6"/>
        <v>3.152705402773176E-2</v>
      </c>
      <c r="F9" s="65">
        <f t="shared" si="6"/>
        <v>3.2632374997969504E-2</v>
      </c>
      <c r="G9" s="65">
        <f t="shared" si="6"/>
        <v>2.740571339083385E-2</v>
      </c>
      <c r="H9" s="65">
        <f t="shared" si="6"/>
        <v>3.3578088736274922E-2</v>
      </c>
      <c r="I9" s="65">
        <f t="shared" si="6"/>
        <v>2.763067004374856E-2</v>
      </c>
      <c r="J9" s="65">
        <f t="shared" si="6"/>
        <v>2.7435073842556442E-2</v>
      </c>
      <c r="K9" s="65">
        <f t="shared" si="1"/>
        <v>2.6736092689735487E-2</v>
      </c>
      <c r="L9" s="65">
        <f t="shared" si="2"/>
        <v>3.3578088736274922E-2</v>
      </c>
      <c r="M9" s="92" t="str">
        <f t="shared" si="3"/>
        <v>DALAM RENTANG</v>
      </c>
      <c r="N9" s="67"/>
    </row>
    <row r="10" spans="1:14" x14ac:dyDescent="0.35">
      <c r="A10" s="63" t="s">
        <v>1208</v>
      </c>
      <c r="B10" s="64">
        <f t="shared" ref="B10:J10" si="7">IF(B46=0,0,B47/B46)</f>
        <v>1868.9025652846583</v>
      </c>
      <c r="C10" s="64">
        <f t="shared" si="7"/>
        <v>1886.7560611478234</v>
      </c>
      <c r="D10" s="64">
        <f t="shared" si="7"/>
        <v>1906.3189213526941</v>
      </c>
      <c r="E10" s="64">
        <f t="shared" si="7"/>
        <v>2001.6040324504909</v>
      </c>
      <c r="F10" s="64">
        <f t="shared" si="7"/>
        <v>2202.971968980205</v>
      </c>
      <c r="G10" s="64">
        <f t="shared" si="7"/>
        <v>2600.1174401980697</v>
      </c>
      <c r="H10" s="64">
        <f t="shared" si="7"/>
        <v>2757.9522868243507</v>
      </c>
      <c r="I10" s="64">
        <f t="shared" si="7"/>
        <v>2673.5488886887993</v>
      </c>
      <c r="J10" s="64">
        <f t="shared" si="7"/>
        <v>2942.8301901052664</v>
      </c>
      <c r="K10" s="64">
        <f t="shared" si="1"/>
        <v>1868.9025652846583</v>
      </c>
      <c r="L10" s="64">
        <f t="shared" si="2"/>
        <v>2757.9522868243507</v>
      </c>
      <c r="M10" s="92" t="str">
        <f t="shared" si="3"/>
        <v>DI LUAR RENTANG</v>
      </c>
      <c r="N10" s="67" t="s">
        <v>1209</v>
      </c>
    </row>
    <row r="11" spans="1:14" x14ac:dyDescent="0.35">
      <c r="A11" s="63" t="s">
        <v>1210</v>
      </c>
      <c r="B11" s="64">
        <f t="shared" ref="B11:J11" si="8">IF(B48=0,0,B49/B48)</f>
        <v>0</v>
      </c>
      <c r="C11" s="64">
        <f t="shared" si="8"/>
        <v>0</v>
      </c>
      <c r="D11" s="64">
        <f t="shared" si="8"/>
        <v>0</v>
      </c>
      <c r="E11" s="64">
        <f t="shared" si="8"/>
        <v>2950</v>
      </c>
      <c r="F11" s="64">
        <f t="shared" si="8"/>
        <v>0</v>
      </c>
      <c r="G11" s="64">
        <f t="shared" si="8"/>
        <v>0</v>
      </c>
      <c r="H11" s="64">
        <f t="shared" si="8"/>
        <v>4450.6129597197896</v>
      </c>
      <c r="I11" s="64">
        <f t="shared" si="8"/>
        <v>4526.8045148439724</v>
      </c>
      <c r="J11" s="64">
        <f t="shared" si="8"/>
        <v>4597.3383759098042</v>
      </c>
      <c r="K11" s="64">
        <f t="shared" si="1"/>
        <v>0</v>
      </c>
      <c r="L11" s="64">
        <f t="shared" si="2"/>
        <v>4526.8045148439724</v>
      </c>
      <c r="M11" s="92" t="str">
        <f t="shared" si="3"/>
        <v>DI LUAR RENTANG</v>
      </c>
      <c r="N11" s="67" t="s">
        <v>1211</v>
      </c>
    </row>
    <row r="12" spans="1:14" x14ac:dyDescent="0.35">
      <c r="A12" s="63" t="s">
        <v>1212</v>
      </c>
      <c r="B12" s="93">
        <f t="shared" ref="B12:J12" si="9">IF(B42=0,0,(B46+B48)/B42)</f>
        <v>3.2144765169334772</v>
      </c>
      <c r="C12" s="93">
        <f t="shared" si="9"/>
        <v>3.3029233120402401</v>
      </c>
      <c r="D12" s="93">
        <f t="shared" si="9"/>
        <v>3.38606803329351</v>
      </c>
      <c r="E12" s="93">
        <f t="shared" si="9"/>
        <v>3.2808503985346666</v>
      </c>
      <c r="F12" s="93">
        <f t="shared" si="9"/>
        <v>3.316174864768767</v>
      </c>
      <c r="G12" s="93">
        <f t="shared" si="9"/>
        <v>3.2296819936663606</v>
      </c>
      <c r="H12" s="93">
        <f t="shared" si="9"/>
        <v>3.0272097302390875</v>
      </c>
      <c r="I12" s="93">
        <f t="shared" si="9"/>
        <v>2.7800465403044274</v>
      </c>
      <c r="J12" s="93">
        <f t="shared" si="9"/>
        <v>2.6480006463823984</v>
      </c>
      <c r="K12" s="93">
        <f t="shared" si="1"/>
        <v>2.7800465403044274</v>
      </c>
      <c r="L12" s="93">
        <f t="shared" si="2"/>
        <v>3.38606803329351</v>
      </c>
      <c r="M12" s="92" t="str">
        <f t="shared" si="3"/>
        <v>DI LUAR RENTANG</v>
      </c>
      <c r="N12" s="67" t="s">
        <v>1213</v>
      </c>
    </row>
    <row r="13" spans="1:14" x14ac:dyDescent="0.35">
      <c r="A13" s="63" t="s">
        <v>1214</v>
      </c>
      <c r="B13" s="93">
        <f t="shared" ref="B13:J13" si="10">IF(B42=0,0,B50/B42)</f>
        <v>0.269671729063023</v>
      </c>
      <c r="C13" s="93">
        <f t="shared" si="10"/>
        <v>0.26904557206785895</v>
      </c>
      <c r="D13" s="93">
        <f t="shared" si="10"/>
        <v>0.2668709271416978</v>
      </c>
      <c r="E13" s="93">
        <f t="shared" si="10"/>
        <v>0.26837956966575299</v>
      </c>
      <c r="F13" s="93">
        <f t="shared" si="10"/>
        <v>0.26378438086024569</v>
      </c>
      <c r="G13" s="93">
        <f t="shared" si="10"/>
        <v>0.25935574663328176</v>
      </c>
      <c r="H13" s="93">
        <f t="shared" si="10"/>
        <v>0.26268509344589369</v>
      </c>
      <c r="I13" s="93">
        <f t="shared" si="10"/>
        <v>0.23299503474497718</v>
      </c>
      <c r="J13" s="93">
        <f t="shared" si="10"/>
        <v>0.24425657281057558</v>
      </c>
      <c r="K13" s="93">
        <f t="shared" si="1"/>
        <v>0.23299503474497718</v>
      </c>
      <c r="L13" s="93">
        <f t="shared" si="2"/>
        <v>0.269671729063023</v>
      </c>
      <c r="M13" s="92" t="str">
        <f t="shared" si="3"/>
        <v>DALAM RENTANG</v>
      </c>
      <c r="N13" s="67"/>
    </row>
    <row r="14" spans="1:14" x14ac:dyDescent="0.35">
      <c r="A14" s="63" t="s">
        <v>1215</v>
      </c>
      <c r="B14" s="64">
        <f t="shared" ref="B14:J14" si="11">IF(B50=0,0,B51/B50)</f>
        <v>15543.041330031048</v>
      </c>
      <c r="C14" s="64">
        <f t="shared" si="11"/>
        <v>16240.054653028454</v>
      </c>
      <c r="D14" s="64">
        <f t="shared" si="11"/>
        <v>16327.731217808985</v>
      </c>
      <c r="E14" s="64">
        <f t="shared" si="11"/>
        <v>17165.665626502556</v>
      </c>
      <c r="F14" s="64">
        <f t="shared" si="11"/>
        <v>17381.708880800958</v>
      </c>
      <c r="G14" s="64">
        <f t="shared" si="11"/>
        <v>17437.818543501879</v>
      </c>
      <c r="H14" s="64">
        <f t="shared" si="11"/>
        <v>17240.006011421709</v>
      </c>
      <c r="I14" s="64">
        <f t="shared" si="11"/>
        <v>17257.997793724535</v>
      </c>
      <c r="J14" s="64">
        <f t="shared" si="11"/>
        <v>17512.149506754278</v>
      </c>
      <c r="K14" s="64">
        <f t="shared" si="1"/>
        <v>15543.041330031048</v>
      </c>
      <c r="L14" s="64">
        <f t="shared" si="2"/>
        <v>17437.818543501879</v>
      </c>
      <c r="M14" s="92" t="str">
        <f t="shared" si="3"/>
        <v>DI LUAR RENTANG</v>
      </c>
      <c r="N14" s="67" t="s">
        <v>1216</v>
      </c>
    </row>
    <row r="15" spans="1:14" x14ac:dyDescent="0.35">
      <c r="A15" s="63" t="s">
        <v>1217</v>
      </c>
      <c r="B15" s="93">
        <f t="shared" ref="B15:J15" si="12">IF(B42=0,0,B52/B42)</f>
        <v>0.32117824425976788</v>
      </c>
      <c r="C15" s="93">
        <f t="shared" si="12"/>
        <v>0.33361634250583078</v>
      </c>
      <c r="D15" s="93">
        <f t="shared" si="12"/>
        <v>0.34158851040609445</v>
      </c>
      <c r="E15" s="93">
        <f t="shared" si="12"/>
        <v>0.34632880542298061</v>
      </c>
      <c r="F15" s="93">
        <f t="shared" si="12"/>
        <v>0.35390838481164477</v>
      </c>
      <c r="G15" s="93">
        <f t="shared" si="12"/>
        <v>0.36042367091591837</v>
      </c>
      <c r="H15" s="93">
        <f t="shared" si="12"/>
        <v>0.34663142409728687</v>
      </c>
      <c r="I15" s="93">
        <f t="shared" si="12"/>
        <v>0.33563811639160274</v>
      </c>
      <c r="J15" s="93">
        <f t="shared" si="12"/>
        <v>0.32232704441595417</v>
      </c>
      <c r="K15" s="93">
        <f t="shared" si="1"/>
        <v>0.32117824425976788</v>
      </c>
      <c r="L15" s="93">
        <f t="shared" si="2"/>
        <v>0.36042367091591837</v>
      </c>
      <c r="M15" s="92" t="str">
        <f t="shared" si="3"/>
        <v>DALAM RENTANG</v>
      </c>
      <c r="N15" s="67"/>
    </row>
    <row r="16" spans="1:14" x14ac:dyDescent="0.35">
      <c r="A16" s="63" t="s">
        <v>1218</v>
      </c>
      <c r="B16" s="64">
        <f t="shared" ref="B16:J16" si="13">IF(B52=0,0,B53/B52)</f>
        <v>9627.44726688019</v>
      </c>
      <c r="C16" s="64">
        <f t="shared" si="13"/>
        <v>9614.3578259747192</v>
      </c>
      <c r="D16" s="64">
        <f t="shared" si="13"/>
        <v>9697.1230870599866</v>
      </c>
      <c r="E16" s="64">
        <f t="shared" si="13"/>
        <v>9865.2499228835386</v>
      </c>
      <c r="F16" s="64">
        <f t="shared" si="13"/>
        <v>10106.737271020325</v>
      </c>
      <c r="G16" s="64">
        <f t="shared" si="13"/>
        <v>10190.712192493052</v>
      </c>
      <c r="H16" s="64">
        <f t="shared" si="13"/>
        <v>10328.13403970567</v>
      </c>
      <c r="I16" s="64">
        <f t="shared" si="13"/>
        <v>10173.365884040237</v>
      </c>
      <c r="J16" s="64">
        <f t="shared" si="13"/>
        <v>10143.981035713401</v>
      </c>
      <c r="K16" s="64">
        <f t="shared" si="1"/>
        <v>9614.3578259747192</v>
      </c>
      <c r="L16" s="64">
        <f t="shared" si="2"/>
        <v>10328.13403970567</v>
      </c>
      <c r="M16" s="92" t="str">
        <f t="shared" si="3"/>
        <v>DALAM RENTANG</v>
      </c>
      <c r="N16" s="67"/>
    </row>
    <row r="17" spans="1:14" x14ac:dyDescent="0.35">
      <c r="A17" s="63" t="s">
        <v>1219</v>
      </c>
      <c r="B17" s="91">
        <f t="shared" ref="B17:J17" si="14">IF(B42=0,0,B54/B42*1000)</f>
        <v>29.150155338652102</v>
      </c>
      <c r="C17" s="91">
        <f t="shared" si="14"/>
        <v>15.997934125042121</v>
      </c>
      <c r="D17" s="91">
        <f t="shared" si="14"/>
        <v>14.416480791254218</v>
      </c>
      <c r="E17" s="91">
        <f t="shared" si="14"/>
        <v>22.129180597809171</v>
      </c>
      <c r="F17" s="91">
        <f t="shared" si="14"/>
        <v>24.365987968616608</v>
      </c>
      <c r="G17" s="91">
        <f t="shared" si="14"/>
        <v>36.062039638790544</v>
      </c>
      <c r="H17" s="91">
        <f t="shared" si="14"/>
        <v>8.5166736790673045</v>
      </c>
      <c r="I17" s="91">
        <f t="shared" si="14"/>
        <v>27.837309670144116</v>
      </c>
      <c r="J17" s="91">
        <f t="shared" si="14"/>
        <v>0.42207805911625296</v>
      </c>
      <c r="K17" s="91">
        <f t="shared" si="1"/>
        <v>8.5166736790673045</v>
      </c>
      <c r="L17" s="91">
        <f t="shared" si="2"/>
        <v>36.062039638790544</v>
      </c>
      <c r="M17" s="92" t="str">
        <f t="shared" si="3"/>
        <v>DI LUAR RENTANG</v>
      </c>
      <c r="N17" s="67" t="s">
        <v>1220</v>
      </c>
    </row>
    <row r="18" spans="1:14" x14ac:dyDescent="0.35">
      <c r="A18" s="63" t="s">
        <v>1221</v>
      </c>
      <c r="B18" s="91">
        <f t="shared" ref="B18:J18" si="15">IF(B42=0,0,B55/B42*1000)</f>
        <v>69.53058593654174</v>
      </c>
      <c r="C18" s="91">
        <f t="shared" si="15"/>
        <v>70.564116129885591</v>
      </c>
      <c r="D18" s="91">
        <f t="shared" si="15"/>
        <v>75.771565192460017</v>
      </c>
      <c r="E18" s="91">
        <f t="shared" si="15"/>
        <v>81.195216723395291</v>
      </c>
      <c r="F18" s="91">
        <f t="shared" si="15"/>
        <v>77.415255996289147</v>
      </c>
      <c r="G18" s="91">
        <f t="shared" si="15"/>
        <v>72.274936415512286</v>
      </c>
      <c r="H18" s="91">
        <f t="shared" si="15"/>
        <v>81.62434343571438</v>
      </c>
      <c r="I18" s="91">
        <f t="shared" si="15"/>
        <v>73.047107930828858</v>
      </c>
      <c r="J18" s="91">
        <f t="shared" si="15"/>
        <v>74.80067363658236</v>
      </c>
      <c r="K18" s="91">
        <f t="shared" si="1"/>
        <v>69.53058593654174</v>
      </c>
      <c r="L18" s="91">
        <f t="shared" si="2"/>
        <v>81.62434343571438</v>
      </c>
      <c r="M18" s="92" t="str">
        <f t="shared" si="3"/>
        <v>DALAM RENTANG</v>
      </c>
      <c r="N18" s="67"/>
    </row>
    <row r="19" spans="1:14" x14ac:dyDescent="0.35">
      <c r="A19" s="63" t="s">
        <v>1222</v>
      </c>
      <c r="B19" s="64">
        <f t="shared" ref="B19:J19" si="16">IF(B42=0,0,B56/B42)</f>
        <v>11540.115326891655</v>
      </c>
      <c r="C19" s="64">
        <f t="shared" si="16"/>
        <v>11854.114912639974</v>
      </c>
      <c r="D19" s="64">
        <f t="shared" si="16"/>
        <v>12047.842025262493</v>
      </c>
      <c r="E19" s="64">
        <f t="shared" si="16"/>
        <v>12554.414326126089</v>
      </c>
      <c r="F19" s="64">
        <f t="shared" si="16"/>
        <v>13477.106722586368</v>
      </c>
      <c r="G19" s="64">
        <f t="shared" si="16"/>
        <v>14593.373193230071</v>
      </c>
      <c r="H19" s="64">
        <f t="shared" si="16"/>
        <v>14569.003438276985</v>
      </c>
      <c r="I19" s="64">
        <f t="shared" si="16"/>
        <v>14398.49997403514</v>
      </c>
      <c r="J19" s="64">
        <f t="shared" si="16"/>
        <v>14836.987957471752</v>
      </c>
      <c r="K19" s="64">
        <f t="shared" si="1"/>
        <v>11540.115326891655</v>
      </c>
      <c r="L19" s="64">
        <f t="shared" si="2"/>
        <v>14593.373193230071</v>
      </c>
      <c r="M19" s="92" t="str">
        <f t="shared" si="3"/>
        <v>DI LUAR RENTANG</v>
      </c>
      <c r="N19" s="67" t="s">
        <v>1223</v>
      </c>
    </row>
    <row r="20" spans="1:14" x14ac:dyDescent="0.35">
      <c r="A20" s="63" t="s">
        <v>1224</v>
      </c>
      <c r="B20" s="64">
        <f t="shared" ref="B20:J20" si="17">IF(B42-B43-B44&lt;=0,0,B57/(B42-B43-B44))</f>
        <v>17277.230701073302</v>
      </c>
      <c r="C20" s="64">
        <f t="shared" si="17"/>
        <v>17972.919499576848</v>
      </c>
      <c r="D20" s="64">
        <f t="shared" si="17"/>
        <v>18460.566850118728</v>
      </c>
      <c r="E20" s="64">
        <f t="shared" si="17"/>
        <v>19564.519363272244</v>
      </c>
      <c r="F20" s="64">
        <f t="shared" si="17"/>
        <v>20632.09196153843</v>
      </c>
      <c r="G20" s="64">
        <f t="shared" si="17"/>
        <v>21237.91219771334</v>
      </c>
      <c r="H20" s="64">
        <f t="shared" si="17"/>
        <v>21439.468652812426</v>
      </c>
      <c r="I20" s="64">
        <f t="shared" si="17"/>
        <v>20700.66730003187</v>
      </c>
      <c r="J20" s="64">
        <f t="shared" si="17"/>
        <v>21489.80382676901</v>
      </c>
      <c r="K20" s="64">
        <f t="shared" si="1"/>
        <v>17277.230701073302</v>
      </c>
      <c r="L20" s="64">
        <f t="shared" si="2"/>
        <v>21439.468652812426</v>
      </c>
      <c r="M20" s="92" t="str">
        <f t="shared" si="3"/>
        <v>DI LUAR RENTANG</v>
      </c>
      <c r="N20" s="67" t="s">
        <v>1225</v>
      </c>
    </row>
    <row r="23" spans="1:14" x14ac:dyDescent="0.35">
      <c r="A23" s="62" t="s">
        <v>1226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30" customHeight="1" x14ac:dyDescent="0.35">
      <c r="A24" s="19" t="s">
        <v>1190</v>
      </c>
      <c r="B24" s="20" t="s">
        <v>1227</v>
      </c>
      <c r="C24" s="20" t="s">
        <v>95</v>
      </c>
      <c r="D24" s="20" t="s">
        <v>1228</v>
      </c>
      <c r="E24" s="94" t="s">
        <v>1229</v>
      </c>
      <c r="F24" s="20" t="s">
        <v>50</v>
      </c>
      <c r="G24" s="20" t="s">
        <v>1230</v>
      </c>
    </row>
    <row r="25" spans="1:14" x14ac:dyDescent="0.35">
      <c r="A25" s="63" t="s">
        <v>1231</v>
      </c>
      <c r="B25" s="33">
        <v>22055.237300000001</v>
      </c>
      <c r="C25" s="47">
        <f>IF((FCC!$B$30)=0,0,(FCC!$E$66)/(FCC!$B$30))</f>
        <v>23478.381018127093</v>
      </c>
      <c r="D25" s="65">
        <f t="shared" ref="D25:D37" si="18">IF(B25=0,0,C25/B25-1)</f>
        <v>6.4526338971972574E-2</v>
      </c>
      <c r="E25" s="95">
        <v>0.1</v>
      </c>
      <c r="F25" s="92" t="str">
        <f t="shared" ref="F25:F37" si="19">IF(ABS(D25)&gt;E25,"CEK","WAJAR")</f>
        <v>WAJAR</v>
      </c>
      <c r="G25" s="67"/>
    </row>
    <row r="26" spans="1:14" x14ac:dyDescent="0.35">
      <c r="A26" s="63" t="s">
        <v>1232</v>
      </c>
      <c r="B26" s="33">
        <v>17746.626</v>
      </c>
      <c r="C26" s="47">
        <f>IF((FCC!$B$30)=0,0,(FCC!$E$56)/(FCC!$B$30))</f>
        <v>18046.124886395341</v>
      </c>
      <c r="D26" s="65">
        <f t="shared" si="18"/>
        <v>1.6876384637583453E-2</v>
      </c>
      <c r="E26" s="95">
        <v>0.1</v>
      </c>
      <c r="F26" s="92" t="str">
        <f t="shared" si="19"/>
        <v>WAJAR</v>
      </c>
      <c r="G26" s="67"/>
    </row>
    <row r="27" spans="1:14" x14ac:dyDescent="0.35">
      <c r="A27" s="63" t="s">
        <v>1233</v>
      </c>
      <c r="B27" s="33">
        <v>4308.6112999999996</v>
      </c>
      <c r="C27" s="47">
        <f>IF((FCC!$B$30)=0,0,(FCC!$E$65)/(FCC!$B$30))</f>
        <v>5432.2561317317541</v>
      </c>
      <c r="D27" s="65">
        <f t="shared" si="18"/>
        <v>0.26079048526186499</v>
      </c>
      <c r="E27" s="95">
        <v>0.1</v>
      </c>
      <c r="F27" s="92" t="str">
        <f t="shared" si="19"/>
        <v>CEK</v>
      </c>
      <c r="G27" s="67" t="s">
        <v>1234</v>
      </c>
    </row>
    <row r="28" spans="1:14" x14ac:dyDescent="0.35">
      <c r="A28" s="63" t="s">
        <v>1235</v>
      </c>
      <c r="B28" s="33">
        <v>1058.579</v>
      </c>
      <c r="C28" s="47">
        <f>IF((FCC!$B$30)=0,0,(FCC!$E$60)/(FCC!$B$30))</f>
        <v>1452.2091760451522</v>
      </c>
      <c r="D28" s="65">
        <f t="shared" si="18"/>
        <v>0.37184770909412745</v>
      </c>
      <c r="E28" s="95">
        <v>0.1</v>
      </c>
      <c r="F28" s="92" t="str">
        <f t="shared" si="19"/>
        <v>CEK</v>
      </c>
      <c r="G28" s="67" t="s">
        <v>1236</v>
      </c>
    </row>
    <row r="29" spans="1:14" x14ac:dyDescent="0.35">
      <c r="A29" s="63" t="s">
        <v>1237</v>
      </c>
      <c r="B29" s="33">
        <v>579.21299999999997</v>
      </c>
      <c r="C29" s="47">
        <f>IF((FCC!$B$30)=0,0,(FCC!$E$62)/(FCC!$B$30))</f>
        <v>907.3522118903096</v>
      </c>
      <c r="D29" s="65">
        <f t="shared" si="18"/>
        <v>0.56652597902724855</v>
      </c>
      <c r="E29" s="95">
        <v>0.1</v>
      </c>
      <c r="F29" s="92" t="str">
        <f t="shared" si="19"/>
        <v>CEK</v>
      </c>
      <c r="G29" s="67" t="s">
        <v>1238</v>
      </c>
    </row>
    <row r="30" spans="1:14" x14ac:dyDescent="0.35">
      <c r="A30" s="63" t="s">
        <v>1239</v>
      </c>
      <c r="B30" s="33">
        <v>675.05020000000002</v>
      </c>
      <c r="C30" s="47">
        <f>IF((FCC!$B$30)=0,0,(FCC!$E$63)/(FCC!$B$30))</f>
        <v>1073.2751508046238</v>
      </c>
      <c r="D30" s="65">
        <f t="shared" si="18"/>
        <v>0.58991901758509768</v>
      </c>
      <c r="E30" s="95">
        <v>0.1</v>
      </c>
      <c r="F30" s="92" t="str">
        <f t="shared" si="19"/>
        <v>CEK</v>
      </c>
      <c r="G30" s="67" t="s">
        <v>1240</v>
      </c>
    </row>
    <row r="31" spans="1:14" x14ac:dyDescent="0.35">
      <c r="A31" s="63" t="s">
        <v>1241</v>
      </c>
      <c r="B31" s="33">
        <v>889.73900000000003</v>
      </c>
      <c r="C31" s="47">
        <f>IF((FCC!$B$30)=0,0,(FCC!$E$55)/(FCC!$B$30))</f>
        <v>572.24776750431499</v>
      </c>
      <c r="D31" s="65">
        <f t="shared" si="18"/>
        <v>-0.35683636717698675</v>
      </c>
      <c r="E31" s="95">
        <v>0.1</v>
      </c>
      <c r="F31" s="92" t="str">
        <f t="shared" si="19"/>
        <v>CEK</v>
      </c>
      <c r="G31" s="67" t="s">
        <v>1242</v>
      </c>
    </row>
    <row r="32" spans="1:14" x14ac:dyDescent="0.35">
      <c r="A32" s="63" t="s">
        <v>1243</v>
      </c>
      <c r="B32" s="33">
        <v>36830.8364</v>
      </c>
      <c r="C32" s="47">
        <f>IF((UU!$B$32)=0,0,(UU!$E$66)/(UU!$B$32))</f>
        <v>38989.777011949387</v>
      </c>
      <c r="D32" s="65">
        <f t="shared" si="18"/>
        <v>5.8617745969770763E-2</v>
      </c>
      <c r="E32" s="95">
        <v>0.1</v>
      </c>
      <c r="F32" s="92" t="str">
        <f t="shared" si="19"/>
        <v>WAJAR</v>
      </c>
      <c r="G32" s="67" t="s">
        <v>1244</v>
      </c>
    </row>
    <row r="33" spans="1:14" x14ac:dyDescent="0.35">
      <c r="A33" s="63" t="s">
        <v>1245</v>
      </c>
      <c r="B33" s="33">
        <v>34424.891799999998</v>
      </c>
      <c r="C33" s="47">
        <f>IF((UO!$B$28)=0,0,(UO!$E$62)/(UO!$B$28))</f>
        <v>37609.500793107851</v>
      </c>
      <c r="D33" s="65">
        <f t="shared" si="18"/>
        <v>9.2508903487907412E-2</v>
      </c>
      <c r="E33" s="95">
        <v>0.1</v>
      </c>
      <c r="F33" s="92" t="str">
        <f t="shared" si="19"/>
        <v>WAJAR</v>
      </c>
      <c r="G33" s="67" t="s">
        <v>1246</v>
      </c>
    </row>
    <row r="34" spans="1:14" x14ac:dyDescent="0.35">
      <c r="A34" s="63" t="s">
        <v>1247</v>
      </c>
      <c r="B34" s="33">
        <v>20482.341199999999</v>
      </c>
      <c r="C34" s="47">
        <f>IF(('LAIN-LAIN'!$C$43)=0,0,('LAIN-LAIN'!$G$68)/('LAIN-LAIN'!$C$43))</f>
        <v>19078.046675846035</v>
      </c>
      <c r="D34" s="65">
        <f t="shared" si="18"/>
        <v>-6.8561230888682045E-2</v>
      </c>
      <c r="E34" s="95">
        <v>0.1</v>
      </c>
      <c r="F34" s="92" t="str">
        <f t="shared" si="19"/>
        <v>WAJAR</v>
      </c>
      <c r="G34" s="67"/>
    </row>
    <row r="35" spans="1:14" x14ac:dyDescent="0.35">
      <c r="A35" s="63" t="s">
        <v>1248</v>
      </c>
      <c r="B35" s="82">
        <v>786.76509999999996</v>
      </c>
      <c r="C35" s="23">
        <f>IF((10^6)=0,0,('BIAYA BERSAMA'!$D$87)/(10^6))</f>
        <v>806.32711362000009</v>
      </c>
      <c r="D35" s="65">
        <f t="shared" si="18"/>
        <v>2.4863855323526751E-2</v>
      </c>
      <c r="E35" s="95">
        <v>0.1</v>
      </c>
      <c r="F35" s="92" t="str">
        <f t="shared" si="19"/>
        <v>WAJAR</v>
      </c>
      <c r="G35" s="67"/>
    </row>
    <row r="36" spans="1:14" x14ac:dyDescent="0.35">
      <c r="A36" s="63" t="s">
        <v>1249</v>
      </c>
      <c r="B36" s="82">
        <v>919.52200000000005</v>
      </c>
      <c r="C36" s="23">
        <f>IF((10^6)=0,0,('BIAYA BERSAMA'!$E$87)/(10^6))</f>
        <v>766.43962356999998</v>
      </c>
      <c r="D36" s="65">
        <f t="shared" si="18"/>
        <v>-0.16648038484125449</v>
      </c>
      <c r="E36" s="95">
        <v>0.1</v>
      </c>
      <c r="F36" s="92" t="str">
        <f t="shared" si="19"/>
        <v>CEK</v>
      </c>
      <c r="G36" s="67" t="s">
        <v>1250</v>
      </c>
    </row>
    <row r="37" spans="1:14" x14ac:dyDescent="0.35">
      <c r="A37" s="63" t="s">
        <v>1251</v>
      </c>
      <c r="B37" s="33">
        <v>21015.6849</v>
      </c>
      <c r="C37" s="47">
        <f>IF(('BIAYA BERSAMA'!$G$91)=0,0,('BIAYA BERSAMA'!$C$81)/('BIAYA BERSAMA'!$G$91))</f>
        <v>21716.315833440691</v>
      </c>
      <c r="D37" s="65">
        <f t="shared" si="18"/>
        <v>3.3338477274214018E-2</v>
      </c>
      <c r="E37" s="95">
        <v>0.1</v>
      </c>
      <c r="F37" s="92" t="str">
        <f t="shared" si="19"/>
        <v>WAJAR</v>
      </c>
      <c r="G37" s="67"/>
    </row>
    <row r="40" spans="1:14" x14ac:dyDescent="0.35">
      <c r="A40" s="62" t="s">
        <v>1252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30" customHeight="1" x14ac:dyDescent="0.35">
      <c r="A41" s="19" t="s">
        <v>4</v>
      </c>
      <c r="B41" s="20" t="s">
        <v>1191</v>
      </c>
      <c r="C41" s="20" t="s">
        <v>1192</v>
      </c>
      <c r="D41" s="20" t="s">
        <v>1193</v>
      </c>
      <c r="E41" s="20" t="s">
        <v>1194</v>
      </c>
      <c r="F41" s="20" t="s">
        <v>1195</v>
      </c>
      <c r="G41" s="20" t="s">
        <v>1196</v>
      </c>
      <c r="H41" s="20" t="s">
        <v>1197</v>
      </c>
      <c r="I41" s="20" t="s">
        <v>1198</v>
      </c>
      <c r="J41" s="20" t="s">
        <v>1199</v>
      </c>
      <c r="K41" s="20" t="s">
        <v>74</v>
      </c>
    </row>
    <row r="42" spans="1:14" x14ac:dyDescent="0.35">
      <c r="A42" s="63" t="s">
        <v>1253</v>
      </c>
      <c r="B42" s="33">
        <v>358317.13</v>
      </c>
      <c r="C42" s="33">
        <v>317541</v>
      </c>
      <c r="D42" s="33">
        <v>246939.6</v>
      </c>
      <c r="E42" s="33">
        <v>248992.5</v>
      </c>
      <c r="F42" s="33">
        <v>277025.5</v>
      </c>
      <c r="G42" s="33">
        <v>278409.09999999998</v>
      </c>
      <c r="H42" s="33">
        <v>294716</v>
      </c>
      <c r="I42" s="33">
        <v>338754</v>
      </c>
      <c r="J42" s="33">
        <v>236923</v>
      </c>
      <c r="K42" s="67" t="s">
        <v>1254</v>
      </c>
    </row>
    <row r="43" spans="1:14" x14ac:dyDescent="0.35">
      <c r="A43" s="63" t="s">
        <v>1255</v>
      </c>
      <c r="B43" s="33">
        <v>8005</v>
      </c>
      <c r="C43" s="33">
        <v>9261</v>
      </c>
      <c r="D43" s="33">
        <v>7274</v>
      </c>
      <c r="E43" s="33">
        <v>9900.5</v>
      </c>
      <c r="F43" s="33">
        <v>10437</v>
      </c>
      <c r="G43" s="33">
        <v>10850</v>
      </c>
      <c r="H43" s="33">
        <v>12962</v>
      </c>
      <c r="I43" s="33">
        <v>13755</v>
      </c>
      <c r="J43" s="33">
        <v>7581</v>
      </c>
      <c r="K43" s="67" t="s">
        <v>1256</v>
      </c>
    </row>
    <row r="44" spans="1:14" x14ac:dyDescent="0.35">
      <c r="A44" s="63" t="s">
        <v>1257</v>
      </c>
      <c r="B44" s="33">
        <v>9580</v>
      </c>
      <c r="C44" s="33">
        <v>9685</v>
      </c>
      <c r="D44" s="33">
        <v>7245.9</v>
      </c>
      <c r="E44" s="33">
        <v>7850</v>
      </c>
      <c r="F44" s="33">
        <v>9040</v>
      </c>
      <c r="G44" s="33">
        <v>7630</v>
      </c>
      <c r="H44" s="33">
        <v>9896</v>
      </c>
      <c r="I44" s="33">
        <v>9360</v>
      </c>
      <c r="J44" s="33">
        <v>6500</v>
      </c>
      <c r="K44" s="67" t="s">
        <v>1258</v>
      </c>
    </row>
    <row r="45" spans="1:14" x14ac:dyDescent="0.35">
      <c r="A45" s="63" t="s">
        <v>1259</v>
      </c>
      <c r="B45" s="33">
        <v>333120.13</v>
      </c>
      <c r="C45" s="33">
        <v>319330</v>
      </c>
      <c r="D45" s="33">
        <v>233585.7</v>
      </c>
      <c r="E45" s="33">
        <v>230362</v>
      </c>
      <c r="F45" s="33">
        <v>256294.5</v>
      </c>
      <c r="G45" s="33">
        <v>262525.09999999998</v>
      </c>
      <c r="H45" s="33">
        <v>270961.5</v>
      </c>
      <c r="I45" s="33">
        <v>317712.5</v>
      </c>
      <c r="J45" s="33">
        <v>221027</v>
      </c>
      <c r="K45" s="67" t="s">
        <v>1260</v>
      </c>
    </row>
    <row r="46" spans="1:14" x14ac:dyDescent="0.35">
      <c r="A46" s="63" t="s">
        <v>1261</v>
      </c>
      <c r="B46" s="33">
        <v>1151802</v>
      </c>
      <c r="C46" s="33">
        <v>1048813.57142857</v>
      </c>
      <c r="D46" s="33">
        <v>836154.28571428603</v>
      </c>
      <c r="E46" s="33">
        <v>800377.14285714296</v>
      </c>
      <c r="F46" s="33">
        <v>918665</v>
      </c>
      <c r="G46" s="33">
        <v>899172.85714285704</v>
      </c>
      <c r="H46" s="33">
        <v>823647.14285714296</v>
      </c>
      <c r="I46" s="33">
        <v>625461.88571428601</v>
      </c>
      <c r="J46" s="33">
        <v>347092.25714285701</v>
      </c>
      <c r="K46" s="67" t="s">
        <v>1262</v>
      </c>
    </row>
    <row r="47" spans="1:14" x14ac:dyDescent="0.35">
      <c r="A47" s="63" t="s">
        <v>1263</v>
      </c>
      <c r="B47" s="33">
        <v>2152605712.5</v>
      </c>
      <c r="C47" s="33">
        <v>1978855362.90695</v>
      </c>
      <c r="D47" s="33">
        <v>1593976736.0272901</v>
      </c>
      <c r="E47" s="33">
        <v>1602038116.6240599</v>
      </c>
      <c r="F47" s="33">
        <v>2023793243.8831999</v>
      </c>
      <c r="G47" s="33">
        <v>2337955027.60987</v>
      </c>
      <c r="H47" s="33">
        <v>2271579521.1792002</v>
      </c>
      <c r="I47" s="33">
        <v>1672202929.4686301</v>
      </c>
      <c r="J47" s="33">
        <v>1021433573.07178</v>
      </c>
      <c r="K47" s="67" t="s">
        <v>1264</v>
      </c>
    </row>
    <row r="48" spans="1:14" x14ac:dyDescent="0.35">
      <c r="A48" s="63" t="s">
        <v>1265</v>
      </c>
      <c r="B48" s="33">
        <v>0</v>
      </c>
      <c r="C48" s="33">
        <v>0</v>
      </c>
      <c r="D48" s="33">
        <v>0</v>
      </c>
      <c r="E48" s="33">
        <v>16530</v>
      </c>
      <c r="F48" s="33">
        <v>0</v>
      </c>
      <c r="G48" s="33">
        <v>0</v>
      </c>
      <c r="H48" s="33">
        <v>68520</v>
      </c>
      <c r="I48" s="33">
        <v>316290</v>
      </c>
      <c r="J48" s="33">
        <v>280280</v>
      </c>
      <c r="K48" s="67" t="s">
        <v>1266</v>
      </c>
    </row>
    <row r="49" spans="1:14" x14ac:dyDescent="0.35">
      <c r="A49" s="63" t="s">
        <v>1267</v>
      </c>
      <c r="B49" s="33">
        <v>0</v>
      </c>
      <c r="C49" s="33">
        <v>0</v>
      </c>
      <c r="D49" s="33">
        <v>0</v>
      </c>
      <c r="E49" s="33">
        <v>48763500</v>
      </c>
      <c r="F49" s="33">
        <v>0</v>
      </c>
      <c r="G49" s="33">
        <v>0</v>
      </c>
      <c r="H49" s="33">
        <v>304956000</v>
      </c>
      <c r="I49" s="33">
        <v>1431783000</v>
      </c>
      <c r="J49" s="33">
        <v>1288542000</v>
      </c>
      <c r="K49" s="67" t="s">
        <v>1268</v>
      </c>
    </row>
    <row r="50" spans="1:14" x14ac:dyDescent="0.35">
      <c r="A50" s="63" t="s">
        <v>1269</v>
      </c>
      <c r="B50" s="33">
        <v>96628</v>
      </c>
      <c r="C50" s="33">
        <v>85433</v>
      </c>
      <c r="D50" s="33">
        <v>65901</v>
      </c>
      <c r="E50" s="33">
        <v>66824.5</v>
      </c>
      <c r="F50" s="33">
        <v>73075</v>
      </c>
      <c r="G50" s="33">
        <v>72207</v>
      </c>
      <c r="H50" s="33">
        <v>77417.5</v>
      </c>
      <c r="I50" s="33">
        <v>78928</v>
      </c>
      <c r="J50" s="33">
        <v>57870</v>
      </c>
      <c r="K50" s="67" t="s">
        <v>1270</v>
      </c>
    </row>
    <row r="51" spans="1:14" x14ac:dyDescent="0.35">
      <c r="A51" s="63" t="s">
        <v>1271</v>
      </c>
      <c r="B51" s="33">
        <v>1501892997.6382401</v>
      </c>
      <c r="C51" s="33">
        <v>1387436589.1721799</v>
      </c>
      <c r="D51" s="33">
        <v>1076013814.9848299</v>
      </c>
      <c r="E51" s="33">
        <v>1147087022.6582201</v>
      </c>
      <c r="F51" s="33">
        <v>1270168376.46453</v>
      </c>
      <c r="G51" s="33">
        <v>1259132563.5706401</v>
      </c>
      <c r="H51" s="33">
        <v>1334678165.38924</v>
      </c>
      <c r="I51" s="33">
        <v>1362139249.86309</v>
      </c>
      <c r="J51" s="33">
        <v>1013428091.95587</v>
      </c>
      <c r="K51" s="67" t="s">
        <v>1272</v>
      </c>
    </row>
    <row r="52" spans="1:14" x14ac:dyDescent="0.35">
      <c r="A52" s="63" t="s">
        <v>1273</v>
      </c>
      <c r="B52" s="33">
        <v>115083.666701599</v>
      </c>
      <c r="C52" s="33">
        <v>105936.86701564401</v>
      </c>
      <c r="D52" s="33">
        <v>84351.730124276801</v>
      </c>
      <c r="E52" s="33">
        <v>86233.2750842815</v>
      </c>
      <c r="F52" s="33">
        <v>98041.647256638302</v>
      </c>
      <c r="G52" s="33">
        <v>100345.229838397</v>
      </c>
      <c r="H52" s="33">
        <v>102157.826784256</v>
      </c>
      <c r="I52" s="33">
        <v>113698.754480121</v>
      </c>
      <c r="J52" s="33">
        <v>76366.690344161107</v>
      </c>
      <c r="K52" s="67" t="s">
        <v>1274</v>
      </c>
    </row>
    <row r="53" spans="1:14" x14ac:dyDescent="0.35">
      <c r="A53" s="63" t="s">
        <v>1275</v>
      </c>
      <c r="B53" s="33">
        <v>1107961932.4488599</v>
      </c>
      <c r="C53" s="33">
        <v>1018514946.4511</v>
      </c>
      <c r="D53" s="33">
        <v>817969109.62157798</v>
      </c>
      <c r="E53" s="33">
        <v>850712810.37520301</v>
      </c>
      <c r="F53" s="33">
        <v>990881170.44089401</v>
      </c>
      <c r="G53" s="33">
        <v>1022589357.17267</v>
      </c>
      <c r="H53" s="33">
        <v>1055099728.23283</v>
      </c>
      <c r="I53" s="33">
        <v>1156699029.8859301</v>
      </c>
      <c r="J53" s="33">
        <v>774662258.61136794</v>
      </c>
      <c r="K53" s="67" t="s">
        <v>1276</v>
      </c>
    </row>
    <row r="54" spans="1:14" x14ac:dyDescent="0.35">
      <c r="A54" s="63" t="s">
        <v>1277</v>
      </c>
      <c r="B54" s="33">
        <v>10445</v>
      </c>
      <c r="C54" s="33">
        <v>5080</v>
      </c>
      <c r="D54" s="33">
        <v>3560</v>
      </c>
      <c r="E54" s="33">
        <v>5510</v>
      </c>
      <c r="F54" s="33">
        <v>6750</v>
      </c>
      <c r="G54" s="33">
        <v>10040</v>
      </c>
      <c r="H54" s="33">
        <v>2510</v>
      </c>
      <c r="I54" s="33">
        <v>9430</v>
      </c>
      <c r="J54" s="33">
        <v>100</v>
      </c>
      <c r="K54" s="67" t="s">
        <v>1278</v>
      </c>
    </row>
    <row r="55" spans="1:14" x14ac:dyDescent="0.35">
      <c r="A55" s="63" t="s">
        <v>1279</v>
      </c>
      <c r="B55" s="33">
        <v>24914</v>
      </c>
      <c r="C55" s="33">
        <v>22407</v>
      </c>
      <c r="D55" s="33">
        <v>18711</v>
      </c>
      <c r="E55" s="33">
        <v>20217</v>
      </c>
      <c r="F55" s="33">
        <v>21446</v>
      </c>
      <c r="G55" s="33">
        <v>20122</v>
      </c>
      <c r="H55" s="33">
        <v>24056</v>
      </c>
      <c r="I55" s="33">
        <v>24745</v>
      </c>
      <c r="J55" s="33">
        <v>17722</v>
      </c>
      <c r="K55" s="67" t="s">
        <v>1280</v>
      </c>
    </row>
    <row r="56" spans="1:14" x14ac:dyDescent="0.35">
      <c r="A56" s="63" t="s">
        <v>1281</v>
      </c>
      <c r="B56" s="33">
        <v>4135021003.8008299</v>
      </c>
      <c r="C56" s="33">
        <v>3764167503.4746099</v>
      </c>
      <c r="D56" s="33">
        <v>2975089290.5815101</v>
      </c>
      <c r="E56" s="33">
        <v>3125955009.09795</v>
      </c>
      <c r="F56" s="33">
        <v>3733502228.3778501</v>
      </c>
      <c r="G56" s="33">
        <v>4062927896.6913099</v>
      </c>
      <c r="H56" s="33">
        <v>4293718417.3152399</v>
      </c>
      <c r="I56" s="33">
        <v>4877549460.2042999</v>
      </c>
      <c r="J56" s="33">
        <v>3515223697.8480802</v>
      </c>
      <c r="K56" s="67" t="s">
        <v>1282</v>
      </c>
    </row>
    <row r="57" spans="1:14" x14ac:dyDescent="0.35">
      <c r="A57" s="63" t="s">
        <v>1283</v>
      </c>
      <c r="B57" s="33">
        <v>5886907617.2781</v>
      </c>
      <c r="C57" s="33">
        <v>5366623897.9761496</v>
      </c>
      <c r="D57" s="33">
        <v>4290599409.1345401</v>
      </c>
      <c r="E57" s="33">
        <v>4524138586.6018</v>
      </c>
      <c r="F57" s="33">
        <v>5313764336.5562801</v>
      </c>
      <c r="G57" s="33">
        <v>5520351403.4306498</v>
      </c>
      <c r="H57" s="33">
        <v>5828491069.0162802</v>
      </c>
      <c r="I57" s="33">
        <v>6533937925.9147596</v>
      </c>
      <c r="J57" s="33">
        <v>4788830864.3648596</v>
      </c>
      <c r="K57" s="67" t="s">
        <v>1284</v>
      </c>
    </row>
    <row r="59" spans="1:14" x14ac:dyDescent="0.35">
      <c r="A59" s="62" t="s">
        <v>1285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35">
      <c r="A60" s="63" t="s">
        <v>1286</v>
      </c>
      <c r="B60" s="33">
        <v>301075.5</v>
      </c>
      <c r="C60" s="67" t="s">
        <v>1287</v>
      </c>
    </row>
    <row r="61" spans="1:14" x14ac:dyDescent="0.35">
      <c r="A61" s="63" t="s">
        <v>1288</v>
      </c>
      <c r="B61" s="33">
        <v>9430</v>
      </c>
      <c r="C61" s="67" t="s">
        <v>1289</v>
      </c>
    </row>
    <row r="62" spans="1:14" x14ac:dyDescent="0.35">
      <c r="A62" s="63" t="s">
        <v>1290</v>
      </c>
      <c r="B62" s="47">
        <f>FCC!$C$203</f>
        <v>204950.5</v>
      </c>
      <c r="C62" s="67" t="s">
        <v>1291</v>
      </c>
    </row>
    <row r="63" spans="1:14" x14ac:dyDescent="0.35">
      <c r="A63" s="63" t="s">
        <v>1292</v>
      </c>
      <c r="B63" s="47">
        <f>FCC!$B$53</f>
        <v>100</v>
      </c>
      <c r="C63" s="67" t="s">
        <v>1293</v>
      </c>
    </row>
    <row r="64" spans="1:14" x14ac:dyDescent="0.35">
      <c r="A64" s="63" t="s">
        <v>1294</v>
      </c>
      <c r="B64" s="64">
        <f>IF(B61=0,0,B62/(B60/B61))</f>
        <v>6419.2643207434676</v>
      </c>
      <c r="C64" s="67"/>
    </row>
    <row r="65" spans="1:3" x14ac:dyDescent="0.35">
      <c r="A65" s="63" t="s">
        <v>1295</v>
      </c>
      <c r="B65" s="47">
        <f>FCC!$D$53</f>
        <v>9761.7670769323595</v>
      </c>
      <c r="C65" s="67" t="s">
        <v>1296</v>
      </c>
    </row>
    <row r="66" spans="1:3" x14ac:dyDescent="0.35">
      <c r="A66" s="63" t="s">
        <v>1297</v>
      </c>
      <c r="B66" s="73">
        <f>(B64-B63)*B65/10^6</f>
        <v>61.687186396666917</v>
      </c>
      <c r="C66" s="67" t="s">
        <v>1298</v>
      </c>
    </row>
    <row r="67" spans="1:3" x14ac:dyDescent="0.35">
      <c r="A67" s="63" t="s">
        <v>1299</v>
      </c>
      <c r="B67" s="96">
        <f>B66/'REKON &amp; KONTROL'!$F$15*100</f>
        <v>0.82664445476647441</v>
      </c>
      <c r="C67" s="6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328125" defaultRowHeight="14.5" x14ac:dyDescent="0.35"/>
  <cols>
    <col min="1" max="1" width="12" customWidth="1"/>
    <col min="2" max="2" width="62" customWidth="1"/>
    <col min="3" max="5" width="14" customWidth="1"/>
    <col min="6" max="7" width="12" customWidth="1"/>
  </cols>
  <sheetData>
    <row r="1" spans="1:8" x14ac:dyDescent="0.35">
      <c r="A1" s="90" t="s">
        <v>1300</v>
      </c>
    </row>
    <row r="2" spans="1:8" ht="36" customHeight="1" x14ac:dyDescent="0.35">
      <c r="A2" s="2" t="s">
        <v>1301</v>
      </c>
      <c r="B2" s="2"/>
      <c r="C2" s="2"/>
      <c r="D2" s="2"/>
      <c r="E2" s="2"/>
      <c r="F2" s="2"/>
      <c r="G2" s="2"/>
      <c r="H2" s="2"/>
    </row>
    <row r="3" spans="1:8" x14ac:dyDescent="0.35">
      <c r="A3" s="72" t="s">
        <v>431</v>
      </c>
      <c r="C3" s="92" t="str">
        <f>IF(COUNTIF(D151:D157,"GAGAL")=0,"LULUS","GAGAL")</f>
        <v>LULUS</v>
      </c>
    </row>
    <row r="5" spans="1:8" x14ac:dyDescent="0.35">
      <c r="A5" s="62" t="s">
        <v>1302</v>
      </c>
      <c r="B5" s="10"/>
      <c r="C5" s="10"/>
      <c r="D5" s="10"/>
      <c r="E5" s="10"/>
      <c r="F5" s="10"/>
      <c r="G5" s="10"/>
      <c r="H5" s="10"/>
    </row>
    <row r="6" spans="1:8" ht="30" customHeight="1" x14ac:dyDescent="0.35">
      <c r="A6" s="19" t="s">
        <v>901</v>
      </c>
      <c r="B6" s="20" t="s">
        <v>4</v>
      </c>
      <c r="C6" s="20" t="s">
        <v>1227</v>
      </c>
      <c r="D6" s="20" t="s">
        <v>95</v>
      </c>
      <c r="E6" s="20" t="s">
        <v>1303</v>
      </c>
    </row>
    <row r="7" spans="1:8" x14ac:dyDescent="0.35">
      <c r="A7" s="67" t="s">
        <v>1304</v>
      </c>
      <c r="B7" s="63" t="s">
        <v>1305</v>
      </c>
      <c r="C7" s="82">
        <v>9793.1254520000002</v>
      </c>
      <c r="D7" s="23">
        <f>'REKON &amp; KONTROL'!$F$15</f>
        <v>7462.3601526600005</v>
      </c>
      <c r="E7" s="67" t="s">
        <v>1306</v>
      </c>
    </row>
    <row r="8" spans="1:8" x14ac:dyDescent="0.35">
      <c r="A8" s="67" t="s">
        <v>1307</v>
      </c>
      <c r="B8" s="63" t="s">
        <v>1308</v>
      </c>
      <c r="C8" s="82">
        <v>8672.0977019999991</v>
      </c>
      <c r="D8" s="23">
        <f>'REKON &amp; KONTROL'!$B$15</f>
        <v>5901.3131420700001</v>
      </c>
      <c r="E8" s="67" t="s">
        <v>1309</v>
      </c>
    </row>
    <row r="9" spans="1:8" x14ac:dyDescent="0.35">
      <c r="A9" s="67" t="s">
        <v>1310</v>
      </c>
      <c r="B9" s="63" t="s">
        <v>385</v>
      </c>
      <c r="C9" s="82">
        <v>349.70925</v>
      </c>
      <c r="D9" s="23">
        <f>'REKON &amp; KONTROL'!$C$15</f>
        <v>321.70049999999998</v>
      </c>
      <c r="E9" s="67" t="s">
        <v>1311</v>
      </c>
    </row>
    <row r="10" spans="1:8" x14ac:dyDescent="0.35">
      <c r="A10" s="67" t="s">
        <v>1312</v>
      </c>
      <c r="B10" s="63" t="s">
        <v>419</v>
      </c>
      <c r="C10" s="82">
        <v>354.6037</v>
      </c>
      <c r="D10" s="23">
        <f>'REKON &amp; KONTROL'!$D$15</f>
        <v>321.67245000000003</v>
      </c>
      <c r="E10" s="67" t="s">
        <v>1313</v>
      </c>
    </row>
    <row r="11" spans="1:8" x14ac:dyDescent="0.35">
      <c r="A11" s="67" t="s">
        <v>1314</v>
      </c>
      <c r="B11" s="63" t="s">
        <v>1315</v>
      </c>
      <c r="C11" s="82">
        <v>416.71480000000003</v>
      </c>
      <c r="D11" s="23">
        <f>'REKON &amp; KONTROL'!$E$15</f>
        <v>917.67406059000007</v>
      </c>
      <c r="E11" s="67" t="s">
        <v>1316</v>
      </c>
    </row>
    <row r="12" spans="1:8" x14ac:dyDescent="0.35">
      <c r="A12" s="67" t="s">
        <v>1317</v>
      </c>
      <c r="B12" s="63" t="s">
        <v>1318</v>
      </c>
      <c r="C12" s="33">
        <v>307137.5</v>
      </c>
      <c r="D12" s="47">
        <f>FCC!$C$203+FCC!$C$208</f>
        <v>210907.5</v>
      </c>
      <c r="E12" s="67" t="s">
        <v>1319</v>
      </c>
    </row>
    <row r="13" spans="1:8" x14ac:dyDescent="0.35">
      <c r="A13" s="67" t="s">
        <v>1320</v>
      </c>
      <c r="B13" s="63" t="s">
        <v>1321</v>
      </c>
      <c r="C13" s="33">
        <v>7210.5</v>
      </c>
      <c r="D13" s="47">
        <f>UU!$C$203</f>
        <v>6633</v>
      </c>
      <c r="E13" s="67" t="s">
        <v>1322</v>
      </c>
    </row>
    <row r="14" spans="1:8" x14ac:dyDescent="0.35">
      <c r="A14" s="67" t="s">
        <v>1323</v>
      </c>
      <c r="B14" s="63" t="s">
        <v>1324</v>
      </c>
      <c r="C14" s="33">
        <v>7403</v>
      </c>
      <c r="D14" s="47">
        <f>UO!$C$199</f>
        <v>6715.5</v>
      </c>
      <c r="E14" s="67" t="s">
        <v>1325</v>
      </c>
    </row>
    <row r="15" spans="1:8" x14ac:dyDescent="0.35">
      <c r="A15" s="67" t="s">
        <v>1326</v>
      </c>
      <c r="B15" s="63" t="s">
        <v>1327</v>
      </c>
      <c r="C15" s="33">
        <v>338754</v>
      </c>
      <c r="D15" s="47">
        <f>'REKON &amp; KONTROL'!$B$6</f>
        <v>236923</v>
      </c>
      <c r="E15" s="67" t="s">
        <v>1328</v>
      </c>
    </row>
    <row r="16" spans="1:8" x14ac:dyDescent="0.35">
      <c r="A16" s="67" t="s">
        <v>1329</v>
      </c>
      <c r="B16" s="63" t="s">
        <v>1330</v>
      </c>
      <c r="C16" s="33">
        <v>13376</v>
      </c>
      <c r="D16" s="47">
        <f>'REKON &amp; KONTROL'!$C$6</f>
        <v>467.5</v>
      </c>
      <c r="E16" s="67" t="s">
        <v>1331</v>
      </c>
    </row>
    <row r="17" spans="1:5" x14ac:dyDescent="0.35">
      <c r="A17" s="67" t="s">
        <v>1332</v>
      </c>
      <c r="B17" s="63" t="s">
        <v>1333</v>
      </c>
      <c r="C17" s="33">
        <v>7403</v>
      </c>
      <c r="D17" s="47">
        <f>'REKON &amp; KONTROL'!$D$6</f>
        <v>6715.5</v>
      </c>
      <c r="E17" s="67" t="s">
        <v>1334</v>
      </c>
    </row>
    <row r="18" spans="1:5" x14ac:dyDescent="0.35">
      <c r="A18" s="67" t="s">
        <v>1335</v>
      </c>
      <c r="B18" s="63" t="s">
        <v>1336</v>
      </c>
      <c r="C18" s="33">
        <v>17571.48</v>
      </c>
      <c r="D18" s="47">
        <f>'REKON &amp; KONTROL'!$E$6</f>
        <v>45653.42</v>
      </c>
      <c r="E18" s="67" t="s">
        <v>1337</v>
      </c>
    </row>
    <row r="19" spans="1:5" x14ac:dyDescent="0.35">
      <c r="A19" s="67" t="s">
        <v>1338</v>
      </c>
      <c r="B19" s="63" t="s">
        <v>1339</v>
      </c>
      <c r="C19" s="82">
        <v>6011.7405410000001</v>
      </c>
      <c r="D19" s="23">
        <f>'REKON &amp; KONTROL'!$B$7</f>
        <v>4275.5420464594436</v>
      </c>
      <c r="E19" s="67" t="s">
        <v>1340</v>
      </c>
    </row>
    <row r="20" spans="1:5" x14ac:dyDescent="0.35">
      <c r="A20" s="67" t="s">
        <v>1341</v>
      </c>
      <c r="B20" s="63" t="s">
        <v>1342</v>
      </c>
      <c r="C20" s="82">
        <v>379.68621000000002</v>
      </c>
      <c r="D20" s="23">
        <f>'REKON &amp; KONTROL'!$C$7</f>
        <v>12.447449363263678</v>
      </c>
      <c r="E20" s="67" t="s">
        <v>1343</v>
      </c>
    </row>
    <row r="21" spans="1:5" x14ac:dyDescent="0.35">
      <c r="A21" s="67" t="s">
        <v>1344</v>
      </c>
      <c r="B21" s="63" t="s">
        <v>1345</v>
      </c>
      <c r="C21" s="82">
        <v>193.246669</v>
      </c>
      <c r="D21" s="23">
        <f>'REKON &amp; KONTROL'!$D$7</f>
        <v>173.60070219353085</v>
      </c>
      <c r="E21" s="67" t="s">
        <v>1346</v>
      </c>
    </row>
    <row r="22" spans="1:5" x14ac:dyDescent="0.35">
      <c r="A22" s="67" t="s">
        <v>1347</v>
      </c>
      <c r="B22" s="63" t="s">
        <v>1348</v>
      </c>
      <c r="C22" s="82">
        <v>12.633599999999999</v>
      </c>
      <c r="D22" s="23">
        <f>'REKON &amp; KONTROL'!$E$7</f>
        <v>76.67361851843954</v>
      </c>
      <c r="E22" s="67" t="s">
        <v>1349</v>
      </c>
    </row>
    <row r="23" spans="1:5" x14ac:dyDescent="0.35">
      <c r="A23" s="67" t="s">
        <v>1350</v>
      </c>
      <c r="B23" s="63" t="s">
        <v>1351</v>
      </c>
      <c r="C23" s="82">
        <v>3103.9859289999999</v>
      </c>
      <c r="D23" s="23">
        <f>(FCC!$E$41+FCC!$E$42)/10^6</f>
        <v>2309.9755730717798</v>
      </c>
      <c r="E23" s="67" t="s">
        <v>1352</v>
      </c>
    </row>
    <row r="24" spans="1:5" x14ac:dyDescent="0.35">
      <c r="A24" s="67" t="s">
        <v>1353</v>
      </c>
      <c r="B24" s="63" t="s">
        <v>1354</v>
      </c>
      <c r="C24" s="82">
        <v>87.513676000000004</v>
      </c>
      <c r="D24" s="23">
        <f>(FCC!$E$43)/10^6</f>
        <v>41.897464999999997</v>
      </c>
      <c r="E24" s="67" t="s">
        <v>1355</v>
      </c>
    </row>
    <row r="25" spans="1:5" x14ac:dyDescent="0.35">
      <c r="A25" s="67" t="s">
        <v>1356</v>
      </c>
      <c r="B25" s="63" t="s">
        <v>1357</v>
      </c>
      <c r="C25" s="82">
        <v>1362.1392499999999</v>
      </c>
      <c r="D25" s="23">
        <f>(FCC!$E$46)/10^6</f>
        <v>1013.4280919558713</v>
      </c>
      <c r="E25" s="67" t="s">
        <v>1358</v>
      </c>
    </row>
    <row r="26" spans="1:5" x14ac:dyDescent="0.35">
      <c r="A26" s="67" t="s">
        <v>106</v>
      </c>
      <c r="B26" s="63" t="s">
        <v>1359</v>
      </c>
      <c r="C26" s="82">
        <v>1156.69903</v>
      </c>
      <c r="D26" s="23">
        <f>(FCC!$E$47)/10^6</f>
        <v>774.66225861136786</v>
      </c>
      <c r="E26" s="67" t="s">
        <v>1360</v>
      </c>
    </row>
    <row r="27" spans="1:5" x14ac:dyDescent="0.35">
      <c r="A27" s="67" t="s">
        <v>1361</v>
      </c>
      <c r="B27" s="63" t="s">
        <v>1362</v>
      </c>
      <c r="C27" s="82">
        <v>301.40265599999998</v>
      </c>
      <c r="D27" s="23">
        <f>(FCC!$E$55)/10^6</f>
        <v>135.57865782042484</v>
      </c>
      <c r="E27" s="67" t="s">
        <v>1363</v>
      </c>
    </row>
    <row r="28" spans="1:5" x14ac:dyDescent="0.35">
      <c r="A28" s="67" t="s">
        <v>1364</v>
      </c>
      <c r="B28" s="63" t="s">
        <v>1365</v>
      </c>
      <c r="C28" s="82">
        <v>609.92431599999998</v>
      </c>
      <c r="D28" s="23">
        <f>('BIAYA BERSAMA'!$C$81)/10^6</f>
        <v>469.3145567522302</v>
      </c>
      <c r="E28" s="67" t="s">
        <v>1366</v>
      </c>
    </row>
    <row r="29" spans="1:5" x14ac:dyDescent="0.35">
      <c r="A29" s="67" t="s">
        <v>1367</v>
      </c>
      <c r="B29" s="63" t="s">
        <v>1368</v>
      </c>
      <c r="C29" s="82">
        <v>117.14549599999999</v>
      </c>
      <c r="D29" s="23">
        <f>('BIAYA BERSAMA'!$D$81)/10^6</f>
        <v>100.03077477325684</v>
      </c>
      <c r="E29" s="67" t="s">
        <v>1369</v>
      </c>
    </row>
    <row r="30" spans="1:5" x14ac:dyDescent="0.35">
      <c r="A30" s="67" t="s">
        <v>1370</v>
      </c>
      <c r="B30" s="63" t="s">
        <v>1371</v>
      </c>
      <c r="C30" s="82">
        <v>520.03312200000005</v>
      </c>
      <c r="D30" s="23">
        <f>('BIAYA BERSAMA'!$C$115)/10^6</f>
        <v>384.85654920023592</v>
      </c>
      <c r="E30" s="67" t="s">
        <v>1372</v>
      </c>
    </row>
    <row r="31" spans="1:5" x14ac:dyDescent="0.35">
      <c r="A31" s="67" t="s">
        <v>1373</v>
      </c>
      <c r="B31" s="63" t="s">
        <v>1374</v>
      </c>
      <c r="C31" s="82">
        <v>42.346604999999997</v>
      </c>
      <c r="D31" s="23">
        <f>('BIAYA BERSAMA'!$D$115)/10^6</f>
        <v>1.976184740843103</v>
      </c>
      <c r="E31" s="67" t="s">
        <v>1375</v>
      </c>
    </row>
    <row r="32" spans="1:5" x14ac:dyDescent="0.35">
      <c r="A32" s="67" t="s">
        <v>1376</v>
      </c>
      <c r="B32" s="63" t="s">
        <v>1377</v>
      </c>
      <c r="C32" s="82">
        <v>22.507798000000001</v>
      </c>
      <c r="D32" s="23">
        <f>('BIAYA BERSAMA'!$E$115)/10^6</f>
        <v>24.083394259285729</v>
      </c>
      <c r="E32" s="67" t="s">
        <v>1378</v>
      </c>
    </row>
    <row r="33" spans="1:5" x14ac:dyDescent="0.35">
      <c r="A33" s="67" t="s">
        <v>1379</v>
      </c>
      <c r="B33" s="63" t="s">
        <v>1380</v>
      </c>
      <c r="C33" s="82">
        <v>25.03679</v>
      </c>
      <c r="D33" s="23">
        <f>('BIAYA BERSAMA'!$F$115)/10^6</f>
        <v>58.39842855186545</v>
      </c>
      <c r="E33" s="67" t="s">
        <v>1381</v>
      </c>
    </row>
    <row r="34" spans="1:5" x14ac:dyDescent="0.35">
      <c r="A34" s="67" t="s">
        <v>1382</v>
      </c>
      <c r="B34" s="63" t="s">
        <v>1383</v>
      </c>
      <c r="C34" s="82">
        <v>106.092403</v>
      </c>
      <c r="D34" s="23">
        <f>('BIAYA BERSAMA'!$C$82)/10^6</f>
        <v>53.598624961089982</v>
      </c>
      <c r="E34" s="67" t="s">
        <v>1384</v>
      </c>
    </row>
    <row r="35" spans="1:5" x14ac:dyDescent="0.35">
      <c r="A35" s="67" t="s">
        <v>1385</v>
      </c>
      <c r="B35" s="63" t="s">
        <v>1386</v>
      </c>
      <c r="C35" s="82">
        <v>0</v>
      </c>
      <c r="D35" s="23">
        <f>('BIAYA BERSAMA'!$D$82)/10^6</f>
        <v>0</v>
      </c>
      <c r="E35" s="67" t="s">
        <v>1387</v>
      </c>
    </row>
    <row r="36" spans="1:5" x14ac:dyDescent="0.35">
      <c r="A36" s="67" t="s">
        <v>1388</v>
      </c>
      <c r="B36" s="63" t="s">
        <v>1389</v>
      </c>
      <c r="C36" s="82">
        <v>106.092403</v>
      </c>
      <c r="D36" s="23">
        <f>('BIAYA BERSAMA'!$C$116)/10^6</f>
        <v>53.598624961089982</v>
      </c>
      <c r="E36" s="67" t="s">
        <v>1390</v>
      </c>
    </row>
    <row r="37" spans="1:5" x14ac:dyDescent="0.35">
      <c r="A37" s="67" t="s">
        <v>1391</v>
      </c>
      <c r="B37" s="63" t="s">
        <v>1392</v>
      </c>
      <c r="C37" s="82">
        <v>0</v>
      </c>
      <c r="D37" s="23">
        <f>('BIAYA BERSAMA'!$D$116)/10^6</f>
        <v>0</v>
      </c>
      <c r="E37" s="67" t="s">
        <v>1393</v>
      </c>
    </row>
    <row r="38" spans="1:5" x14ac:dyDescent="0.35">
      <c r="A38" s="67" t="s">
        <v>1394</v>
      </c>
      <c r="B38" s="63" t="s">
        <v>1395</v>
      </c>
      <c r="C38" s="82">
        <v>0</v>
      </c>
      <c r="D38" s="23">
        <f>('BIAYA BERSAMA'!$E$116)/10^6</f>
        <v>0</v>
      </c>
      <c r="E38" s="67" t="s">
        <v>1396</v>
      </c>
    </row>
    <row r="39" spans="1:5" x14ac:dyDescent="0.35">
      <c r="A39" s="67" t="s">
        <v>1397</v>
      </c>
      <c r="B39" s="63" t="s">
        <v>1398</v>
      </c>
      <c r="C39" s="82">
        <v>0</v>
      </c>
      <c r="D39" s="23">
        <f>('BIAYA BERSAMA'!$F$116)/10^6</f>
        <v>0</v>
      </c>
      <c r="E39" s="67" t="s">
        <v>1399</v>
      </c>
    </row>
    <row r="40" spans="1:5" x14ac:dyDescent="0.35">
      <c r="A40" s="67" t="s">
        <v>1400</v>
      </c>
      <c r="B40" s="63" t="s">
        <v>1401</v>
      </c>
      <c r="C40" s="82">
        <v>420.58390800000001</v>
      </c>
      <c r="D40" s="23">
        <f>('BIAYA BERSAMA'!$C$83)/10^6</f>
        <v>419.56721328667982</v>
      </c>
      <c r="E40" s="67" t="s">
        <v>1402</v>
      </c>
    </row>
    <row r="41" spans="1:5" x14ac:dyDescent="0.35">
      <c r="A41" s="67" t="s">
        <v>1403</v>
      </c>
      <c r="B41" s="63" t="s">
        <v>1404</v>
      </c>
      <c r="C41" s="82">
        <v>272.73897099999999</v>
      </c>
      <c r="D41" s="23">
        <f>('BIAYA BERSAMA'!$D$83)/10^6</f>
        <v>282.77665022674319</v>
      </c>
      <c r="E41" s="67" t="s">
        <v>1405</v>
      </c>
    </row>
    <row r="42" spans="1:5" x14ac:dyDescent="0.35">
      <c r="A42" s="67" t="s">
        <v>1406</v>
      </c>
      <c r="B42" s="63" t="s">
        <v>1407</v>
      </c>
      <c r="C42" s="82">
        <v>358.59787399999999</v>
      </c>
      <c r="D42" s="23">
        <f>('BIAYA BERSAMA'!$C$117)/10^6</f>
        <v>344.06175461614561</v>
      </c>
      <c r="E42" s="67" t="s">
        <v>1408</v>
      </c>
    </row>
    <row r="43" spans="1:5" x14ac:dyDescent="0.35">
      <c r="A43" s="67" t="s">
        <v>1409</v>
      </c>
      <c r="B43" s="63" t="s">
        <v>1410</v>
      </c>
      <c r="C43" s="82">
        <v>29.200837</v>
      </c>
      <c r="D43" s="23">
        <f>('BIAYA BERSAMA'!$D$117)/10^6</f>
        <v>1.766709156419662</v>
      </c>
      <c r="E43" s="67" t="s">
        <v>1411</v>
      </c>
    </row>
    <row r="44" spans="1:5" x14ac:dyDescent="0.35">
      <c r="A44" s="67" t="s">
        <v>1412</v>
      </c>
      <c r="B44" s="63" t="s">
        <v>1413</v>
      </c>
      <c r="C44" s="82">
        <v>15.520643</v>
      </c>
      <c r="D44" s="23">
        <f>('BIAYA BERSAMA'!$E$117)/10^6</f>
        <v>21.530554444718739</v>
      </c>
      <c r="E44" s="67" t="s">
        <v>1414</v>
      </c>
    </row>
    <row r="45" spans="1:5" x14ac:dyDescent="0.35">
      <c r="A45" s="67" t="s">
        <v>1415</v>
      </c>
      <c r="B45" s="63" t="s">
        <v>1416</v>
      </c>
      <c r="C45" s="82">
        <v>17.264554</v>
      </c>
      <c r="D45" s="23">
        <f>('BIAYA BERSAMA'!$F$117)/10^6</f>
        <v>52.208195069395806</v>
      </c>
      <c r="E45" s="67" t="s">
        <v>1417</v>
      </c>
    </row>
    <row r="46" spans="1:5" x14ac:dyDescent="0.35">
      <c r="A46" s="67" t="s">
        <v>1418</v>
      </c>
      <c r="B46" s="63" t="s">
        <v>1419</v>
      </c>
      <c r="C46" s="82">
        <v>56.645114</v>
      </c>
      <c r="D46" s="23">
        <f>('BIAYA BERSAMA'!$C$84)/10^6</f>
        <v>46.737259999999999</v>
      </c>
      <c r="E46" s="67" t="s">
        <v>1420</v>
      </c>
    </row>
    <row r="47" spans="1:5" x14ac:dyDescent="0.35">
      <c r="A47" s="67" t="s">
        <v>1421</v>
      </c>
      <c r="B47" s="63" t="s">
        <v>1422</v>
      </c>
      <c r="C47" s="82">
        <v>0</v>
      </c>
      <c r="D47" s="23">
        <f>('BIAYA BERSAMA'!$D$84)/10^6</f>
        <v>0</v>
      </c>
      <c r="E47" s="67" t="s">
        <v>1423</v>
      </c>
    </row>
    <row r="48" spans="1:5" x14ac:dyDescent="0.35">
      <c r="A48" s="67" t="s">
        <v>1424</v>
      </c>
      <c r="B48" s="63" t="s">
        <v>1425</v>
      </c>
      <c r="C48" s="82">
        <v>49.949241999999998</v>
      </c>
      <c r="D48" s="23">
        <f>('BIAYA BERSAMA'!$C$118)/10^6</f>
        <v>35.253314069039192</v>
      </c>
      <c r="E48" s="67" t="s">
        <v>1426</v>
      </c>
    </row>
    <row r="49" spans="1:5" x14ac:dyDescent="0.35">
      <c r="A49" s="67" t="s">
        <v>1427</v>
      </c>
      <c r="B49" s="63" t="s">
        <v>1428</v>
      </c>
      <c r="C49" s="82">
        <v>0.91754599999999997</v>
      </c>
      <c r="D49" s="23">
        <f>('BIAYA BERSAMA'!$D$118)/10^6</f>
        <v>2.7926782660179054E-2</v>
      </c>
      <c r="E49" s="67" t="s">
        <v>1429</v>
      </c>
    </row>
    <row r="50" spans="1:5" x14ac:dyDescent="0.35">
      <c r="A50" s="67" t="s">
        <v>1430</v>
      </c>
      <c r="B50" s="63" t="s">
        <v>1431</v>
      </c>
      <c r="C50" s="82">
        <v>0.55248900000000001</v>
      </c>
      <c r="D50" s="23">
        <f>('BIAYA BERSAMA'!$E$118)/10^6</f>
        <v>0.49639230262294159</v>
      </c>
      <c r="E50" s="67" t="s">
        <v>1432</v>
      </c>
    </row>
    <row r="51" spans="1:5" x14ac:dyDescent="0.35">
      <c r="A51" s="67" t="s">
        <v>1433</v>
      </c>
      <c r="B51" s="63" t="s">
        <v>1434</v>
      </c>
      <c r="C51" s="82">
        <v>5.2258360000000001</v>
      </c>
      <c r="D51" s="23">
        <f>('BIAYA BERSAMA'!$F$118)/10^6</f>
        <v>10.959626845677693</v>
      </c>
      <c r="E51" s="67" t="s">
        <v>1435</v>
      </c>
    </row>
    <row r="52" spans="1:5" x14ac:dyDescent="0.35">
      <c r="A52" s="67" t="s">
        <v>1436</v>
      </c>
      <c r="B52" s="63" t="s">
        <v>1437</v>
      </c>
      <c r="C52" s="82">
        <v>261.76245</v>
      </c>
      <c r="D52" s="23">
        <f>('BIAYA BERSAMA'!$C$85)/10^6</f>
        <v>313.48576926999999</v>
      </c>
      <c r="E52" s="67" t="s">
        <v>1438</v>
      </c>
    </row>
    <row r="53" spans="1:5" x14ac:dyDescent="0.35">
      <c r="A53" s="67" t="s">
        <v>1439</v>
      </c>
      <c r="B53" s="63" t="s">
        <v>1440</v>
      </c>
      <c r="C53" s="82">
        <v>154.327776</v>
      </c>
      <c r="D53" s="23">
        <f>('BIAYA BERSAMA'!$D$85)/10^6</f>
        <v>154.32777569999999</v>
      </c>
      <c r="E53" s="67" t="s">
        <v>1441</v>
      </c>
    </row>
    <row r="54" spans="1:5" x14ac:dyDescent="0.35">
      <c r="A54" s="67" t="s">
        <v>1442</v>
      </c>
      <c r="B54" s="63" t="s">
        <v>1443</v>
      </c>
      <c r="C54" s="82">
        <v>196.21071000000001</v>
      </c>
      <c r="D54" s="23">
        <f>('BIAYA BERSAMA'!$C$119)/10^6</f>
        <v>214.97260809768781</v>
      </c>
      <c r="E54" s="67" t="s">
        <v>1444</v>
      </c>
    </row>
    <row r="55" spans="1:5" x14ac:dyDescent="0.35">
      <c r="A55" s="67" t="s">
        <v>1445</v>
      </c>
      <c r="B55" s="63" t="s">
        <v>1446</v>
      </c>
      <c r="C55" s="82">
        <v>25.842130000000001</v>
      </c>
      <c r="D55" s="23">
        <f>('BIAYA BERSAMA'!$D$119)/10^6</f>
        <v>1.261824927294265</v>
      </c>
      <c r="E55" s="67" t="s">
        <v>1447</v>
      </c>
    </row>
    <row r="56" spans="1:5" x14ac:dyDescent="0.35">
      <c r="A56" s="67" t="s">
        <v>1448</v>
      </c>
      <c r="B56" s="63" t="s">
        <v>1449</v>
      </c>
      <c r="C56" s="82">
        <v>15.560525</v>
      </c>
      <c r="D56" s="23">
        <f>('BIAYA BERSAMA'!$E$119)/10^6</f>
        <v>22.428655272909626</v>
      </c>
      <c r="E56" s="67" t="s">
        <v>1450</v>
      </c>
    </row>
    <row r="57" spans="1:5" x14ac:dyDescent="0.35">
      <c r="A57" s="67" t="s">
        <v>1451</v>
      </c>
      <c r="B57" s="63" t="s">
        <v>1452</v>
      </c>
      <c r="C57" s="82">
        <v>24.149086</v>
      </c>
      <c r="D57" s="23">
        <f>('BIAYA BERSAMA'!$F$119)/10^6</f>
        <v>74.822680972108259</v>
      </c>
      <c r="E57" s="67" t="s">
        <v>1453</v>
      </c>
    </row>
    <row r="58" spans="1:5" x14ac:dyDescent="0.35">
      <c r="A58" s="67" t="s">
        <v>1454</v>
      </c>
      <c r="B58" s="63" t="s">
        <v>1455</v>
      </c>
      <c r="C58" s="82">
        <v>251.27891399999999</v>
      </c>
      <c r="D58" s="23">
        <f>('BIAYA BERSAMA'!$C$86)/10^6</f>
        <v>270.06331292000004</v>
      </c>
      <c r="E58" s="67" t="s">
        <v>1456</v>
      </c>
    </row>
    <row r="59" spans="1:5" x14ac:dyDescent="0.35">
      <c r="A59" s="67" t="s">
        <v>1457</v>
      </c>
      <c r="B59" s="63" t="s">
        <v>1458</v>
      </c>
      <c r="C59" s="82">
        <v>242.552887</v>
      </c>
      <c r="D59" s="23">
        <f>('BIAYA BERSAMA'!$D$86)/10^6</f>
        <v>269.19191291999999</v>
      </c>
      <c r="E59" s="67" t="s">
        <v>1459</v>
      </c>
    </row>
    <row r="60" spans="1:5" x14ac:dyDescent="0.35">
      <c r="A60" s="67" t="s">
        <v>1460</v>
      </c>
      <c r="B60" s="63" t="s">
        <v>1461</v>
      </c>
      <c r="C60" s="82">
        <v>228.67596700000001</v>
      </c>
      <c r="D60" s="23">
        <f>('BIAYA BERSAMA'!$C$120)/10^6</f>
        <v>254.28356855408387</v>
      </c>
      <c r="E60" s="67" t="s">
        <v>1462</v>
      </c>
    </row>
    <row r="61" spans="1:5" x14ac:dyDescent="0.35">
      <c r="A61" s="67" t="s">
        <v>1463</v>
      </c>
      <c r="B61" s="63" t="s">
        <v>1464</v>
      </c>
      <c r="C61" s="82">
        <v>14.655939999999999</v>
      </c>
      <c r="D61" s="23">
        <f>('BIAYA BERSAMA'!$D$120)/10^6</f>
        <v>0.74762578260545187</v>
      </c>
      <c r="E61" s="67" t="s">
        <v>1465</v>
      </c>
    </row>
    <row r="62" spans="1:5" x14ac:dyDescent="0.35">
      <c r="A62" s="67" t="s">
        <v>1466</v>
      </c>
      <c r="B62" s="63" t="s">
        <v>1467</v>
      </c>
      <c r="C62" s="82">
        <v>7.4593480000000003</v>
      </c>
      <c r="D62" s="23">
        <f>('BIAYA BERSAMA'!$E$120)/10^6</f>
        <v>10.426904103047859</v>
      </c>
      <c r="E62" s="67" t="s">
        <v>1468</v>
      </c>
    </row>
    <row r="63" spans="1:5" x14ac:dyDescent="0.35">
      <c r="A63" s="67" t="s">
        <v>1469</v>
      </c>
      <c r="B63" s="63" t="s">
        <v>1470</v>
      </c>
      <c r="C63" s="82">
        <v>0.48765900000000001</v>
      </c>
      <c r="D63" s="23">
        <f>('BIAYA BERSAMA'!$F$120)/10^6</f>
        <v>4.6052144802628296</v>
      </c>
      <c r="E63" s="67" t="s">
        <v>1471</v>
      </c>
    </row>
    <row r="64" spans="1:5" x14ac:dyDescent="0.35">
      <c r="A64" s="67" t="s">
        <v>1472</v>
      </c>
      <c r="B64" s="63" t="s">
        <v>1473</v>
      </c>
      <c r="C64" s="82">
        <v>7926.6479179999997</v>
      </c>
      <c r="D64" s="23">
        <f>'REKON &amp; KONTROL'!$F$14</f>
        <v>6463.1668937891245</v>
      </c>
      <c r="E64" s="67" t="s">
        <v>1474</v>
      </c>
    </row>
    <row r="65" spans="1:8" x14ac:dyDescent="0.35">
      <c r="A65" s="67" t="s">
        <v>1475</v>
      </c>
      <c r="B65" s="63" t="s">
        <v>1476</v>
      </c>
      <c r="C65" s="82">
        <v>7842.1457140000002</v>
      </c>
      <c r="D65" s="23">
        <f>'REKON &amp; KONTROL'!$C$45</f>
        <v>6375.4123043700001</v>
      </c>
      <c r="E65" s="67" t="s">
        <v>1477</v>
      </c>
    </row>
    <row r="66" spans="1:8" x14ac:dyDescent="0.35">
      <c r="A66" s="67" t="s">
        <v>1478</v>
      </c>
      <c r="B66" s="63" t="s">
        <v>1479</v>
      </c>
      <c r="C66" s="82">
        <v>203.730535</v>
      </c>
      <c r="D66" s="23">
        <f>'REKON &amp; KONTROL'!$C$38</f>
        <v>-121.14819029890805</v>
      </c>
      <c r="E66" s="67" t="s">
        <v>1480</v>
      </c>
    </row>
    <row r="67" spans="1:8" x14ac:dyDescent="0.35">
      <c r="A67" s="67" t="s">
        <v>1481</v>
      </c>
      <c r="B67" s="63" t="s">
        <v>1482</v>
      </c>
      <c r="C67" s="82">
        <v>356.65641499999998</v>
      </c>
      <c r="D67" s="23">
        <f>'REKON &amp; KONTROL'!$C$39</f>
        <v>-326.53944411287893</v>
      </c>
      <c r="E67" s="67" t="s">
        <v>1483</v>
      </c>
    </row>
    <row r="68" spans="1:8" x14ac:dyDescent="0.35">
      <c r="A68" s="67" t="s">
        <v>1484</v>
      </c>
      <c r="B68" s="63" t="s">
        <v>1485</v>
      </c>
      <c r="C68" s="82">
        <v>-478.03092600000002</v>
      </c>
      <c r="D68" s="23">
        <f>'REKON &amp; KONTROL'!$C$40</f>
        <v>409.30549090000096</v>
      </c>
      <c r="E68" s="67" t="s">
        <v>1486</v>
      </c>
    </row>
    <row r="69" spans="1:8" x14ac:dyDescent="0.35">
      <c r="A69" s="67" t="s">
        <v>1487</v>
      </c>
      <c r="B69" s="63" t="s">
        <v>1488</v>
      </c>
      <c r="C69" s="82">
        <v>20.289793</v>
      </c>
      <c r="D69" s="23">
        <f>'REKON &amp; KONTROL'!$C$41</f>
        <v>-25.596895951567248</v>
      </c>
      <c r="E69" s="67" t="s">
        <v>1489</v>
      </c>
    </row>
    <row r="70" spans="1:8" x14ac:dyDescent="0.35">
      <c r="A70" s="67" t="s">
        <v>1490</v>
      </c>
      <c r="B70" s="63" t="s">
        <v>1491</v>
      </c>
      <c r="C70" s="82">
        <v>-187.148022</v>
      </c>
      <c r="D70" s="23">
        <f>'REKON &amp; KONTROL'!$C$42</f>
        <v>-23.775557170000017</v>
      </c>
      <c r="E70" s="67" t="s">
        <v>1492</v>
      </c>
    </row>
    <row r="71" spans="1:8" x14ac:dyDescent="0.35">
      <c r="A71" s="67" t="s">
        <v>1493</v>
      </c>
      <c r="B71" s="63" t="s">
        <v>1494</v>
      </c>
      <c r="C71" s="82">
        <v>0</v>
      </c>
      <c r="D71" s="23">
        <f>'REKON &amp; KONTROL'!$C$43</f>
        <v>0</v>
      </c>
      <c r="E71" s="67" t="s">
        <v>1495</v>
      </c>
    </row>
    <row r="72" spans="1:8" x14ac:dyDescent="0.35">
      <c r="A72" s="67" t="s">
        <v>1496</v>
      </c>
      <c r="B72" s="63" t="s">
        <v>1497</v>
      </c>
      <c r="C72" s="82">
        <v>-166.95771199999999</v>
      </c>
      <c r="D72" s="23">
        <f>('REKON PERSEDIAAN'!$E$17)/10^6</f>
        <v>91.416864040000021</v>
      </c>
      <c r="E72" s="67" t="s">
        <v>1498</v>
      </c>
    </row>
    <row r="73" spans="1:8" x14ac:dyDescent="0.35">
      <c r="A73" s="67" t="s">
        <v>1499</v>
      </c>
      <c r="B73" s="63" t="s">
        <v>1500</v>
      </c>
      <c r="C73" s="82">
        <v>116.503292</v>
      </c>
      <c r="D73" s="23">
        <f>('BIAYA BERSAMA'!$C$144+'BIAYA BERSAMA'!$C$145+'BIAYA BERSAMA'!$C$146+'BIAYA BERSAMA'!$C$147)/10^6</f>
        <v>108.87595917</v>
      </c>
      <c r="E73" s="67" t="s">
        <v>1501</v>
      </c>
    </row>
    <row r="74" spans="1:8" x14ac:dyDescent="0.35">
      <c r="A74" s="67" t="s">
        <v>1502</v>
      </c>
      <c r="B74" s="63" t="s">
        <v>1503</v>
      </c>
      <c r="C74" s="82">
        <v>0</v>
      </c>
      <c r="D74" s="23">
        <f>('BIAYA BERSAMA'!$C$148+'BIAYA BERSAMA'!$C$149)/10^6</f>
        <v>34.774256000000001</v>
      </c>
      <c r="E74" s="67" t="s">
        <v>1504</v>
      </c>
    </row>
    <row r="75" spans="1:8" x14ac:dyDescent="0.35">
      <c r="A75" s="67" t="s">
        <v>1505</v>
      </c>
      <c r="B75" s="63" t="s">
        <v>1506</v>
      </c>
      <c r="C75" s="82">
        <v>-16.868946000000001</v>
      </c>
      <c r="D75" s="23">
        <f>('BIAYA BERSAMA'!$C$150+'BIAYA BERSAMA'!$C$151)/10^6</f>
        <v>-32.360982</v>
      </c>
      <c r="E75" s="67" t="s">
        <v>1507</v>
      </c>
    </row>
    <row r="76" spans="1:8" x14ac:dyDescent="0.35">
      <c r="A76" s="67" t="s">
        <v>1508</v>
      </c>
      <c r="B76" s="63" t="s">
        <v>1509</v>
      </c>
      <c r="C76" s="82">
        <v>87.513676000000004</v>
      </c>
      <c r="D76" s="23">
        <f>('BIAYA BERSAMA'!$C$152+'BIAYA BERSAMA'!$C$153)/10^6</f>
        <v>-87.513676000000004</v>
      </c>
      <c r="E76" s="67" t="s">
        <v>1510</v>
      </c>
    </row>
    <row r="77" spans="1:8" x14ac:dyDescent="0.35">
      <c r="A77" s="67" t="s">
        <v>1511</v>
      </c>
      <c r="B77" s="63" t="s">
        <v>1512</v>
      </c>
      <c r="C77" s="82">
        <v>0</v>
      </c>
      <c r="D77" s="23">
        <f>('BIAYA BERSAMA'!$C$154+'BIAYA BERSAMA'!$C$155)/10^6</f>
        <v>0</v>
      </c>
      <c r="E77" s="67" t="s">
        <v>1513</v>
      </c>
    </row>
    <row r="79" spans="1:8" x14ac:dyDescent="0.35">
      <c r="A79" s="62" t="s">
        <v>1514</v>
      </c>
      <c r="B79" s="10"/>
      <c r="C79" s="10"/>
      <c r="D79" s="10"/>
      <c r="E79" s="10"/>
      <c r="F79" s="10"/>
      <c r="G79" s="10"/>
      <c r="H79" s="10"/>
    </row>
    <row r="80" spans="1:8" ht="30" customHeight="1" x14ac:dyDescent="0.35">
      <c r="A80" s="19" t="s">
        <v>901</v>
      </c>
      <c r="B80" s="20" t="s">
        <v>4</v>
      </c>
      <c r="C80" s="20" t="s">
        <v>1227</v>
      </c>
      <c r="D80" s="20" t="s">
        <v>95</v>
      </c>
      <c r="E80" s="20" t="s">
        <v>1515</v>
      </c>
    </row>
    <row r="81" spans="1:5" x14ac:dyDescent="0.35">
      <c r="A81" s="67" t="s">
        <v>1516</v>
      </c>
      <c r="B81" s="63" t="s">
        <v>1517</v>
      </c>
      <c r="C81" s="65">
        <f>IF($C$28=0,0,$C$29/$C$28)</f>
        <v>0.19206562671293795</v>
      </c>
      <c r="D81" s="65">
        <f>IF($D$28=0,0,$D$29/$D$28)</f>
        <v>0.21314228023416512</v>
      </c>
      <c r="E81" s="67" t="s">
        <v>1518</v>
      </c>
    </row>
    <row r="82" spans="1:5" x14ac:dyDescent="0.35">
      <c r="A82" s="67" t="s">
        <v>1519</v>
      </c>
      <c r="B82" s="63" t="s">
        <v>1520</v>
      </c>
      <c r="C82" s="65">
        <f>IF($C$34=0,0,$C$35/$C$34)</f>
        <v>0</v>
      </c>
      <c r="D82" s="65">
        <f>IF($D$34=0,0,$D$35/$D$34)</f>
        <v>0</v>
      </c>
      <c r="E82" s="67" t="s">
        <v>1518</v>
      </c>
    </row>
    <row r="83" spans="1:5" x14ac:dyDescent="0.35">
      <c r="A83" s="67" t="s">
        <v>1521</v>
      </c>
      <c r="B83" s="63" t="s">
        <v>1522</v>
      </c>
      <c r="C83" s="65">
        <f>IF($C$40=0,0,$C$41/$C$40)</f>
        <v>0.64847695266553085</v>
      </c>
      <c r="D83" s="65">
        <f>IF($D$40=0,0,$D$41/$D$40)</f>
        <v>0.67397222964971992</v>
      </c>
      <c r="E83" s="67" t="s">
        <v>1518</v>
      </c>
    </row>
    <row r="84" spans="1:5" x14ac:dyDescent="0.35">
      <c r="A84" s="67" t="s">
        <v>1523</v>
      </c>
      <c r="B84" s="63" t="s">
        <v>1524</v>
      </c>
      <c r="C84" s="65">
        <f>IF($C$46=0,0,$C$47/$C$46)</f>
        <v>0</v>
      </c>
      <c r="D84" s="65">
        <f>IF($D$46=0,0,$D$47/$D$46)</f>
        <v>0</v>
      </c>
      <c r="E84" s="67" t="s">
        <v>1518</v>
      </c>
    </row>
    <row r="85" spans="1:5" x14ac:dyDescent="0.35">
      <c r="A85" s="67" t="s">
        <v>1525</v>
      </c>
      <c r="B85" s="63" t="s">
        <v>1526</v>
      </c>
      <c r="C85" s="65">
        <f>IF($C$52=0,0,$C$53/$C$52)</f>
        <v>0.58957186563619035</v>
      </c>
      <c r="D85" s="65">
        <f>IF($D$52=0,0,$D$53/$D$52)</f>
        <v>0.49229595352725591</v>
      </c>
      <c r="E85" s="67" t="s">
        <v>1518</v>
      </c>
    </row>
    <row r="86" spans="1:5" x14ac:dyDescent="0.35">
      <c r="A86" s="67" t="s">
        <v>1527</v>
      </c>
      <c r="B86" s="63" t="s">
        <v>1528</v>
      </c>
      <c r="C86" s="65">
        <f>IF($C$58=0,0,$C$59/$C$58)</f>
        <v>0.9652735406202847</v>
      </c>
      <c r="D86" s="65">
        <f>IF($D$58=0,0,$D$59/$D$58)</f>
        <v>0.99677334921734373</v>
      </c>
      <c r="E86" s="67" t="s">
        <v>1518</v>
      </c>
    </row>
    <row r="87" spans="1:5" x14ac:dyDescent="0.35">
      <c r="A87" s="67" t="s">
        <v>1529</v>
      </c>
      <c r="B87" s="63" t="s">
        <v>1530</v>
      </c>
      <c r="C87" s="73">
        <f>$C$30*(1-$C$81)+$C$36*(1-$C$82)+$C$42*(1-$C$83)+$C$48*(1-$C$84)+$C$54*(1-$C$85)+$C$60*(1-$C$86)</f>
        <v>790.72119927436745</v>
      </c>
      <c r="D87" s="73">
        <f>$D$30*(1-$D$81)+$D$36*(1-$D$82)+$D$42*(1-$D$83)+$D$48*(1-$D$84)+$D$54*(1-$D$85)+$D$60*(1-$D$86)</f>
        <v>613.81591977856897</v>
      </c>
      <c r="E87" s="67" t="s">
        <v>1531</v>
      </c>
    </row>
    <row r="88" spans="1:5" x14ac:dyDescent="0.35">
      <c r="A88" s="67" t="s">
        <v>1532</v>
      </c>
      <c r="B88" s="63" t="s">
        <v>1533</v>
      </c>
      <c r="C88" s="73">
        <f>$C$30*$C$81+$C$36*$C$82+$C$42*$C$83+$C$48*$C$84+$C$54*$C$85+$C$60*$C$86</f>
        <v>668.83811872563263</v>
      </c>
      <c r="D88" s="73">
        <f>$D$30*$D$81+$D$36*$D$82+$D$42*$D$83+$D$48*$D$84+$D$54*$D$85+$D$60*$D$86</f>
        <v>673.21049971971343</v>
      </c>
      <c r="E88" s="67" t="s">
        <v>1534</v>
      </c>
    </row>
    <row r="89" spans="1:5" x14ac:dyDescent="0.35">
      <c r="A89" s="67" t="s">
        <v>1535</v>
      </c>
      <c r="B89" s="63" t="s">
        <v>1536</v>
      </c>
      <c r="C89" s="73">
        <f>$C$19+$C$87</f>
        <v>6802.4617402743679</v>
      </c>
      <c r="D89" s="73">
        <f>$D$19+$D$87</f>
        <v>4889.3579662380125</v>
      </c>
      <c r="E89" s="67" t="s">
        <v>1537</v>
      </c>
    </row>
    <row r="90" spans="1:5" x14ac:dyDescent="0.35">
      <c r="A90" s="67" t="s">
        <v>1538</v>
      </c>
      <c r="B90" s="63" t="s">
        <v>1539</v>
      </c>
      <c r="C90" s="73">
        <f>$C$31*(1-$C$81)+$C$37*(1-$C$82)+$C$43*(1-$C$83)+$C$49*(1-$C$84)+$C$55*(1-$C$85)+$C$61*(1-$C$86)</f>
        <v>56.510877087435468</v>
      </c>
      <c r="D90" s="73">
        <f>$D$31*(1-$D$81)+$D$37*(1-$D$82)+$D$43*(1-$D$83)+$D$49*(1-$D$84)+$D$55*(1-$D$85)+$D$61*(1-$D$86)</f>
        <v>2.8019451976449998</v>
      </c>
      <c r="E90" s="67" t="s">
        <v>1531</v>
      </c>
    </row>
    <row r="91" spans="1:5" x14ac:dyDescent="0.35">
      <c r="A91" s="67" t="s">
        <v>1540</v>
      </c>
      <c r="B91" s="63" t="s">
        <v>1541</v>
      </c>
      <c r="C91" s="73">
        <f>$C$31*$C$81+$C$37*$C$82+$C$43*$C$83+$C$49*$C$84+$C$55*$C$85+$C$61*$C$86</f>
        <v>56.452180912564536</v>
      </c>
      <c r="D91" s="73">
        <f>$D$31*$D$81+$D$37*$D$82+$D$43*$D$83+$D$49*$D$84+$D$55*$D$85+$D$61*$D$86</f>
        <v>2.9783261921776614</v>
      </c>
      <c r="E91" s="67" t="s">
        <v>1534</v>
      </c>
    </row>
    <row r="92" spans="1:5" x14ac:dyDescent="0.35">
      <c r="A92" s="67" t="s">
        <v>1542</v>
      </c>
      <c r="B92" s="63" t="s">
        <v>1543</v>
      </c>
      <c r="C92" s="73">
        <f>$C$20+$C$90</f>
        <v>436.19708708743548</v>
      </c>
      <c r="D92" s="73">
        <f>$D$20+$D$90</f>
        <v>15.249394560908677</v>
      </c>
      <c r="E92" s="67" t="s">
        <v>1537</v>
      </c>
    </row>
    <row r="93" spans="1:5" x14ac:dyDescent="0.35">
      <c r="A93" s="67" t="s">
        <v>1544</v>
      </c>
      <c r="B93" s="63" t="s">
        <v>1545</v>
      </c>
      <c r="C93" s="73">
        <f>$C$32*(1-$C$81)+$C$38*(1-$C$82)+$C$44*(1-$C$83)+$C$50*(1-$C$84)+$C$56*(1-$C$85)+$C$62*(1-$C$86)</f>
        <v>30.838690385944769</v>
      </c>
      <c r="D93" s="73">
        <f>$D$32*(1-$D$81)+$D$38*(1-$D$82)+$D$44*(1-$D$83)+$D$50*(1-$D$84)+$D$56*(1-$D$85)+$D$62*(1-$D$86)</f>
        <v>37.886918671006313</v>
      </c>
      <c r="E93" s="67" t="s">
        <v>1531</v>
      </c>
    </row>
    <row r="94" spans="1:5" x14ac:dyDescent="0.35">
      <c r="A94" s="67" t="s">
        <v>1546</v>
      </c>
      <c r="B94" s="63" t="s">
        <v>1547</v>
      </c>
      <c r="C94" s="73">
        <f>$C$32*$C$81+$C$38*$C$82+$C$44*$C$83+$C$50*$C$84+$C$56*$C$85+$C$62*$C$86</f>
        <v>30.762112614055237</v>
      </c>
      <c r="D94" s="73">
        <f>$D$32*$D$81+$D$38*$D$82+$D$44*$D$83+$D$50*$D$84+$D$56*$D$85+$D$62*$D$86</f>
        <v>41.078981711578578</v>
      </c>
      <c r="E94" s="67" t="s">
        <v>1534</v>
      </c>
    </row>
    <row r="95" spans="1:5" x14ac:dyDescent="0.35">
      <c r="A95" s="67" t="s">
        <v>1548</v>
      </c>
      <c r="B95" s="63" t="s">
        <v>1549</v>
      </c>
      <c r="C95" s="73">
        <f>$C$21+$C$93</f>
        <v>224.08535938594477</v>
      </c>
      <c r="D95" s="73">
        <f>$D$21+$D$93</f>
        <v>211.48762086453718</v>
      </c>
      <c r="E95" s="67" t="s">
        <v>1537</v>
      </c>
    </row>
    <row r="96" spans="1:5" x14ac:dyDescent="0.35">
      <c r="A96" s="67" t="s">
        <v>1550</v>
      </c>
      <c r="B96" s="63" t="s">
        <v>1551</v>
      </c>
      <c r="C96" s="73">
        <f>$C$33*(1-$C$81)+$C$39*(1-$C$82)+$C$45*(1-$C$83)+$C$51*(1-$C$84)+$C$57*(1-$C$85)+$C$63*(1-$C$86)</f>
        <v>41.451206854746133</v>
      </c>
      <c r="D96" s="73">
        <f>$D$33*(1-$D$81)+$D$39*(1-$D$82)+$D$45*(1-$D$83)+$D$51*(1-$D$84)+$D$57*(1-$D$85)+$D$63*(1-$D$86)</f>
        <v>111.93483992277974</v>
      </c>
      <c r="E96" s="67" t="s">
        <v>1531</v>
      </c>
    </row>
    <row r="97" spans="1:8" x14ac:dyDescent="0.35">
      <c r="A97" s="67" t="s">
        <v>1552</v>
      </c>
      <c r="B97" s="63" t="s">
        <v>1553</v>
      </c>
      <c r="C97" s="73">
        <f>$C$33*$C$81+$C$39*$C$82+$C$45*$C$83+$C$51*$C$84+$C$57*$C$85+$C$63*$C$86</f>
        <v>30.712718145253874</v>
      </c>
      <c r="D97" s="73">
        <f>$D$33*$D$81+$D$39*$D$82+$D$45*$D$83+$D$51*$D$84+$D$57*$D$85+$D$63*$D$86</f>
        <v>89.05930599653027</v>
      </c>
      <c r="E97" s="67" t="s">
        <v>1534</v>
      </c>
    </row>
    <row r="98" spans="1:8" x14ac:dyDescent="0.35">
      <c r="A98" s="67" t="s">
        <v>1554</v>
      </c>
      <c r="B98" s="63" t="s">
        <v>1555</v>
      </c>
      <c r="C98" s="73">
        <f>$C$22+$C$96</f>
        <v>54.084806854746134</v>
      </c>
      <c r="D98" s="73">
        <f>$D$22+$D$96</f>
        <v>188.60845844121928</v>
      </c>
      <c r="E98" s="67" t="s">
        <v>1537</v>
      </c>
    </row>
    <row r="99" spans="1:8" x14ac:dyDescent="0.35">
      <c r="A99" s="67" t="s">
        <v>1556</v>
      </c>
      <c r="B99" s="72" t="s">
        <v>1557</v>
      </c>
      <c r="C99" s="73">
        <f>$C$89+$C$92+$C$95+$C$98</f>
        <v>7516.8289936024939</v>
      </c>
      <c r="D99" s="73">
        <f>$D$89+$D$92+$D$95+$D$98</f>
        <v>5304.7034401046776</v>
      </c>
      <c r="E99" s="67"/>
    </row>
    <row r="100" spans="1:8" x14ac:dyDescent="0.35">
      <c r="A100" s="67" t="s">
        <v>1558</v>
      </c>
      <c r="B100" s="72" t="s">
        <v>1559</v>
      </c>
      <c r="C100" s="73">
        <f>$C$88+$C$91+$C$94+$C$97</f>
        <v>786.76513039750637</v>
      </c>
      <c r="D100" s="73">
        <f>$D$88+$D$91+$D$94+$D$97</f>
        <v>806.32711361999986</v>
      </c>
      <c r="E100" s="67" t="s">
        <v>1560</v>
      </c>
    </row>
    <row r="101" spans="1:8" x14ac:dyDescent="0.35">
      <c r="A101" s="67" t="s">
        <v>1561</v>
      </c>
      <c r="B101" s="72" t="s">
        <v>1562</v>
      </c>
      <c r="C101" s="73">
        <f>$C$64-$C$99-$C$100</f>
        <v>-376.94620600000064</v>
      </c>
      <c r="D101" s="73">
        <f>$D$64-$D$99-$D$100</f>
        <v>352.13634006444704</v>
      </c>
      <c r="E101" s="67" t="s">
        <v>1563</v>
      </c>
    </row>
    <row r="102" spans="1:8" x14ac:dyDescent="0.35">
      <c r="A102" s="67" t="s">
        <v>1564</v>
      </c>
      <c r="B102" s="63" t="s">
        <v>1565</v>
      </c>
      <c r="C102" s="73">
        <f>$C$66+$C$72</f>
        <v>36.772823000000017</v>
      </c>
      <c r="D102" s="73">
        <f>$D$66+$D$72</f>
        <v>-29.731326258908027</v>
      </c>
      <c r="E102" s="67" t="s">
        <v>1566</v>
      </c>
    </row>
    <row r="103" spans="1:8" x14ac:dyDescent="0.35">
      <c r="A103" s="67" t="s">
        <v>1567</v>
      </c>
      <c r="B103" s="63" t="s">
        <v>1568</v>
      </c>
      <c r="C103" s="73">
        <f>$C$67+$C$68-$C$72+$C$71</f>
        <v>45.583200999999946</v>
      </c>
      <c r="D103" s="73">
        <f>$D$67+$D$68-$D$72+$D$71</f>
        <v>-8.6508172528779852</v>
      </c>
      <c r="E103" s="67"/>
    </row>
    <row r="104" spans="1:8" x14ac:dyDescent="0.35">
      <c r="A104" s="67" t="s">
        <v>1569</v>
      </c>
      <c r="B104" s="63" t="s">
        <v>1570</v>
      </c>
      <c r="C104" s="73">
        <f>$C$69</f>
        <v>20.289793</v>
      </c>
      <c r="D104" s="73">
        <f>$D$69</f>
        <v>-25.596895951567248</v>
      </c>
      <c r="E104" s="67"/>
    </row>
    <row r="105" spans="1:8" x14ac:dyDescent="0.35">
      <c r="A105" s="67" t="s">
        <v>1571</v>
      </c>
      <c r="B105" s="63" t="s">
        <v>1572</v>
      </c>
      <c r="C105" s="73">
        <f>-$C$73</f>
        <v>-116.503292</v>
      </c>
      <c r="D105" s="73">
        <f>-$D$73</f>
        <v>-108.87595917</v>
      </c>
      <c r="E105" s="67"/>
    </row>
    <row r="106" spans="1:8" x14ac:dyDescent="0.35">
      <c r="A106" s="67" t="s">
        <v>1573</v>
      </c>
      <c r="B106" s="63" t="s">
        <v>1574</v>
      </c>
      <c r="C106" s="73">
        <f>-($C$74+$C$75+$C$76+$C$77)</f>
        <v>-70.64473000000001</v>
      </c>
      <c r="D106" s="73">
        <f>-($D$74+$D$75+$D$76+$D$77)</f>
        <v>85.100402000000003</v>
      </c>
      <c r="E106" s="67"/>
    </row>
    <row r="107" spans="1:8" x14ac:dyDescent="0.35">
      <c r="A107" s="67" t="s">
        <v>1575</v>
      </c>
      <c r="B107" s="72" t="s">
        <v>1576</v>
      </c>
      <c r="C107" s="73">
        <f>$C$99+$C$100+$C$101+$C$102+$C$103+$C$104+$C$105+$C$106-$C$65</f>
        <v>-9.999994290410541E-7</v>
      </c>
      <c r="D107" s="73">
        <f>$D$99+$D$100+$D$101+$D$102+$D$103+$D$104+$D$105+$D$106-$D$65</f>
        <v>-7.2142292992793955E-6</v>
      </c>
      <c r="E107" s="67"/>
    </row>
    <row r="109" spans="1:8" x14ac:dyDescent="0.35">
      <c r="A109" s="62" t="s">
        <v>1577</v>
      </c>
      <c r="B109" s="10"/>
      <c r="C109" s="10"/>
      <c r="D109" s="10"/>
      <c r="E109" s="10"/>
      <c r="F109" s="10"/>
      <c r="G109" s="10"/>
      <c r="H109" s="10"/>
    </row>
    <row r="110" spans="1:8" ht="30" customHeight="1" x14ac:dyDescent="0.35">
      <c r="A110" s="19" t="s">
        <v>901</v>
      </c>
      <c r="B110" s="20" t="s">
        <v>4</v>
      </c>
      <c r="C110" s="20" t="s">
        <v>1578</v>
      </c>
      <c r="D110" s="20" t="s">
        <v>629</v>
      </c>
      <c r="E110" s="20" t="s">
        <v>1579</v>
      </c>
    </row>
    <row r="111" spans="1:8" x14ac:dyDescent="0.35">
      <c r="A111" s="67" t="s">
        <v>1580</v>
      </c>
      <c r="B111" s="63" t="s">
        <v>1581</v>
      </c>
      <c r="C111" s="73">
        <f>$C$7</f>
        <v>9793.1254520000002</v>
      </c>
    </row>
    <row r="112" spans="1:8" x14ac:dyDescent="0.35">
      <c r="A112" s="67" t="s">
        <v>1582</v>
      </c>
      <c r="B112" s="63" t="s">
        <v>1583</v>
      </c>
      <c r="C112" s="73">
        <f>$D$7</f>
        <v>7462.3601526600005</v>
      </c>
    </row>
    <row r="113" spans="1:4" x14ac:dyDescent="0.35">
      <c r="A113" s="67" t="s">
        <v>1584</v>
      </c>
      <c r="B113" s="63" t="s">
        <v>1585</v>
      </c>
      <c r="C113" s="73">
        <f>$D$12*IF($C$12=0,0,$C$8/$C$12)+$D$13*IF($C$13=0,0,$C$9/$C$13)+$D$14*IF($C$14=0,0,$C$10/$C$14)+$D$11</f>
        <v>7516.0686086838987</v>
      </c>
    </row>
    <row r="114" spans="1:4" x14ac:dyDescent="0.35">
      <c r="A114" s="67" t="s">
        <v>1586</v>
      </c>
      <c r="B114" s="63" t="s">
        <v>1587</v>
      </c>
      <c r="C114" s="65">
        <f>1-$C$65/$C$111</f>
        <v>0.19921931436113294</v>
      </c>
    </row>
    <row r="115" spans="1:4" x14ac:dyDescent="0.35">
      <c r="A115" s="67" t="s">
        <v>1588</v>
      </c>
      <c r="B115" s="63" t="s">
        <v>1589</v>
      </c>
      <c r="C115" s="65">
        <f>1-$D$65/$C$112</f>
        <v>0.14565738265829364</v>
      </c>
    </row>
    <row r="117" spans="1:4" x14ac:dyDescent="0.35">
      <c r="A117" s="67" t="s">
        <v>1590</v>
      </c>
      <c r="B117" s="72" t="s">
        <v>1591</v>
      </c>
      <c r="C117" s="97">
        <f>$C$114*100</f>
        <v>19.921931436113294</v>
      </c>
    </row>
    <row r="118" spans="1:4" x14ac:dyDescent="0.35">
      <c r="A118" s="67" t="s">
        <v>1592</v>
      </c>
      <c r="B118" s="63" t="s">
        <v>1593</v>
      </c>
      <c r="C118" s="96">
        <f>($D$65/$C$113-$D$65/$C$112)*100</f>
        <v>-0.61049765884021445</v>
      </c>
      <c r="D118" s="98" t="s">
        <v>134</v>
      </c>
    </row>
    <row r="119" spans="1:4" x14ac:dyDescent="0.35">
      <c r="A119" s="67" t="s">
        <v>1594</v>
      </c>
      <c r="B119" s="63" t="s">
        <v>1595</v>
      </c>
      <c r="C119" s="96">
        <f>-((IF($C$15=0,$D$89,$C$89/$C$15*$D$15)+IF($C$16=0,$D$92,$C$92/$C$16*$D$16)+IF($C$17=0,$D$95,$C$95/$C$17*$D$17)+IF($C$18=0,$D$98,$C$98/$C$18*$D$18))/$C$113-$C$99/$C$111)*100</f>
        <v>8.6800081361270927</v>
      </c>
      <c r="D119" s="98" t="s">
        <v>1596</v>
      </c>
    </row>
    <row r="120" spans="1:4" x14ac:dyDescent="0.35">
      <c r="A120" s="67" t="s">
        <v>1597</v>
      </c>
      <c r="B120" s="63" t="s">
        <v>1598</v>
      </c>
      <c r="C120" s="96">
        <f>-(($D$23)-IF($C$15=0,0,($C$23)/$C$15*$D$15))/$C$113*100</f>
        <v>-1.8501959222374489</v>
      </c>
      <c r="D120" s="98" t="s">
        <v>1599</v>
      </c>
    </row>
    <row r="121" spans="1:4" x14ac:dyDescent="0.35">
      <c r="A121" s="67" t="s">
        <v>1600</v>
      </c>
      <c r="B121" s="63" t="s">
        <v>1354</v>
      </c>
      <c r="C121" s="96">
        <f>-(($D$24)-IF($C$15=0,0,($C$24)/$C$15*$D$15))/$C$113*100</f>
        <v>0.25690558712109712</v>
      </c>
      <c r="D121" s="98" t="s">
        <v>1599</v>
      </c>
    </row>
    <row r="122" spans="1:4" x14ac:dyDescent="0.35">
      <c r="A122" s="67" t="s">
        <v>1601</v>
      </c>
      <c r="B122" s="63" t="s">
        <v>1602</v>
      </c>
      <c r="C122" s="96">
        <f>-(($D$25)-IF($C$15=0,0,($C$25)/$C$15*$D$15))/$C$113*100</f>
        <v>-0.80832316216877553</v>
      </c>
      <c r="D122" s="98" t="s">
        <v>1599</v>
      </c>
    </row>
    <row r="123" spans="1:4" x14ac:dyDescent="0.35">
      <c r="A123" s="67" t="s">
        <v>1603</v>
      </c>
      <c r="B123" s="63" t="s">
        <v>1359</v>
      </c>
      <c r="C123" s="96">
        <f>-(($D$26)-IF($C$15=0,0,($C$26)/$C$15*$D$15))/$C$113*100</f>
        <v>0.45672492323213087</v>
      </c>
      <c r="D123" s="98" t="s">
        <v>1599</v>
      </c>
    </row>
    <row r="124" spans="1:4" x14ac:dyDescent="0.35">
      <c r="A124" s="67" t="s">
        <v>1604</v>
      </c>
      <c r="B124" s="63" t="s">
        <v>1362</v>
      </c>
      <c r="C124" s="96">
        <f>-(($D$27)-IF($C$15=0,0,($C$27)/$C$15*$D$15))/$C$113*100</f>
        <v>1.0008022377408954</v>
      </c>
      <c r="D124" s="98" t="s">
        <v>1599</v>
      </c>
    </row>
    <row r="125" spans="1:4" x14ac:dyDescent="0.35">
      <c r="A125" s="67" t="s">
        <v>1605</v>
      </c>
      <c r="B125" s="63" t="s">
        <v>1606</v>
      </c>
      <c r="C125" s="96">
        <f>-(($D$87)-IF($C$15=0,0,($C$87)/$C$15*$D$15))/$C$113*100</f>
        <v>-0.80878885739718487</v>
      </c>
      <c r="D125" s="98" t="s">
        <v>1599</v>
      </c>
    </row>
    <row r="126" spans="1:4" x14ac:dyDescent="0.35">
      <c r="A126" s="67" t="s">
        <v>1607</v>
      </c>
      <c r="B126" s="63" t="s">
        <v>1608</v>
      </c>
      <c r="C126" s="96">
        <f>-(($D$92)-IF($C$16=0,0,($C$92)/$C$16*$D$16))/$C$113*100+-(($D$95)-IF($C$17=0,0,($C$95)/$C$17*$D$17))/$C$113*100+-(($D$98)-IF($C$18=0,0,($C$98)/$C$18*$D$18))/$C$113*100</f>
        <v>-0.74911981213325518</v>
      </c>
      <c r="D126" s="98" t="s">
        <v>1599</v>
      </c>
    </row>
    <row r="127" spans="1:4" x14ac:dyDescent="0.35">
      <c r="A127" s="67" t="s">
        <v>1609</v>
      </c>
      <c r="B127" s="63" t="s">
        <v>1610</v>
      </c>
      <c r="C127" s="96">
        <f>-($C$100/$C$113-$C$100/$C$111)*100</f>
        <v>-2.4339234901748203</v>
      </c>
      <c r="D127" s="98" t="s">
        <v>992</v>
      </c>
    </row>
    <row r="128" spans="1:4" x14ac:dyDescent="0.35">
      <c r="A128" s="67" t="s">
        <v>1611</v>
      </c>
      <c r="B128" s="63" t="s">
        <v>1612</v>
      </c>
      <c r="C128" s="96">
        <f>-($D$100-$C$100)/$C$113*100</f>
        <v>-0.26026882191964046</v>
      </c>
      <c r="D128" s="98" t="s">
        <v>992</v>
      </c>
    </row>
    <row r="129" spans="1:5" x14ac:dyDescent="0.35">
      <c r="A129" s="67" t="s">
        <v>1613</v>
      </c>
      <c r="B129" s="63" t="s">
        <v>1614</v>
      </c>
      <c r="C129" s="96">
        <f>-($D$101/$C$113-$C$101/$C$111)*100</f>
        <v>-8.5342033676368061</v>
      </c>
      <c r="D129" s="98" t="s">
        <v>1596</v>
      </c>
    </row>
    <row r="130" spans="1:5" x14ac:dyDescent="0.35">
      <c r="A130" s="67" t="s">
        <v>1615</v>
      </c>
      <c r="B130" s="63" t="s">
        <v>1565</v>
      </c>
      <c r="C130" s="96">
        <f>-($D$102/$C$113-$C$102/$C$111)*100</f>
        <v>0.77106647437133446</v>
      </c>
      <c r="D130" s="98" t="s">
        <v>1616</v>
      </c>
    </row>
    <row r="131" spans="1:5" x14ac:dyDescent="0.35">
      <c r="A131" s="67" t="s">
        <v>1617</v>
      </c>
      <c r="B131" s="63" t="s">
        <v>1618</v>
      </c>
      <c r="C131" s="96">
        <f>-($D$103/$C$113-$C$103/$C$111)*100</f>
        <v>0.58055885342954683</v>
      </c>
      <c r="D131" s="98" t="s">
        <v>1616</v>
      </c>
    </row>
    <row r="132" spans="1:5" x14ac:dyDescent="0.35">
      <c r="A132" s="67" t="s">
        <v>1619</v>
      </c>
      <c r="B132" s="63" t="s">
        <v>1570</v>
      </c>
      <c r="C132" s="96">
        <f>-($D$104/$C$113-$C$104/$C$111)*100</f>
        <v>0.5477463381875245</v>
      </c>
      <c r="D132" s="98" t="s">
        <v>1616</v>
      </c>
    </row>
    <row r="133" spans="1:5" x14ac:dyDescent="0.35">
      <c r="A133" s="67" t="s">
        <v>1620</v>
      </c>
      <c r="B133" s="63" t="s">
        <v>1621</v>
      </c>
      <c r="C133" s="96">
        <f>-($D$105/$C$113-$C$105/$C$111)*100</f>
        <v>0.25893229042158755</v>
      </c>
      <c r="D133" s="98" t="s">
        <v>1616</v>
      </c>
    </row>
    <row r="134" spans="1:5" x14ac:dyDescent="0.35">
      <c r="A134" s="67" t="s">
        <v>1622</v>
      </c>
      <c r="B134" s="63" t="s">
        <v>1623</v>
      </c>
      <c r="C134" s="96">
        <f>-($D$106/$C$113-$C$106/$C$111)*100</f>
        <v>-1.8536168326341913</v>
      </c>
      <c r="D134" s="98" t="s">
        <v>1624</v>
      </c>
    </row>
    <row r="135" spans="1:5" x14ac:dyDescent="0.35">
      <c r="A135" s="99" t="s">
        <v>1625</v>
      </c>
      <c r="B135" s="68" t="s">
        <v>1626</v>
      </c>
      <c r="C135" s="100">
        <f>C117+SUM(C118:C134)</f>
        <v>14.565738351602166</v>
      </c>
      <c r="D135" s="29"/>
      <c r="E135" s="29"/>
    </row>
    <row r="137" spans="1:5" x14ac:dyDescent="0.35">
      <c r="B137" s="72" t="s">
        <v>1627</v>
      </c>
    </row>
    <row r="138" spans="1:5" x14ac:dyDescent="0.35">
      <c r="B138" s="63" t="s">
        <v>134</v>
      </c>
      <c r="C138" s="96">
        <f t="shared" ref="C138:C143" si="0">SUMIF($D$118:$D$134,B138,$C$118:$C$134)</f>
        <v>-0.61049765884021445</v>
      </c>
    </row>
    <row r="139" spans="1:5" x14ac:dyDescent="0.35">
      <c r="B139" s="63" t="s">
        <v>1596</v>
      </c>
      <c r="C139" s="96">
        <f t="shared" si="0"/>
        <v>0.14580476849028656</v>
      </c>
    </row>
    <row r="140" spans="1:5" x14ac:dyDescent="0.35">
      <c r="B140" s="63" t="s">
        <v>1599</v>
      </c>
      <c r="C140" s="96">
        <f t="shared" si="0"/>
        <v>-2.5019950058425406</v>
      </c>
    </row>
    <row r="141" spans="1:5" x14ac:dyDescent="0.35">
      <c r="B141" s="63" t="s">
        <v>992</v>
      </c>
      <c r="C141" s="96">
        <f t="shared" si="0"/>
        <v>-2.6941923120944606</v>
      </c>
    </row>
    <row r="142" spans="1:5" x14ac:dyDescent="0.35">
      <c r="B142" s="63" t="s">
        <v>1616</v>
      </c>
      <c r="C142" s="96">
        <f t="shared" si="0"/>
        <v>2.1583039564099935</v>
      </c>
    </row>
    <row r="143" spans="1:5" x14ac:dyDescent="0.35">
      <c r="B143" s="63" t="s">
        <v>1624</v>
      </c>
      <c r="C143" s="96">
        <f t="shared" si="0"/>
        <v>-1.8536168326341913</v>
      </c>
    </row>
    <row r="144" spans="1:5" x14ac:dyDescent="0.35">
      <c r="B144" s="72" t="s">
        <v>1628</v>
      </c>
      <c r="C144" s="97">
        <f>SUM(C138:C143)</f>
        <v>-5.3561930845111272</v>
      </c>
    </row>
    <row r="145" spans="1:8" x14ac:dyDescent="0.35">
      <c r="B145" s="75" t="s">
        <v>1629</v>
      </c>
    </row>
    <row r="147" spans="1:8" x14ac:dyDescent="0.35">
      <c r="B147" s="101" t="s">
        <v>1630</v>
      </c>
      <c r="C147" s="102">
        <f>-'CEK KEWAJARAN'!$B$67</f>
        <v>-0.82664445476647441</v>
      </c>
    </row>
    <row r="149" spans="1:8" x14ac:dyDescent="0.35">
      <c r="A149" s="62" t="s">
        <v>491</v>
      </c>
      <c r="B149" s="10"/>
      <c r="C149" s="10"/>
      <c r="D149" s="10"/>
      <c r="E149" s="10"/>
      <c r="F149" s="10"/>
      <c r="G149" s="10"/>
      <c r="H149" s="10"/>
    </row>
    <row r="150" spans="1:8" ht="30" customHeight="1" x14ac:dyDescent="0.35">
      <c r="A150" s="19" t="s">
        <v>202</v>
      </c>
      <c r="B150" s="20"/>
      <c r="C150" s="20" t="s">
        <v>231</v>
      </c>
      <c r="D150" s="20" t="s">
        <v>50</v>
      </c>
    </row>
    <row r="151" spans="1:8" x14ac:dyDescent="0.35">
      <c r="A151" s="63" t="s">
        <v>1631</v>
      </c>
      <c r="C151" s="103">
        <f>$C$114-(1-$C$65/$C$7)</f>
        <v>0</v>
      </c>
      <c r="D151" s="92" t="str">
        <f>IF(ISERROR(C151),"GAGAL",IF(ABS(C151)&lt;=0.0000001,"LULUS","GAGAL"))</f>
        <v>LULUS</v>
      </c>
    </row>
    <row r="152" spans="1:8" x14ac:dyDescent="0.35">
      <c r="A152" s="63" t="s">
        <v>1632</v>
      </c>
      <c r="C152" s="103">
        <f>C135-(1-RINGKASAN!$D$43/RINGKASAN!$D$40)*100</f>
        <v>8.5772812852269453E-8</v>
      </c>
      <c r="D152" s="92" t="str">
        <f>IF(ISERROR(C152),"GAGAL",IF(ABS(C152)&lt;=0.000001,"LULUS","GAGAL"))</f>
        <v>LULUS</v>
      </c>
    </row>
    <row r="153" spans="1:8" x14ac:dyDescent="0.35">
      <c r="A153" s="63" t="s">
        <v>1633</v>
      </c>
      <c r="C153" s="103">
        <f>C144-($C$115-$C$114)*100</f>
        <v>8.5772802194128417E-8</v>
      </c>
      <c r="D153" s="92" t="str">
        <f>IF(ISERROR(C153),"GAGAL",IF(ABS(C153)&lt;=0.000001,"LULUS","GAGAL"))</f>
        <v>LULUS</v>
      </c>
    </row>
    <row r="154" spans="1:8" x14ac:dyDescent="0.35">
      <c r="A154" s="63" t="s">
        <v>1634</v>
      </c>
      <c r="C154" s="103">
        <f>$C$107</f>
        <v>-9.999994290410541E-7</v>
      </c>
      <c r="D154" s="92" t="str">
        <f>IF(ISERROR(C154),"GAGAL",IF(ABS(C154)&lt;=0.001,"LULUS","GAGAL"))</f>
        <v>LULUS</v>
      </c>
    </row>
    <row r="155" spans="1:8" x14ac:dyDescent="0.35">
      <c r="A155" s="63" t="s">
        <v>1635</v>
      </c>
      <c r="C155" s="103">
        <f>$D$107</f>
        <v>-7.2142292992793955E-6</v>
      </c>
      <c r="D155" s="92" t="str">
        <f>IF(ISERROR(C155),"GAGAL",IF(ABS(C155)&lt;=0.001,"LULUS","GAGAL"))</f>
        <v>LULUS</v>
      </c>
    </row>
    <row r="156" spans="1:8" x14ac:dyDescent="0.35">
      <c r="A156" s="63" t="s">
        <v>1636</v>
      </c>
      <c r="C156" s="103">
        <f>$D$100-$D$29-$D$35-$D$41-$D$47-$D$53-$D$59</f>
        <v>0</v>
      </c>
      <c r="D156" s="92" t="str">
        <f>IF(ISERROR(C156),"GAGAL",IF(ABS(C156)&lt;=0.001,"LULUS","GAGAL"))</f>
        <v>LULUS</v>
      </c>
    </row>
    <row r="157" spans="1:8" x14ac:dyDescent="0.35">
      <c r="A157" s="63" t="s">
        <v>1637</v>
      </c>
      <c r="C157" s="103">
        <f>$D$7-RINGKASAN!$C$40</f>
        <v>0</v>
      </c>
      <c r="D157" s="92" t="str">
        <f>IF(ISERROR(C157),"GAGAL",IF(ABS(C157)&lt;=0.001,"LULUS","GAGAL"))</f>
        <v>LULUS</v>
      </c>
    </row>
    <row r="159" spans="1:8" x14ac:dyDescent="0.35">
      <c r="A159" s="62" t="s">
        <v>1638</v>
      </c>
      <c r="B159" s="10"/>
      <c r="C159" s="10"/>
      <c r="D159" s="10"/>
      <c r="E159" s="10"/>
      <c r="F159" s="10"/>
      <c r="G159" s="10"/>
      <c r="H159" s="10"/>
    </row>
    <row r="160" spans="1:8" ht="30" customHeight="1" x14ac:dyDescent="0.35">
      <c r="A160" s="19" t="s">
        <v>1639</v>
      </c>
      <c r="B160" s="20" t="s">
        <v>231</v>
      </c>
      <c r="C160" s="20" t="s">
        <v>546</v>
      </c>
      <c r="D160" s="20" t="s">
        <v>1640</v>
      </c>
      <c r="E160" s="20" t="s">
        <v>1641</v>
      </c>
      <c r="F160" s="20" t="s">
        <v>9</v>
      </c>
      <c r="G160" s="72" t="s">
        <v>1642</v>
      </c>
    </row>
    <row r="161" spans="1:7" x14ac:dyDescent="0.35">
      <c r="A161" s="63" t="s">
        <v>1643</v>
      </c>
      <c r="B161" s="96">
        <f>C117</f>
        <v>19.921931436113294</v>
      </c>
      <c r="C161" s="96">
        <v>0</v>
      </c>
      <c r="D161" s="96">
        <v>0</v>
      </c>
      <c r="E161" s="96">
        <v>0</v>
      </c>
      <c r="F161" s="96">
        <f>ROUND(B161,2)</f>
        <v>19.920000000000002</v>
      </c>
      <c r="G161" s="96">
        <f>B161</f>
        <v>19.921931436113294</v>
      </c>
    </row>
    <row r="162" spans="1:7" x14ac:dyDescent="0.35">
      <c r="A162" s="63" t="s">
        <v>1644</v>
      </c>
      <c r="B162" s="96">
        <f>C118</f>
        <v>-0.61049765884021445</v>
      </c>
      <c r="C162" s="96">
        <f t="shared" ref="C162:C169" si="1">ROUND(MIN(G161,G162),2)</f>
        <v>19.309999999999999</v>
      </c>
      <c r="D162" s="96">
        <f t="shared" ref="D162:D169" si="2">ROUND(MAX(B162,0),2)</f>
        <v>0</v>
      </c>
      <c r="E162" s="96">
        <f t="shared" ref="E162:E169" si="3">ROUND(MAX(-B162,0),2)</f>
        <v>0.61</v>
      </c>
      <c r="F162" s="96">
        <v>0</v>
      </c>
      <c r="G162" s="96">
        <f t="shared" ref="G162:G169" si="4">G161+B162</f>
        <v>19.311433777273081</v>
      </c>
    </row>
    <row r="163" spans="1:7" x14ac:dyDescent="0.35">
      <c r="A163" s="63" t="s">
        <v>1645</v>
      </c>
      <c r="B163" s="96">
        <f>C119+C129</f>
        <v>0.14580476849028656</v>
      </c>
      <c r="C163" s="96">
        <f t="shared" si="1"/>
        <v>19.309999999999999</v>
      </c>
      <c r="D163" s="96">
        <f t="shared" si="2"/>
        <v>0.15</v>
      </c>
      <c r="E163" s="96">
        <f t="shared" si="3"/>
        <v>0</v>
      </c>
      <c r="F163" s="96">
        <v>0</v>
      </c>
      <c r="G163" s="96">
        <f t="shared" si="4"/>
        <v>19.457238545763367</v>
      </c>
    </row>
    <row r="164" spans="1:7" x14ac:dyDescent="0.35">
      <c r="A164" s="63" t="s">
        <v>1079</v>
      </c>
      <c r="B164" s="96">
        <f>SUM(C120:C124)</f>
        <v>-0.94408633631210082</v>
      </c>
      <c r="C164" s="96">
        <f t="shared" si="1"/>
        <v>18.510000000000002</v>
      </c>
      <c r="D164" s="96">
        <f t="shared" si="2"/>
        <v>0</v>
      </c>
      <c r="E164" s="96">
        <f t="shared" si="3"/>
        <v>0.94</v>
      </c>
      <c r="F164" s="96">
        <v>0</v>
      </c>
      <c r="G164" s="96">
        <f t="shared" si="4"/>
        <v>18.513152209451267</v>
      </c>
    </row>
    <row r="165" spans="1:7" x14ac:dyDescent="0.35">
      <c r="A165" s="63" t="s">
        <v>1646</v>
      </c>
      <c r="B165" s="96">
        <f>C125+C126</f>
        <v>-1.55790866953044</v>
      </c>
      <c r="C165" s="96">
        <f t="shared" si="1"/>
        <v>16.96</v>
      </c>
      <c r="D165" s="96">
        <f t="shared" si="2"/>
        <v>0</v>
      </c>
      <c r="E165" s="96">
        <f t="shared" si="3"/>
        <v>1.56</v>
      </c>
      <c r="F165" s="96">
        <v>0</v>
      </c>
      <c r="G165" s="96">
        <f t="shared" si="4"/>
        <v>16.955243539920826</v>
      </c>
    </row>
    <row r="166" spans="1:7" x14ac:dyDescent="0.35">
      <c r="A166" s="63" t="s">
        <v>1647</v>
      </c>
      <c r="B166" s="96">
        <f>C127</f>
        <v>-2.4339234901748203</v>
      </c>
      <c r="C166" s="96">
        <f t="shared" si="1"/>
        <v>14.52</v>
      </c>
      <c r="D166" s="96">
        <f t="shared" si="2"/>
        <v>0</v>
      </c>
      <c r="E166" s="96">
        <f t="shared" si="3"/>
        <v>2.4300000000000002</v>
      </c>
      <c r="F166" s="96">
        <v>0</v>
      </c>
      <c r="G166" s="96">
        <f t="shared" si="4"/>
        <v>14.521320049746006</v>
      </c>
    </row>
    <row r="167" spans="1:7" x14ac:dyDescent="0.35">
      <c r="A167" s="63" t="s">
        <v>1648</v>
      </c>
      <c r="B167" s="96">
        <f>C128</f>
        <v>-0.26026882191964046</v>
      </c>
      <c r="C167" s="96">
        <f t="shared" si="1"/>
        <v>14.26</v>
      </c>
      <c r="D167" s="96">
        <f t="shared" si="2"/>
        <v>0</v>
      </c>
      <c r="E167" s="96">
        <f t="shared" si="3"/>
        <v>0.26</v>
      </c>
      <c r="F167" s="96">
        <v>0</v>
      </c>
      <c r="G167" s="96">
        <f t="shared" si="4"/>
        <v>14.261051227826366</v>
      </c>
    </row>
    <row r="168" spans="1:7" x14ac:dyDescent="0.35">
      <c r="A168" s="63" t="s">
        <v>1616</v>
      </c>
      <c r="B168" s="96">
        <f>SUM(C130:C133)</f>
        <v>2.1583039564099935</v>
      </c>
      <c r="C168" s="96">
        <f t="shared" si="1"/>
        <v>14.26</v>
      </c>
      <c r="D168" s="96">
        <f t="shared" si="2"/>
        <v>2.16</v>
      </c>
      <c r="E168" s="96">
        <f t="shared" si="3"/>
        <v>0</v>
      </c>
      <c r="F168" s="96">
        <v>0</v>
      </c>
      <c r="G168" s="96">
        <f t="shared" si="4"/>
        <v>16.419355184236359</v>
      </c>
    </row>
    <row r="169" spans="1:7" x14ac:dyDescent="0.35">
      <c r="A169" s="63" t="s">
        <v>1624</v>
      </c>
      <c r="B169" s="96">
        <f>C134</f>
        <v>-1.8536168326341913</v>
      </c>
      <c r="C169" s="96">
        <f t="shared" si="1"/>
        <v>14.57</v>
      </c>
      <c r="D169" s="96">
        <f t="shared" si="2"/>
        <v>0</v>
      </c>
      <c r="E169" s="96">
        <f t="shared" si="3"/>
        <v>1.85</v>
      </c>
      <c r="F169" s="96">
        <v>0</v>
      </c>
      <c r="G169" s="96">
        <f t="shared" si="4"/>
        <v>14.565738351602167</v>
      </c>
    </row>
    <row r="170" spans="1:7" x14ac:dyDescent="0.35">
      <c r="A170" s="63" t="s">
        <v>1649</v>
      </c>
      <c r="B170" s="96">
        <f>C135</f>
        <v>14.565738351602166</v>
      </c>
      <c r="C170" s="96">
        <v>0</v>
      </c>
      <c r="D170" s="96">
        <v>0</v>
      </c>
      <c r="E170" s="96">
        <v>0</v>
      </c>
      <c r="F170" s="96">
        <f>ROUND(B170,2)</f>
        <v>14.57</v>
      </c>
      <c r="G170" s="96">
        <f>B170</f>
        <v>14.565738351602166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89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328125" defaultRowHeight="14.5" x14ac:dyDescent="0.35"/>
  <cols>
    <col min="1" max="1" width="40" customWidth="1"/>
    <col min="2" max="2" width="8" customWidth="1"/>
    <col min="3" max="3" width="13" customWidth="1"/>
    <col min="4" max="4" width="15" customWidth="1"/>
    <col min="5" max="7" width="13" customWidth="1"/>
    <col min="8" max="12" width="15" customWidth="1"/>
    <col min="13" max="13" width="14" customWidth="1"/>
    <col min="14" max="14" width="15" customWidth="1"/>
    <col min="15" max="15" width="60" customWidth="1"/>
  </cols>
  <sheetData>
    <row r="1" spans="1:15" ht="15.75" customHeight="1" x14ac:dyDescent="0.35">
      <c r="A1" s="104" t="s">
        <v>1650</v>
      </c>
    </row>
    <row r="2" spans="1:15" ht="15" customHeight="1" x14ac:dyDescent="0.35">
      <c r="A2" s="105" t="s">
        <v>1651</v>
      </c>
    </row>
    <row r="3" spans="1:15" ht="15" customHeight="1" x14ac:dyDescent="0.35">
      <c r="A3" s="105" t="s">
        <v>1652</v>
      </c>
    </row>
    <row r="5" spans="1:15" ht="15" customHeight="1" x14ac:dyDescent="0.35">
      <c r="A5" s="18" t="s">
        <v>1653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30" customHeight="1" x14ac:dyDescent="0.35">
      <c r="A6" s="19" t="s">
        <v>1654</v>
      </c>
      <c r="B6" s="20" t="s">
        <v>133</v>
      </c>
      <c r="C6" s="20" t="s">
        <v>1655</v>
      </c>
      <c r="D6" s="20" t="s">
        <v>1656</v>
      </c>
      <c r="E6" s="20" t="s">
        <v>1657</v>
      </c>
      <c r="F6" s="20" t="s">
        <v>1658</v>
      </c>
      <c r="G6" s="20" t="s">
        <v>1659</v>
      </c>
      <c r="H6" s="20" t="s">
        <v>1660</v>
      </c>
      <c r="I6" s="20" t="s">
        <v>1661</v>
      </c>
      <c r="J6" s="20" t="s">
        <v>1662</v>
      </c>
      <c r="K6" s="20" t="s">
        <v>1663</v>
      </c>
      <c r="L6" s="20" t="s">
        <v>1664</v>
      </c>
      <c r="M6" s="20" t="s">
        <v>1665</v>
      </c>
      <c r="N6" s="20" t="s">
        <v>1666</v>
      </c>
      <c r="O6" s="20" t="s">
        <v>342</v>
      </c>
    </row>
    <row r="7" spans="1:15" ht="15" customHeight="1" x14ac:dyDescent="0.35">
      <c r="A7" s="63" t="s">
        <v>299</v>
      </c>
      <c r="B7" s="63" t="s">
        <v>137</v>
      </c>
      <c r="C7" s="106">
        <v>280280</v>
      </c>
      <c r="D7" s="107">
        <v>1288542000</v>
      </c>
      <c r="E7" s="107">
        <v>0</v>
      </c>
      <c r="F7" s="107">
        <v>0</v>
      </c>
      <c r="G7" s="107">
        <v>0</v>
      </c>
      <c r="H7" s="64">
        <f t="shared" ref="H7:H38" si="0">SUM(D7:G7)</f>
        <v>1288542000</v>
      </c>
      <c r="I7" s="107">
        <v>0</v>
      </c>
      <c r="J7" s="107">
        <v>1288542000</v>
      </c>
      <c r="K7" s="107">
        <v>18.059999999999999</v>
      </c>
      <c r="L7" s="64">
        <f t="shared" ref="L7:L38" si="1">I7+J7-K7</f>
        <v>1288541981.9400001</v>
      </c>
      <c r="M7" s="64">
        <f t="shared" ref="M7:M38" si="2">L7-H7</f>
        <v>-18.059999942779541</v>
      </c>
      <c r="N7" s="64">
        <f t="shared" ref="N7:N38" si="3">I7+J7-H7</f>
        <v>0</v>
      </c>
      <c r="O7" s="34" t="s">
        <v>1667</v>
      </c>
    </row>
    <row r="8" spans="1:15" ht="15" customHeight="1" x14ac:dyDescent="0.35">
      <c r="A8" s="63" t="s">
        <v>302</v>
      </c>
      <c r="B8" s="63" t="s">
        <v>137</v>
      </c>
      <c r="C8" s="106">
        <v>59854</v>
      </c>
      <c r="D8" s="107">
        <v>1013428091.96</v>
      </c>
      <c r="E8" s="107">
        <v>2241555.14</v>
      </c>
      <c r="F8" s="107">
        <v>32502549.48</v>
      </c>
      <c r="G8" s="107">
        <v>0</v>
      </c>
      <c r="H8" s="64">
        <f t="shared" si="0"/>
        <v>1048172196.58</v>
      </c>
      <c r="I8" s="107">
        <v>86289988.969999999</v>
      </c>
      <c r="J8" s="107">
        <v>1050949000</v>
      </c>
      <c r="K8" s="107">
        <v>183877533.72</v>
      </c>
      <c r="L8" s="64">
        <f t="shared" si="1"/>
        <v>953361455.25</v>
      </c>
      <c r="M8" s="64">
        <f t="shared" si="2"/>
        <v>-94810741.330000043</v>
      </c>
      <c r="N8" s="64">
        <f t="shared" si="3"/>
        <v>89066792.389999986</v>
      </c>
      <c r="O8" s="34" t="s">
        <v>1668</v>
      </c>
    </row>
    <row r="9" spans="1:15" ht="15" customHeight="1" x14ac:dyDescent="0.35">
      <c r="A9" s="63" t="s">
        <v>296</v>
      </c>
      <c r="B9" s="63" t="s">
        <v>137</v>
      </c>
      <c r="C9" s="106">
        <v>347092.25714285701</v>
      </c>
      <c r="D9" s="107">
        <v>1021433573.0700001</v>
      </c>
      <c r="E9" s="107">
        <v>0</v>
      </c>
      <c r="F9" s="107">
        <v>0</v>
      </c>
      <c r="G9" s="107">
        <v>0</v>
      </c>
      <c r="H9" s="64">
        <f t="shared" si="0"/>
        <v>1021433573.0700001</v>
      </c>
      <c r="I9" s="107">
        <v>0</v>
      </c>
      <c r="J9" s="107">
        <v>1012361248</v>
      </c>
      <c r="K9" s="107">
        <v>-681.88</v>
      </c>
      <c r="L9" s="64">
        <f t="shared" si="1"/>
        <v>1012361929.88</v>
      </c>
      <c r="M9" s="64">
        <f t="shared" si="2"/>
        <v>-9071643.1900000572</v>
      </c>
      <c r="N9" s="64">
        <f t="shared" si="3"/>
        <v>-9072325.0700000525</v>
      </c>
      <c r="O9" s="34" t="s">
        <v>1669</v>
      </c>
    </row>
    <row r="10" spans="1:15" ht="15" customHeight="1" x14ac:dyDescent="0.35">
      <c r="A10" s="63" t="s">
        <v>106</v>
      </c>
      <c r="B10" s="63" t="s">
        <v>305</v>
      </c>
      <c r="C10" s="106">
        <v>78864.072883258603</v>
      </c>
      <c r="D10" s="107">
        <v>774662258.61000001</v>
      </c>
      <c r="E10" s="107">
        <v>1443202.88</v>
      </c>
      <c r="F10" s="107">
        <v>23315034.510000002</v>
      </c>
      <c r="G10" s="107">
        <v>575163.72</v>
      </c>
      <c r="H10" s="64">
        <f t="shared" si="0"/>
        <v>799995659.72000003</v>
      </c>
      <c r="I10" s="107">
        <v>0</v>
      </c>
      <c r="J10" s="107">
        <v>799995630.79999995</v>
      </c>
      <c r="K10" s="107">
        <v>-7.08</v>
      </c>
      <c r="L10" s="64">
        <f t="shared" si="1"/>
        <v>799995637.88</v>
      </c>
      <c r="M10" s="64">
        <f t="shared" si="2"/>
        <v>-21.840000033378601</v>
      </c>
      <c r="N10" s="64">
        <f t="shared" si="3"/>
        <v>-28.920000076293945</v>
      </c>
      <c r="O10" s="34" t="s">
        <v>1670</v>
      </c>
    </row>
    <row r="11" spans="1:15" ht="15" customHeight="1" x14ac:dyDescent="0.35">
      <c r="A11" s="63" t="s">
        <v>1671</v>
      </c>
      <c r="B11" s="63" t="s">
        <v>171</v>
      </c>
      <c r="C11" s="106">
        <v>1520</v>
      </c>
      <c r="D11" s="107">
        <v>44812434.579999998</v>
      </c>
      <c r="E11" s="107">
        <v>326145.81</v>
      </c>
      <c r="F11" s="107">
        <v>4435583.04</v>
      </c>
      <c r="G11" s="107">
        <v>0</v>
      </c>
      <c r="H11" s="64">
        <f t="shared" si="0"/>
        <v>49574163.43</v>
      </c>
      <c r="I11" s="107">
        <v>70979674.409999996</v>
      </c>
      <c r="J11" s="107">
        <v>129600000</v>
      </c>
      <c r="K11" s="107">
        <v>161442177.77000001</v>
      </c>
      <c r="L11" s="64">
        <f t="shared" si="1"/>
        <v>39137496.639999986</v>
      </c>
      <c r="M11" s="64">
        <f t="shared" si="2"/>
        <v>-10436666.790000014</v>
      </c>
      <c r="N11" s="64">
        <f t="shared" si="3"/>
        <v>151005510.97999999</v>
      </c>
      <c r="O11" s="34" t="s">
        <v>1672</v>
      </c>
    </row>
    <row r="12" spans="1:15" ht="15" customHeight="1" x14ac:dyDescent="0.35">
      <c r="A12" s="63" t="s">
        <v>1673</v>
      </c>
      <c r="B12" s="63" t="s">
        <v>137</v>
      </c>
      <c r="C12" s="106">
        <v>1861</v>
      </c>
      <c r="D12" s="107">
        <v>63982187.700000003</v>
      </c>
      <c r="E12" s="107">
        <v>0</v>
      </c>
      <c r="F12" s="107">
        <v>0</v>
      </c>
      <c r="G12" s="107">
        <v>0</v>
      </c>
      <c r="H12" s="64">
        <f t="shared" si="0"/>
        <v>63982187.700000003</v>
      </c>
      <c r="I12" s="107">
        <v>166547627.06</v>
      </c>
      <c r="J12" s="107">
        <v>32000000</v>
      </c>
      <c r="K12" s="107">
        <v>141819732.75999999</v>
      </c>
      <c r="L12" s="64">
        <f t="shared" si="1"/>
        <v>56727894.300000012</v>
      </c>
      <c r="M12" s="64">
        <f t="shared" si="2"/>
        <v>-7254293.3999999911</v>
      </c>
      <c r="N12" s="64">
        <f t="shared" si="3"/>
        <v>134565439.36000001</v>
      </c>
      <c r="O12" s="34" t="s">
        <v>1674</v>
      </c>
    </row>
    <row r="13" spans="1:15" ht="15" customHeight="1" x14ac:dyDescent="0.35">
      <c r="A13" s="63" t="s">
        <v>320</v>
      </c>
      <c r="B13" s="63" t="s">
        <v>151</v>
      </c>
      <c r="C13" s="106">
        <v>100</v>
      </c>
      <c r="D13" s="107">
        <v>976176.71</v>
      </c>
      <c r="E13" s="107">
        <v>0</v>
      </c>
      <c r="F13" s="107">
        <v>0</v>
      </c>
      <c r="G13" s="107">
        <v>0</v>
      </c>
      <c r="H13" s="64">
        <f t="shared" si="0"/>
        <v>976176.71</v>
      </c>
      <c r="I13" s="107">
        <v>149056788.5</v>
      </c>
      <c r="J13" s="107">
        <v>21578900</v>
      </c>
      <c r="K13" s="107">
        <v>170635687.38</v>
      </c>
      <c r="L13" s="64">
        <f t="shared" si="1"/>
        <v>1.1200000047683716</v>
      </c>
      <c r="M13" s="64">
        <f t="shared" si="2"/>
        <v>-976175.58999999519</v>
      </c>
      <c r="N13" s="64">
        <f t="shared" si="3"/>
        <v>169659511.78999999</v>
      </c>
      <c r="O13" s="34" t="s">
        <v>1675</v>
      </c>
    </row>
    <row r="14" spans="1:15" ht="15" customHeight="1" x14ac:dyDescent="0.35">
      <c r="A14" s="63" t="s">
        <v>421</v>
      </c>
      <c r="B14" s="63" t="s">
        <v>137</v>
      </c>
      <c r="C14" s="106">
        <v>24028</v>
      </c>
      <c r="D14" s="107">
        <v>0</v>
      </c>
      <c r="E14" s="107">
        <v>0</v>
      </c>
      <c r="F14" s="107">
        <v>113015300</v>
      </c>
      <c r="G14" s="107">
        <v>0</v>
      </c>
      <c r="H14" s="64">
        <f t="shared" si="0"/>
        <v>113015300</v>
      </c>
      <c r="I14" s="107">
        <v>0</v>
      </c>
      <c r="J14" s="107">
        <v>113015300</v>
      </c>
      <c r="K14" s="107">
        <v>4.4000000000000004</v>
      </c>
      <c r="L14" s="64">
        <f t="shared" si="1"/>
        <v>113015295.59999999</v>
      </c>
      <c r="M14" s="64">
        <f t="shared" si="2"/>
        <v>-4.4000000059604645</v>
      </c>
      <c r="N14" s="64">
        <f t="shared" si="3"/>
        <v>0</v>
      </c>
      <c r="O14" s="34" t="s">
        <v>1676</v>
      </c>
    </row>
    <row r="15" spans="1:15" ht="15" customHeight="1" x14ac:dyDescent="0.35">
      <c r="A15" s="63" t="s">
        <v>897</v>
      </c>
      <c r="B15" s="63" t="s">
        <v>171</v>
      </c>
      <c r="C15" s="106">
        <v>16242</v>
      </c>
      <c r="D15" s="107">
        <v>0</v>
      </c>
      <c r="E15" s="107">
        <v>0</v>
      </c>
      <c r="F15" s="107">
        <v>0</v>
      </c>
      <c r="G15" s="107">
        <v>68748451.939999998</v>
      </c>
      <c r="H15" s="64">
        <f t="shared" si="0"/>
        <v>68748451.939999998</v>
      </c>
      <c r="I15" s="107">
        <v>0</v>
      </c>
      <c r="J15" s="107">
        <v>69865900</v>
      </c>
      <c r="K15" s="107">
        <v>1.1000000000000001</v>
      </c>
      <c r="L15" s="64">
        <f t="shared" si="1"/>
        <v>69865898.900000006</v>
      </c>
      <c r="M15" s="64">
        <f t="shared" si="2"/>
        <v>1117446.9600000083</v>
      </c>
      <c r="N15" s="64">
        <f t="shared" si="3"/>
        <v>1117448.0600000024</v>
      </c>
      <c r="O15" s="34" t="s">
        <v>1677</v>
      </c>
    </row>
    <row r="16" spans="1:15" ht="15" customHeight="1" x14ac:dyDescent="0.35">
      <c r="A16" s="63" t="s">
        <v>323</v>
      </c>
      <c r="B16" s="63" t="s">
        <v>137</v>
      </c>
      <c r="C16" s="106">
        <v>0</v>
      </c>
      <c r="D16" s="107">
        <v>0</v>
      </c>
      <c r="E16" s="107">
        <v>0</v>
      </c>
      <c r="F16" s="107">
        <v>0</v>
      </c>
      <c r="G16" s="107">
        <v>0</v>
      </c>
      <c r="H16" s="64">
        <f t="shared" si="0"/>
        <v>0</v>
      </c>
      <c r="I16" s="107">
        <v>62031117.810000002</v>
      </c>
      <c r="J16" s="107">
        <v>0</v>
      </c>
      <c r="K16" s="107">
        <v>62031117.810000002</v>
      </c>
      <c r="L16" s="64">
        <f t="shared" si="1"/>
        <v>0</v>
      </c>
      <c r="M16" s="64">
        <f t="shared" si="2"/>
        <v>0</v>
      </c>
      <c r="N16" s="64">
        <f t="shared" si="3"/>
        <v>62031117.810000002</v>
      </c>
      <c r="O16" s="34" t="s">
        <v>1678</v>
      </c>
    </row>
    <row r="17" spans="1:15" ht="15" customHeight="1" x14ac:dyDescent="0.35">
      <c r="A17" s="63" t="s">
        <v>1679</v>
      </c>
      <c r="B17" s="63" t="s">
        <v>327</v>
      </c>
      <c r="C17" s="106">
        <v>0</v>
      </c>
      <c r="D17" s="107">
        <v>0</v>
      </c>
      <c r="E17" s="107">
        <v>0</v>
      </c>
      <c r="F17" s="107">
        <v>0</v>
      </c>
      <c r="G17" s="107">
        <v>0</v>
      </c>
      <c r="H17" s="64">
        <f t="shared" si="0"/>
        <v>0</v>
      </c>
      <c r="I17" s="107">
        <v>60870606.060000002</v>
      </c>
      <c r="J17" s="107">
        <v>0</v>
      </c>
      <c r="K17" s="107">
        <v>60870606.060000002</v>
      </c>
      <c r="L17" s="64">
        <f t="shared" si="1"/>
        <v>0</v>
      </c>
      <c r="M17" s="64">
        <f t="shared" si="2"/>
        <v>0</v>
      </c>
      <c r="N17" s="64">
        <f t="shared" si="3"/>
        <v>60870606.060000002</v>
      </c>
      <c r="O17" s="34" t="s">
        <v>1678</v>
      </c>
    </row>
    <row r="18" spans="1:15" ht="15" customHeight="1" x14ac:dyDescent="0.35">
      <c r="A18" s="63" t="s">
        <v>1680</v>
      </c>
      <c r="B18" s="63" t="s">
        <v>137</v>
      </c>
      <c r="C18" s="106">
        <v>252.7</v>
      </c>
      <c r="D18" s="107">
        <v>8256654.7000000002</v>
      </c>
      <c r="E18" s="107">
        <v>0</v>
      </c>
      <c r="F18" s="107">
        <v>0</v>
      </c>
      <c r="G18" s="107">
        <v>0</v>
      </c>
      <c r="H18" s="64">
        <f t="shared" si="0"/>
        <v>8256654.7000000002</v>
      </c>
      <c r="I18" s="107">
        <v>12111977.710000001</v>
      </c>
      <c r="J18" s="107">
        <v>32115200</v>
      </c>
      <c r="K18" s="107">
        <v>34425054.909999996</v>
      </c>
      <c r="L18" s="64">
        <f t="shared" si="1"/>
        <v>9802122.8000000045</v>
      </c>
      <c r="M18" s="64">
        <f t="shared" si="2"/>
        <v>1545468.1000000043</v>
      </c>
      <c r="N18" s="64">
        <f t="shared" si="3"/>
        <v>35970523.009999998</v>
      </c>
      <c r="O18" s="34" t="s">
        <v>1681</v>
      </c>
    </row>
    <row r="19" spans="1:15" ht="15" customHeight="1" x14ac:dyDescent="0.35">
      <c r="A19" s="63" t="s">
        <v>307</v>
      </c>
      <c r="B19" s="63" t="s">
        <v>137</v>
      </c>
      <c r="C19" s="106">
        <v>1700</v>
      </c>
      <c r="D19" s="107">
        <v>7885597.25</v>
      </c>
      <c r="E19" s="107">
        <v>0</v>
      </c>
      <c r="F19" s="107">
        <v>0</v>
      </c>
      <c r="G19" s="107">
        <v>0</v>
      </c>
      <c r="H19" s="64">
        <f t="shared" si="0"/>
        <v>7885597.25</v>
      </c>
      <c r="I19" s="107">
        <v>22381180.440000001</v>
      </c>
      <c r="J19" s="107">
        <v>0</v>
      </c>
      <c r="K19" s="107">
        <v>14495583.23</v>
      </c>
      <c r="L19" s="64">
        <f t="shared" si="1"/>
        <v>7885597.2100000009</v>
      </c>
      <c r="M19" s="64">
        <f t="shared" si="2"/>
        <v>-3.9999999105930328E-2</v>
      </c>
      <c r="N19" s="64">
        <f t="shared" si="3"/>
        <v>14495583.190000001</v>
      </c>
      <c r="O19" s="34" t="s">
        <v>1682</v>
      </c>
    </row>
    <row r="20" spans="1:15" ht="15" customHeight="1" x14ac:dyDescent="0.35">
      <c r="A20" s="63" t="s">
        <v>748</v>
      </c>
      <c r="B20" s="63" t="s">
        <v>137</v>
      </c>
      <c r="C20" s="106">
        <v>0</v>
      </c>
      <c r="D20" s="107">
        <v>0</v>
      </c>
      <c r="E20" s="107">
        <v>0</v>
      </c>
      <c r="F20" s="107">
        <v>0</v>
      </c>
      <c r="G20" s="107">
        <v>0</v>
      </c>
      <c r="H20" s="64">
        <f t="shared" si="0"/>
        <v>0</v>
      </c>
      <c r="I20" s="107">
        <v>19129032.260000002</v>
      </c>
      <c r="J20" s="107">
        <v>0</v>
      </c>
      <c r="K20" s="107">
        <v>19120424.199999999</v>
      </c>
      <c r="L20" s="64">
        <f t="shared" si="1"/>
        <v>8608.0600000023842</v>
      </c>
      <c r="M20" s="64">
        <f t="shared" si="2"/>
        <v>8608.0600000023842</v>
      </c>
      <c r="N20" s="64">
        <f t="shared" si="3"/>
        <v>19129032.260000002</v>
      </c>
      <c r="O20" s="34" t="s">
        <v>1683</v>
      </c>
    </row>
    <row r="21" spans="1:15" ht="15" customHeight="1" x14ac:dyDescent="0.35">
      <c r="A21" s="63" t="s">
        <v>1684</v>
      </c>
      <c r="B21" s="63" t="s">
        <v>137</v>
      </c>
      <c r="C21" s="106">
        <v>0</v>
      </c>
      <c r="D21" s="107">
        <v>0</v>
      </c>
      <c r="E21" s="107">
        <v>0</v>
      </c>
      <c r="F21" s="107">
        <v>0</v>
      </c>
      <c r="G21" s="107">
        <v>0</v>
      </c>
      <c r="H21" s="64">
        <f t="shared" si="0"/>
        <v>0</v>
      </c>
      <c r="I21" s="107">
        <v>18838411.079999998</v>
      </c>
      <c r="J21" s="107">
        <v>0</v>
      </c>
      <c r="K21" s="107">
        <v>18838411.079999998</v>
      </c>
      <c r="L21" s="64">
        <f t="shared" si="1"/>
        <v>0</v>
      </c>
      <c r="M21" s="64">
        <f t="shared" si="2"/>
        <v>0</v>
      </c>
      <c r="N21" s="64">
        <f t="shared" si="3"/>
        <v>18838411.079999998</v>
      </c>
      <c r="O21" s="34" t="s">
        <v>1678</v>
      </c>
    </row>
    <row r="22" spans="1:15" ht="15" customHeight="1" x14ac:dyDescent="0.35">
      <c r="A22" s="63" t="s">
        <v>637</v>
      </c>
      <c r="B22" s="63" t="s">
        <v>327</v>
      </c>
      <c r="C22" s="106">
        <v>851</v>
      </c>
      <c r="D22" s="107">
        <v>4415400</v>
      </c>
      <c r="E22" s="107">
        <v>13200</v>
      </c>
      <c r="F22" s="107">
        <v>171600</v>
      </c>
      <c r="G22" s="107">
        <v>1016400</v>
      </c>
      <c r="H22" s="64">
        <f t="shared" si="0"/>
        <v>5616600</v>
      </c>
      <c r="I22" s="107">
        <v>4276800</v>
      </c>
      <c r="J22" s="107">
        <v>13305600</v>
      </c>
      <c r="K22" s="107">
        <v>12077999.75</v>
      </c>
      <c r="L22" s="64">
        <f t="shared" si="1"/>
        <v>5504400.25</v>
      </c>
      <c r="M22" s="64">
        <f t="shared" si="2"/>
        <v>-112199.75</v>
      </c>
      <c r="N22" s="64">
        <f t="shared" si="3"/>
        <v>11965800</v>
      </c>
      <c r="O22" s="34" t="s">
        <v>1685</v>
      </c>
    </row>
    <row r="23" spans="1:15" ht="15" customHeight="1" x14ac:dyDescent="0.35">
      <c r="A23" s="63" t="s">
        <v>749</v>
      </c>
      <c r="B23" s="63" t="s">
        <v>137</v>
      </c>
      <c r="C23" s="106">
        <v>101.7</v>
      </c>
      <c r="D23" s="107">
        <v>0</v>
      </c>
      <c r="E23" s="107">
        <v>0</v>
      </c>
      <c r="F23" s="107">
        <v>0</v>
      </c>
      <c r="G23" s="107">
        <v>3399317.7</v>
      </c>
      <c r="H23" s="64">
        <f t="shared" si="0"/>
        <v>3399317.7</v>
      </c>
      <c r="I23" s="107">
        <v>3259981.11</v>
      </c>
      <c r="J23" s="107">
        <v>10110000</v>
      </c>
      <c r="K23" s="107">
        <v>11364484.029999999</v>
      </c>
      <c r="L23" s="64">
        <f t="shared" si="1"/>
        <v>2005497.08</v>
      </c>
      <c r="M23" s="64">
        <f t="shared" si="2"/>
        <v>-1393820.62</v>
      </c>
      <c r="N23" s="64">
        <f t="shared" si="3"/>
        <v>9970663.4100000001</v>
      </c>
      <c r="O23" s="34" t="s">
        <v>1686</v>
      </c>
    </row>
    <row r="24" spans="1:15" ht="15" customHeight="1" x14ac:dyDescent="0.35">
      <c r="A24" s="63" t="s">
        <v>1687</v>
      </c>
      <c r="B24" s="63" t="s">
        <v>137</v>
      </c>
      <c r="C24" s="106">
        <v>0</v>
      </c>
      <c r="D24" s="107">
        <v>0</v>
      </c>
      <c r="E24" s="107">
        <v>0</v>
      </c>
      <c r="F24" s="107">
        <v>0</v>
      </c>
      <c r="G24" s="107">
        <v>0</v>
      </c>
      <c r="H24" s="64">
        <f t="shared" si="0"/>
        <v>0</v>
      </c>
      <c r="I24" s="107">
        <v>11810370.27</v>
      </c>
      <c r="J24" s="107">
        <v>0</v>
      </c>
      <c r="K24" s="107">
        <v>11762016.310000001</v>
      </c>
      <c r="L24" s="64">
        <f t="shared" si="1"/>
        <v>48353.959999999031</v>
      </c>
      <c r="M24" s="64">
        <f t="shared" si="2"/>
        <v>48353.959999999031</v>
      </c>
      <c r="N24" s="64">
        <f t="shared" si="3"/>
        <v>11810370.27</v>
      </c>
      <c r="O24" s="34" t="s">
        <v>1688</v>
      </c>
    </row>
    <row r="25" spans="1:15" ht="15" customHeight="1" x14ac:dyDescent="0.35">
      <c r="A25" s="63" t="s">
        <v>746</v>
      </c>
      <c r="B25" s="63" t="s">
        <v>137</v>
      </c>
      <c r="C25" s="106">
        <v>66.08</v>
      </c>
      <c r="D25" s="107">
        <v>0</v>
      </c>
      <c r="E25" s="107">
        <v>0</v>
      </c>
      <c r="F25" s="107">
        <v>0</v>
      </c>
      <c r="G25" s="107">
        <v>1756180.58</v>
      </c>
      <c r="H25" s="64">
        <f t="shared" si="0"/>
        <v>1756180.58</v>
      </c>
      <c r="I25" s="107">
        <v>11693696.32</v>
      </c>
      <c r="J25" s="107">
        <v>0</v>
      </c>
      <c r="K25" s="107">
        <v>10630633.060000001</v>
      </c>
      <c r="L25" s="64">
        <f t="shared" si="1"/>
        <v>1063063.2599999998</v>
      </c>
      <c r="M25" s="64">
        <f t="shared" si="2"/>
        <v>-693117.3200000003</v>
      </c>
      <c r="N25" s="64">
        <f t="shared" si="3"/>
        <v>9937515.7400000002</v>
      </c>
      <c r="O25" s="34" t="s">
        <v>1689</v>
      </c>
    </row>
    <row r="26" spans="1:15" ht="15" customHeight="1" x14ac:dyDescent="0.35">
      <c r="A26" s="63" t="s">
        <v>6</v>
      </c>
      <c r="B26" s="63" t="s">
        <v>171</v>
      </c>
      <c r="C26" s="106">
        <v>1424</v>
      </c>
      <c r="D26" s="107">
        <v>0</v>
      </c>
      <c r="E26" s="107">
        <v>8401600</v>
      </c>
      <c r="F26" s="107">
        <v>0</v>
      </c>
      <c r="G26" s="107">
        <v>0</v>
      </c>
      <c r="H26" s="64">
        <f t="shared" si="0"/>
        <v>8401600</v>
      </c>
      <c r="I26" s="107">
        <v>0</v>
      </c>
      <c r="J26" s="107">
        <v>8401600</v>
      </c>
      <c r="K26" s="107">
        <v>8.76</v>
      </c>
      <c r="L26" s="64">
        <f t="shared" si="1"/>
        <v>8401591.2400000002</v>
      </c>
      <c r="M26" s="64">
        <f t="shared" si="2"/>
        <v>-8.7599999997764826</v>
      </c>
      <c r="N26" s="64">
        <f t="shared" si="3"/>
        <v>0</v>
      </c>
      <c r="O26" s="34" t="s">
        <v>1690</v>
      </c>
    </row>
    <row r="27" spans="1:15" ht="15" customHeight="1" x14ac:dyDescent="0.35">
      <c r="A27" s="63" t="s">
        <v>755</v>
      </c>
      <c r="B27" s="63" t="s">
        <v>137</v>
      </c>
      <c r="C27" s="106">
        <v>13.05</v>
      </c>
      <c r="D27" s="107">
        <v>0</v>
      </c>
      <c r="E27" s="107">
        <v>0</v>
      </c>
      <c r="F27" s="107">
        <v>0</v>
      </c>
      <c r="G27" s="107">
        <v>514661.61</v>
      </c>
      <c r="H27" s="64">
        <f t="shared" si="0"/>
        <v>514661.61</v>
      </c>
      <c r="I27" s="107">
        <v>7741614.9100000001</v>
      </c>
      <c r="J27" s="107">
        <v>0</v>
      </c>
      <c r="K27" s="107">
        <v>7032525.5999999996</v>
      </c>
      <c r="L27" s="64">
        <f t="shared" si="1"/>
        <v>709089.31000000052</v>
      </c>
      <c r="M27" s="64">
        <f t="shared" si="2"/>
        <v>194427.70000000054</v>
      </c>
      <c r="N27" s="64">
        <f t="shared" si="3"/>
        <v>7226953.2999999998</v>
      </c>
      <c r="O27" s="34" t="s">
        <v>1691</v>
      </c>
    </row>
    <row r="28" spans="1:15" ht="15" customHeight="1" x14ac:dyDescent="0.35">
      <c r="A28" s="63" t="s">
        <v>326</v>
      </c>
      <c r="B28" s="63" t="s">
        <v>327</v>
      </c>
      <c r="C28" s="106">
        <v>97.5</v>
      </c>
      <c r="D28" s="107">
        <v>2271181.2200000002</v>
      </c>
      <c r="E28" s="107">
        <v>3595.54</v>
      </c>
      <c r="F28" s="107">
        <v>62322.65</v>
      </c>
      <c r="G28" s="107">
        <v>0</v>
      </c>
      <c r="H28" s="64">
        <f t="shared" si="0"/>
        <v>2337099.41</v>
      </c>
      <c r="I28" s="107">
        <v>6232265.0999999996</v>
      </c>
      <c r="J28" s="107">
        <v>0</v>
      </c>
      <c r="K28" s="107">
        <v>4074942.55</v>
      </c>
      <c r="L28" s="64">
        <f t="shared" si="1"/>
        <v>2157322.5499999998</v>
      </c>
      <c r="M28" s="64">
        <f t="shared" si="2"/>
        <v>-179776.86000000034</v>
      </c>
      <c r="N28" s="64">
        <f t="shared" si="3"/>
        <v>3895165.6899999995</v>
      </c>
      <c r="O28" s="34" t="s">
        <v>1692</v>
      </c>
    </row>
    <row r="29" spans="1:15" ht="15" customHeight="1" x14ac:dyDescent="0.35">
      <c r="A29" s="63" t="s">
        <v>756</v>
      </c>
      <c r="B29" s="63" t="s">
        <v>137</v>
      </c>
      <c r="C29" s="106">
        <v>7</v>
      </c>
      <c r="D29" s="107">
        <v>0</v>
      </c>
      <c r="E29" s="107">
        <v>0</v>
      </c>
      <c r="F29" s="107">
        <v>0</v>
      </c>
      <c r="G29" s="107">
        <v>281407.86</v>
      </c>
      <c r="H29" s="64">
        <f t="shared" si="0"/>
        <v>281407.86</v>
      </c>
      <c r="I29" s="107">
        <v>5483352.7599999998</v>
      </c>
      <c r="J29" s="107">
        <v>0</v>
      </c>
      <c r="K29" s="107">
        <v>5272296.87</v>
      </c>
      <c r="L29" s="64">
        <f t="shared" si="1"/>
        <v>211055.88999999966</v>
      </c>
      <c r="M29" s="64">
        <f t="shared" si="2"/>
        <v>-70351.970000000321</v>
      </c>
      <c r="N29" s="64">
        <f t="shared" si="3"/>
        <v>5201944.8999999994</v>
      </c>
      <c r="O29" s="34" t="s">
        <v>1693</v>
      </c>
    </row>
    <row r="30" spans="1:15" ht="15" customHeight="1" x14ac:dyDescent="0.35">
      <c r="A30" s="63" t="s">
        <v>750</v>
      </c>
      <c r="B30" s="63" t="s">
        <v>137</v>
      </c>
      <c r="C30" s="106">
        <v>14.28</v>
      </c>
      <c r="D30" s="107">
        <v>0</v>
      </c>
      <c r="E30" s="107">
        <v>0</v>
      </c>
      <c r="F30" s="107">
        <v>0</v>
      </c>
      <c r="G30" s="107">
        <v>379541.35</v>
      </c>
      <c r="H30" s="64">
        <f t="shared" si="0"/>
        <v>379541.35</v>
      </c>
      <c r="I30" s="107">
        <v>5315705.25</v>
      </c>
      <c r="J30" s="107">
        <v>0</v>
      </c>
      <c r="K30" s="107">
        <v>4784134.6100000003</v>
      </c>
      <c r="L30" s="64">
        <f t="shared" si="1"/>
        <v>531570.63999999966</v>
      </c>
      <c r="M30" s="64">
        <f t="shared" si="2"/>
        <v>152029.28999999969</v>
      </c>
      <c r="N30" s="64">
        <f t="shared" si="3"/>
        <v>4936163.9000000004</v>
      </c>
      <c r="O30" s="34" t="s">
        <v>1694</v>
      </c>
    </row>
    <row r="31" spans="1:15" ht="15" customHeight="1" x14ac:dyDescent="0.35">
      <c r="A31" s="63" t="s">
        <v>1695</v>
      </c>
      <c r="B31" s="63" t="s">
        <v>334</v>
      </c>
      <c r="C31" s="106">
        <v>39.104999999999997</v>
      </c>
      <c r="D31" s="107">
        <v>2979025.65</v>
      </c>
      <c r="E31" s="107">
        <v>0</v>
      </c>
      <c r="F31" s="107">
        <v>0</v>
      </c>
      <c r="G31" s="107">
        <v>0</v>
      </c>
      <c r="H31" s="64">
        <f t="shared" si="0"/>
        <v>2979025.65</v>
      </c>
      <c r="I31" s="107">
        <v>1904627.19</v>
      </c>
      <c r="J31" s="107">
        <v>0</v>
      </c>
      <c r="K31" s="107">
        <v>838104.78</v>
      </c>
      <c r="L31" s="64">
        <f t="shared" si="1"/>
        <v>1066522.4099999999</v>
      </c>
      <c r="M31" s="64">
        <f t="shared" si="2"/>
        <v>-1912503.24</v>
      </c>
      <c r="N31" s="64">
        <f t="shared" si="3"/>
        <v>-1074398.46</v>
      </c>
      <c r="O31" s="34" t="s">
        <v>1696</v>
      </c>
    </row>
    <row r="32" spans="1:15" ht="15" customHeight="1" x14ac:dyDescent="0.35">
      <c r="A32" s="63" t="s">
        <v>1697</v>
      </c>
      <c r="B32" s="63" t="s">
        <v>334</v>
      </c>
      <c r="C32" s="106">
        <v>0</v>
      </c>
      <c r="D32" s="107">
        <v>0</v>
      </c>
      <c r="E32" s="107">
        <v>0</v>
      </c>
      <c r="F32" s="107">
        <v>0</v>
      </c>
      <c r="G32" s="107">
        <v>0</v>
      </c>
      <c r="H32" s="64">
        <f t="shared" si="0"/>
        <v>0</v>
      </c>
      <c r="I32" s="107">
        <v>992694.81</v>
      </c>
      <c r="J32" s="107">
        <v>1550000</v>
      </c>
      <c r="K32" s="107">
        <v>1078699.92</v>
      </c>
      <c r="L32" s="64">
        <f t="shared" si="1"/>
        <v>1463994.8900000001</v>
      </c>
      <c r="M32" s="64">
        <f t="shared" si="2"/>
        <v>1463994.8900000001</v>
      </c>
      <c r="N32" s="64">
        <f t="shared" si="3"/>
        <v>2542694.81</v>
      </c>
      <c r="O32" s="34" t="s">
        <v>1698</v>
      </c>
    </row>
    <row r="33" spans="1:15" ht="15" customHeight="1" x14ac:dyDescent="0.35">
      <c r="A33" s="63" t="s">
        <v>1699</v>
      </c>
      <c r="B33" s="63" t="s">
        <v>137</v>
      </c>
      <c r="C33" s="106">
        <v>0</v>
      </c>
      <c r="D33" s="107">
        <v>0</v>
      </c>
      <c r="E33" s="107">
        <v>0</v>
      </c>
      <c r="F33" s="107">
        <v>0</v>
      </c>
      <c r="G33" s="107">
        <v>0</v>
      </c>
      <c r="H33" s="64">
        <f t="shared" si="0"/>
        <v>0</v>
      </c>
      <c r="I33" s="107">
        <v>1935000</v>
      </c>
      <c r="J33" s="107">
        <v>0</v>
      </c>
      <c r="K33" s="107">
        <v>1889850.02</v>
      </c>
      <c r="L33" s="64">
        <f t="shared" si="1"/>
        <v>45149.979999999981</v>
      </c>
      <c r="M33" s="64">
        <f t="shared" si="2"/>
        <v>45149.979999999981</v>
      </c>
      <c r="N33" s="64">
        <f t="shared" si="3"/>
        <v>1935000</v>
      </c>
      <c r="O33" s="34" t="s">
        <v>1700</v>
      </c>
    </row>
    <row r="34" spans="1:15" ht="15" customHeight="1" x14ac:dyDescent="0.35">
      <c r="A34" s="63" t="s">
        <v>1701</v>
      </c>
      <c r="B34" s="63" t="s">
        <v>137</v>
      </c>
      <c r="C34" s="106">
        <v>0</v>
      </c>
      <c r="D34" s="107">
        <v>0</v>
      </c>
      <c r="E34" s="107">
        <v>0</v>
      </c>
      <c r="F34" s="107">
        <v>0</v>
      </c>
      <c r="G34" s="107">
        <v>0</v>
      </c>
      <c r="H34" s="64">
        <f t="shared" si="0"/>
        <v>0</v>
      </c>
      <c r="I34" s="107">
        <v>1687500</v>
      </c>
      <c r="J34" s="107">
        <v>0</v>
      </c>
      <c r="K34" s="107">
        <v>562500</v>
      </c>
      <c r="L34" s="64">
        <f t="shared" si="1"/>
        <v>1125000</v>
      </c>
      <c r="M34" s="64">
        <f t="shared" si="2"/>
        <v>1125000</v>
      </c>
      <c r="N34" s="64">
        <f t="shared" si="3"/>
        <v>1687500</v>
      </c>
      <c r="O34" s="34" t="s">
        <v>1702</v>
      </c>
    </row>
    <row r="35" spans="1:15" ht="15" customHeight="1" x14ac:dyDescent="0.35">
      <c r="A35" s="63" t="s">
        <v>1703</v>
      </c>
      <c r="B35" s="63" t="s">
        <v>151</v>
      </c>
      <c r="C35" s="106">
        <v>0</v>
      </c>
      <c r="D35" s="107">
        <v>0</v>
      </c>
      <c r="E35" s="107">
        <v>0</v>
      </c>
      <c r="F35" s="107">
        <v>0</v>
      </c>
      <c r="G35" s="107">
        <v>0</v>
      </c>
      <c r="H35" s="64">
        <f t="shared" si="0"/>
        <v>0</v>
      </c>
      <c r="I35" s="107">
        <v>1650780</v>
      </c>
      <c r="J35" s="107">
        <v>0</v>
      </c>
      <c r="K35" s="107">
        <v>1650780</v>
      </c>
      <c r="L35" s="64">
        <f t="shared" si="1"/>
        <v>0</v>
      </c>
      <c r="M35" s="64">
        <f t="shared" si="2"/>
        <v>0</v>
      </c>
      <c r="N35" s="64">
        <f t="shared" si="3"/>
        <v>1650780</v>
      </c>
      <c r="O35" s="34" t="s">
        <v>1678</v>
      </c>
    </row>
    <row r="36" spans="1:15" ht="15" customHeight="1" x14ac:dyDescent="0.35">
      <c r="A36" s="63" t="s">
        <v>428</v>
      </c>
      <c r="B36" s="63" t="s">
        <v>334</v>
      </c>
      <c r="C36" s="106">
        <v>1.3</v>
      </c>
      <c r="D36" s="107">
        <v>0</v>
      </c>
      <c r="E36" s="107">
        <v>0</v>
      </c>
      <c r="F36" s="107">
        <v>98312.5</v>
      </c>
      <c r="G36" s="107">
        <v>0</v>
      </c>
      <c r="H36" s="64">
        <f t="shared" si="0"/>
        <v>98312.5</v>
      </c>
      <c r="I36" s="107">
        <v>1058750</v>
      </c>
      <c r="J36" s="107">
        <v>0</v>
      </c>
      <c r="K36" s="107">
        <v>983125</v>
      </c>
      <c r="L36" s="64">
        <f t="shared" si="1"/>
        <v>75625</v>
      </c>
      <c r="M36" s="64">
        <f t="shared" si="2"/>
        <v>-22687.5</v>
      </c>
      <c r="N36" s="64">
        <f t="shared" si="3"/>
        <v>960437.5</v>
      </c>
      <c r="O36" s="34" t="s">
        <v>1704</v>
      </c>
    </row>
    <row r="37" spans="1:15" ht="15" customHeight="1" x14ac:dyDescent="0.35">
      <c r="A37" s="63" t="s">
        <v>394</v>
      </c>
      <c r="B37" s="63" t="s">
        <v>334</v>
      </c>
      <c r="C37" s="106">
        <v>0.24</v>
      </c>
      <c r="D37" s="107">
        <v>0</v>
      </c>
      <c r="E37" s="107">
        <v>18150</v>
      </c>
      <c r="F37" s="107">
        <v>0</v>
      </c>
      <c r="G37" s="107">
        <v>0</v>
      </c>
      <c r="H37" s="64">
        <f t="shared" si="0"/>
        <v>18150</v>
      </c>
      <c r="I37" s="107">
        <v>983125</v>
      </c>
      <c r="J37" s="107">
        <v>0</v>
      </c>
      <c r="K37" s="107">
        <v>983125</v>
      </c>
      <c r="L37" s="64">
        <f t="shared" si="1"/>
        <v>0</v>
      </c>
      <c r="M37" s="64">
        <f t="shared" si="2"/>
        <v>-18150</v>
      </c>
      <c r="N37" s="64">
        <f t="shared" si="3"/>
        <v>964975</v>
      </c>
      <c r="O37" s="34" t="s">
        <v>1705</v>
      </c>
    </row>
    <row r="38" spans="1:15" ht="15" customHeight="1" x14ac:dyDescent="0.35">
      <c r="A38" s="63" t="s">
        <v>1706</v>
      </c>
      <c r="B38" s="63" t="s">
        <v>1707</v>
      </c>
      <c r="C38" s="106">
        <v>0</v>
      </c>
      <c r="D38" s="107">
        <v>0</v>
      </c>
      <c r="E38" s="107">
        <v>0</v>
      </c>
      <c r="F38" s="107">
        <v>0</v>
      </c>
      <c r="G38" s="107">
        <v>0</v>
      </c>
      <c r="H38" s="64">
        <f t="shared" si="0"/>
        <v>0</v>
      </c>
      <c r="I38" s="107">
        <v>955800</v>
      </c>
      <c r="J38" s="107">
        <v>0</v>
      </c>
      <c r="K38" s="107">
        <v>955800</v>
      </c>
      <c r="L38" s="64">
        <f t="shared" si="1"/>
        <v>0</v>
      </c>
      <c r="M38" s="64">
        <f t="shared" si="2"/>
        <v>0</v>
      </c>
      <c r="N38" s="64">
        <f t="shared" si="3"/>
        <v>955800</v>
      </c>
      <c r="O38" s="34" t="s">
        <v>1678</v>
      </c>
    </row>
    <row r="39" spans="1:15" ht="15" customHeight="1" x14ac:dyDescent="0.35">
      <c r="A39" s="63" t="s">
        <v>1708</v>
      </c>
      <c r="B39" s="63" t="s">
        <v>334</v>
      </c>
      <c r="C39" s="106">
        <v>0</v>
      </c>
      <c r="D39" s="107">
        <v>0</v>
      </c>
      <c r="E39" s="107">
        <v>0</v>
      </c>
      <c r="F39" s="107">
        <v>0</v>
      </c>
      <c r="G39" s="107">
        <v>0</v>
      </c>
      <c r="H39" s="64">
        <f t="shared" ref="H39:H70" si="4">SUM(D39:G39)</f>
        <v>0</v>
      </c>
      <c r="I39" s="107">
        <v>942709.16</v>
      </c>
      <c r="J39" s="107">
        <v>0</v>
      </c>
      <c r="K39" s="107">
        <v>870209.77</v>
      </c>
      <c r="L39" s="64">
        <f t="shared" ref="L39:L70" si="5">I39+J39-K39</f>
        <v>72499.390000000014</v>
      </c>
      <c r="M39" s="64">
        <f t="shared" ref="M39:M70" si="6">L39-H39</f>
        <v>72499.390000000014</v>
      </c>
      <c r="N39" s="64">
        <f t="shared" ref="N39:N61" si="7">I39+J39-H39</f>
        <v>942709.16</v>
      </c>
      <c r="O39" s="34" t="s">
        <v>1709</v>
      </c>
    </row>
    <row r="40" spans="1:15" ht="15" customHeight="1" x14ac:dyDescent="0.35">
      <c r="A40" s="63" t="s">
        <v>751</v>
      </c>
      <c r="B40" s="63" t="s">
        <v>137</v>
      </c>
      <c r="C40" s="106">
        <v>0.4375</v>
      </c>
      <c r="D40" s="107">
        <v>0</v>
      </c>
      <c r="E40" s="107">
        <v>0</v>
      </c>
      <c r="F40" s="107">
        <v>0</v>
      </c>
      <c r="G40" s="107">
        <v>2493.75</v>
      </c>
      <c r="H40" s="64">
        <f t="shared" si="4"/>
        <v>2493.75</v>
      </c>
      <c r="I40" s="107">
        <v>855000</v>
      </c>
      <c r="J40" s="107">
        <v>0</v>
      </c>
      <c r="K40" s="64">
        <f>I40+J40-H40</f>
        <v>852506.25</v>
      </c>
      <c r="L40" s="64">
        <f t="shared" si="5"/>
        <v>2493.75</v>
      </c>
      <c r="M40" s="64">
        <f t="shared" si="6"/>
        <v>0</v>
      </c>
      <c r="N40" s="64">
        <f t="shared" si="7"/>
        <v>852506.25</v>
      </c>
      <c r="O40" s="34" t="s">
        <v>1710</v>
      </c>
    </row>
    <row r="41" spans="1:15" ht="15" customHeight="1" x14ac:dyDescent="0.35">
      <c r="A41" s="63" t="s">
        <v>1711</v>
      </c>
      <c r="B41" s="63" t="s">
        <v>151</v>
      </c>
      <c r="C41" s="106">
        <v>0</v>
      </c>
      <c r="D41" s="107">
        <v>0</v>
      </c>
      <c r="E41" s="107">
        <v>0</v>
      </c>
      <c r="F41" s="107">
        <v>0</v>
      </c>
      <c r="G41" s="107">
        <v>0</v>
      </c>
      <c r="H41" s="64">
        <f t="shared" si="4"/>
        <v>0</v>
      </c>
      <c r="I41" s="107">
        <v>792222.15</v>
      </c>
      <c r="J41" s="107">
        <v>0</v>
      </c>
      <c r="K41" s="107">
        <v>792222.15</v>
      </c>
      <c r="L41" s="64">
        <f t="shared" si="5"/>
        <v>0</v>
      </c>
      <c r="M41" s="64">
        <f t="shared" si="6"/>
        <v>0</v>
      </c>
      <c r="N41" s="64">
        <f t="shared" si="7"/>
        <v>792222.15</v>
      </c>
      <c r="O41" s="34" t="s">
        <v>1678</v>
      </c>
    </row>
    <row r="42" spans="1:15" ht="15" customHeight="1" x14ac:dyDescent="0.35">
      <c r="A42" s="63" t="s">
        <v>1712</v>
      </c>
      <c r="B42" s="63" t="s">
        <v>327</v>
      </c>
      <c r="C42" s="106">
        <v>0</v>
      </c>
      <c r="D42" s="107">
        <v>0</v>
      </c>
      <c r="E42" s="107">
        <v>0</v>
      </c>
      <c r="F42" s="107">
        <v>0</v>
      </c>
      <c r="G42" s="107">
        <v>0</v>
      </c>
      <c r="H42" s="64">
        <f t="shared" si="4"/>
        <v>0</v>
      </c>
      <c r="I42" s="107">
        <v>427500</v>
      </c>
      <c r="J42" s="107">
        <v>0</v>
      </c>
      <c r="K42" s="107">
        <v>393300</v>
      </c>
      <c r="L42" s="64">
        <f t="shared" si="5"/>
        <v>34200</v>
      </c>
      <c r="M42" s="64">
        <f t="shared" si="6"/>
        <v>34200</v>
      </c>
      <c r="N42" s="64">
        <f t="shared" si="7"/>
        <v>427500</v>
      </c>
      <c r="O42" s="34" t="s">
        <v>1713</v>
      </c>
    </row>
    <row r="43" spans="1:15" ht="15" customHeight="1" x14ac:dyDescent="0.35">
      <c r="A43" s="63" t="s">
        <v>1714</v>
      </c>
      <c r="B43" s="63" t="s">
        <v>327</v>
      </c>
      <c r="C43" s="106">
        <v>0</v>
      </c>
      <c r="D43" s="107">
        <v>0</v>
      </c>
      <c r="E43" s="107">
        <v>0</v>
      </c>
      <c r="F43" s="107">
        <v>0</v>
      </c>
      <c r="G43" s="107">
        <v>0</v>
      </c>
      <c r="H43" s="64">
        <f t="shared" si="4"/>
        <v>0</v>
      </c>
      <c r="I43" s="107">
        <v>264000</v>
      </c>
      <c r="J43" s="107">
        <v>0</v>
      </c>
      <c r="K43" s="107">
        <v>264000</v>
      </c>
      <c r="L43" s="64">
        <f t="shared" si="5"/>
        <v>0</v>
      </c>
      <c r="M43" s="64">
        <f t="shared" si="6"/>
        <v>0</v>
      </c>
      <c r="N43" s="64">
        <f t="shared" si="7"/>
        <v>264000</v>
      </c>
      <c r="O43" s="34" t="s">
        <v>1678</v>
      </c>
    </row>
    <row r="44" spans="1:15" ht="15" customHeight="1" x14ac:dyDescent="0.35">
      <c r="A44" s="63" t="s">
        <v>1715</v>
      </c>
      <c r="B44" s="63" t="s">
        <v>1707</v>
      </c>
      <c r="C44" s="106">
        <v>0</v>
      </c>
      <c r="D44" s="107">
        <v>0</v>
      </c>
      <c r="E44" s="107">
        <v>0</v>
      </c>
      <c r="F44" s="107">
        <v>0</v>
      </c>
      <c r="G44" s="107">
        <v>0</v>
      </c>
      <c r="H44" s="64">
        <f t="shared" si="4"/>
        <v>0</v>
      </c>
      <c r="I44" s="107">
        <v>183600</v>
      </c>
      <c r="J44" s="107">
        <v>0</v>
      </c>
      <c r="K44" s="107">
        <v>183600</v>
      </c>
      <c r="L44" s="64">
        <f t="shared" si="5"/>
        <v>0</v>
      </c>
      <c r="M44" s="64">
        <f t="shared" si="6"/>
        <v>0</v>
      </c>
      <c r="N44" s="64">
        <f t="shared" si="7"/>
        <v>183600</v>
      </c>
      <c r="O44" s="34" t="s">
        <v>1678</v>
      </c>
    </row>
    <row r="45" spans="1:15" ht="15" customHeight="1" x14ac:dyDescent="0.35">
      <c r="A45" s="63" t="s">
        <v>1716</v>
      </c>
      <c r="B45" s="63" t="s">
        <v>171</v>
      </c>
      <c r="C45" s="106">
        <v>0</v>
      </c>
      <c r="D45" s="107">
        <v>0</v>
      </c>
      <c r="E45" s="107">
        <v>0</v>
      </c>
      <c r="F45" s="107">
        <v>0</v>
      </c>
      <c r="G45" s="107">
        <v>0</v>
      </c>
      <c r="H45" s="64">
        <f t="shared" si="4"/>
        <v>0</v>
      </c>
      <c r="I45" s="107">
        <v>177750</v>
      </c>
      <c r="J45" s="107">
        <v>0</v>
      </c>
      <c r="K45" s="107">
        <v>177750</v>
      </c>
      <c r="L45" s="64">
        <f t="shared" si="5"/>
        <v>0</v>
      </c>
      <c r="M45" s="64">
        <f t="shared" si="6"/>
        <v>0</v>
      </c>
      <c r="N45" s="64">
        <f t="shared" si="7"/>
        <v>177750</v>
      </c>
      <c r="O45" s="34" t="s">
        <v>1678</v>
      </c>
    </row>
    <row r="46" spans="1:15" ht="15" customHeight="1" x14ac:dyDescent="0.35">
      <c r="A46" s="63" t="s">
        <v>1717</v>
      </c>
      <c r="B46" s="63" t="s">
        <v>137</v>
      </c>
      <c r="C46" s="106">
        <v>0</v>
      </c>
      <c r="D46" s="107">
        <v>0</v>
      </c>
      <c r="E46" s="107">
        <v>0</v>
      </c>
      <c r="F46" s="107">
        <v>0</v>
      </c>
      <c r="G46" s="107">
        <v>0</v>
      </c>
      <c r="H46" s="64">
        <f t="shared" si="4"/>
        <v>0</v>
      </c>
      <c r="I46" s="107">
        <v>112000</v>
      </c>
      <c r="J46" s="107">
        <v>0</v>
      </c>
      <c r="K46" s="107">
        <v>112000</v>
      </c>
      <c r="L46" s="64">
        <f t="shared" si="5"/>
        <v>0</v>
      </c>
      <c r="M46" s="64">
        <f t="shared" si="6"/>
        <v>0</v>
      </c>
      <c r="N46" s="64">
        <f t="shared" si="7"/>
        <v>112000</v>
      </c>
      <c r="O46" s="34" t="s">
        <v>1718</v>
      </c>
    </row>
    <row r="47" spans="1:15" ht="15" customHeight="1" x14ac:dyDescent="0.35">
      <c r="A47" s="63" t="s">
        <v>1719</v>
      </c>
      <c r="B47" s="63" t="s">
        <v>327</v>
      </c>
      <c r="C47" s="106">
        <v>0</v>
      </c>
      <c r="D47" s="107">
        <v>0</v>
      </c>
      <c r="E47" s="107">
        <v>0</v>
      </c>
      <c r="F47" s="107">
        <v>0</v>
      </c>
      <c r="G47" s="107">
        <v>0</v>
      </c>
      <c r="H47" s="64">
        <f t="shared" si="4"/>
        <v>0</v>
      </c>
      <c r="I47" s="107">
        <v>34000</v>
      </c>
      <c r="J47" s="107">
        <v>0</v>
      </c>
      <c r="K47" s="107">
        <v>34000</v>
      </c>
      <c r="L47" s="64">
        <f t="shared" si="5"/>
        <v>0</v>
      </c>
      <c r="M47" s="64">
        <f t="shared" si="6"/>
        <v>0</v>
      </c>
      <c r="N47" s="64">
        <f t="shared" si="7"/>
        <v>34000</v>
      </c>
      <c r="O47" s="34" t="s">
        <v>1678</v>
      </c>
    </row>
    <row r="48" spans="1:15" ht="15" customHeight="1" x14ac:dyDescent="0.35">
      <c r="A48" s="63" t="s">
        <v>816</v>
      </c>
      <c r="B48" s="63" t="s">
        <v>171</v>
      </c>
      <c r="C48" s="106">
        <v>580</v>
      </c>
      <c r="D48" s="107">
        <v>0</v>
      </c>
      <c r="E48" s="107">
        <v>0</v>
      </c>
      <c r="F48" s="107">
        <v>0</v>
      </c>
      <c r="G48" s="107">
        <v>0</v>
      </c>
      <c r="H48" s="64">
        <f t="shared" si="4"/>
        <v>0</v>
      </c>
      <c r="I48" s="107">
        <v>0</v>
      </c>
      <c r="J48" s="107">
        <v>0</v>
      </c>
      <c r="K48" s="64">
        <f>I48+J48-H48</f>
        <v>0</v>
      </c>
      <c r="L48" s="64">
        <f t="shared" si="5"/>
        <v>0</v>
      </c>
      <c r="M48" s="64">
        <f t="shared" si="6"/>
        <v>0</v>
      </c>
      <c r="N48" s="64">
        <f t="shared" si="7"/>
        <v>0</v>
      </c>
      <c r="O48" s="34" t="s">
        <v>1720</v>
      </c>
    </row>
    <row r="49" spans="1:15" ht="15" customHeight="1" x14ac:dyDescent="0.35">
      <c r="A49" s="63" t="s">
        <v>655</v>
      </c>
      <c r="B49" s="63" t="s">
        <v>137</v>
      </c>
      <c r="C49" s="106">
        <v>671.55</v>
      </c>
      <c r="D49" s="107">
        <v>0</v>
      </c>
      <c r="E49" s="107">
        <v>0</v>
      </c>
      <c r="F49" s="107">
        <v>0</v>
      </c>
      <c r="G49" s="107">
        <v>0</v>
      </c>
      <c r="H49" s="64">
        <f t="shared" si="4"/>
        <v>0</v>
      </c>
      <c r="I49" s="107">
        <v>0</v>
      </c>
      <c r="J49" s="107">
        <v>0</v>
      </c>
      <c r="K49" s="64">
        <f>I49+J49-H49</f>
        <v>0</v>
      </c>
      <c r="L49" s="64">
        <f t="shared" si="5"/>
        <v>0</v>
      </c>
      <c r="M49" s="64">
        <f t="shared" si="6"/>
        <v>0</v>
      </c>
      <c r="N49" s="64">
        <f t="shared" si="7"/>
        <v>0</v>
      </c>
      <c r="O49" s="34" t="s">
        <v>1721</v>
      </c>
    </row>
    <row r="50" spans="1:15" ht="15" customHeight="1" x14ac:dyDescent="0.35">
      <c r="A50" s="63" t="s">
        <v>876</v>
      </c>
      <c r="B50" s="63" t="s">
        <v>137</v>
      </c>
      <c r="C50" s="106">
        <v>119.76</v>
      </c>
      <c r="D50" s="107">
        <v>0</v>
      </c>
      <c r="E50" s="107">
        <v>0</v>
      </c>
      <c r="F50" s="107">
        <v>0</v>
      </c>
      <c r="G50" s="107">
        <v>0</v>
      </c>
      <c r="H50" s="64">
        <f t="shared" si="4"/>
        <v>0</v>
      </c>
      <c r="I50" s="107">
        <v>0</v>
      </c>
      <c r="J50" s="107">
        <v>0</v>
      </c>
      <c r="K50" s="107">
        <v>0</v>
      </c>
      <c r="L50" s="64">
        <f t="shared" si="5"/>
        <v>0</v>
      </c>
      <c r="M50" s="64">
        <f t="shared" si="6"/>
        <v>0</v>
      </c>
      <c r="N50" s="64">
        <f t="shared" si="7"/>
        <v>0</v>
      </c>
      <c r="O50" s="34" t="s">
        <v>1722</v>
      </c>
    </row>
    <row r="51" spans="1:15" ht="15" customHeight="1" x14ac:dyDescent="0.35">
      <c r="A51" s="63" t="s">
        <v>798</v>
      </c>
      <c r="B51" s="63" t="s">
        <v>327</v>
      </c>
      <c r="C51" s="106">
        <v>44.84</v>
      </c>
      <c r="D51" s="107">
        <v>0</v>
      </c>
      <c r="E51" s="107">
        <v>0</v>
      </c>
      <c r="F51" s="107">
        <v>0</v>
      </c>
      <c r="G51" s="107">
        <v>0</v>
      </c>
      <c r="H51" s="64">
        <f t="shared" si="4"/>
        <v>0</v>
      </c>
      <c r="I51" s="107">
        <v>0</v>
      </c>
      <c r="J51" s="107">
        <v>0</v>
      </c>
      <c r="K51" s="64">
        <f>I51+J51-H51</f>
        <v>0</v>
      </c>
      <c r="L51" s="64">
        <f t="shared" si="5"/>
        <v>0</v>
      </c>
      <c r="M51" s="64">
        <f t="shared" si="6"/>
        <v>0</v>
      </c>
      <c r="N51" s="64">
        <f t="shared" si="7"/>
        <v>0</v>
      </c>
      <c r="O51" s="34" t="s">
        <v>1720</v>
      </c>
    </row>
    <row r="52" spans="1:15" ht="15" customHeight="1" x14ac:dyDescent="0.35">
      <c r="A52" s="63" t="s">
        <v>796</v>
      </c>
      <c r="B52" s="63" t="s">
        <v>171</v>
      </c>
      <c r="C52" s="106">
        <v>360</v>
      </c>
      <c r="D52" s="107">
        <v>0</v>
      </c>
      <c r="E52" s="107">
        <v>0</v>
      </c>
      <c r="F52" s="107">
        <v>0</v>
      </c>
      <c r="G52" s="107">
        <v>0</v>
      </c>
      <c r="H52" s="64">
        <f t="shared" si="4"/>
        <v>0</v>
      </c>
      <c r="I52" s="107">
        <v>0</v>
      </c>
      <c r="J52" s="107">
        <v>0</v>
      </c>
      <c r="K52" s="107">
        <v>0</v>
      </c>
      <c r="L52" s="64">
        <f t="shared" si="5"/>
        <v>0</v>
      </c>
      <c r="M52" s="64">
        <f t="shared" si="6"/>
        <v>0</v>
      </c>
      <c r="N52" s="64">
        <f t="shared" si="7"/>
        <v>0</v>
      </c>
      <c r="O52" s="34" t="s">
        <v>1723</v>
      </c>
    </row>
    <row r="53" spans="1:15" ht="15" customHeight="1" x14ac:dyDescent="0.35">
      <c r="A53" s="63" t="s">
        <v>877</v>
      </c>
      <c r="B53" s="63" t="s">
        <v>327</v>
      </c>
      <c r="C53" s="106">
        <v>171.6</v>
      </c>
      <c r="D53" s="107">
        <v>0</v>
      </c>
      <c r="E53" s="107">
        <v>0</v>
      </c>
      <c r="F53" s="107">
        <v>0</v>
      </c>
      <c r="G53" s="107">
        <v>0</v>
      </c>
      <c r="H53" s="64">
        <f t="shared" si="4"/>
        <v>0</v>
      </c>
      <c r="I53" s="107">
        <v>0</v>
      </c>
      <c r="J53" s="107">
        <v>0</v>
      </c>
      <c r="K53" s="107">
        <v>0</v>
      </c>
      <c r="L53" s="64">
        <f t="shared" si="5"/>
        <v>0</v>
      </c>
      <c r="M53" s="64">
        <f t="shared" si="6"/>
        <v>0</v>
      </c>
      <c r="N53" s="64">
        <f t="shared" si="7"/>
        <v>0</v>
      </c>
      <c r="O53" s="34" t="s">
        <v>1724</v>
      </c>
    </row>
    <row r="54" spans="1:15" ht="15" customHeight="1" x14ac:dyDescent="0.35">
      <c r="A54" s="63" t="s">
        <v>858</v>
      </c>
      <c r="B54" s="63" t="s">
        <v>137</v>
      </c>
      <c r="C54" s="106">
        <v>149</v>
      </c>
      <c r="D54" s="107">
        <v>0</v>
      </c>
      <c r="E54" s="107">
        <v>0</v>
      </c>
      <c r="F54" s="107">
        <v>0</v>
      </c>
      <c r="G54" s="107">
        <v>0</v>
      </c>
      <c r="H54" s="64">
        <f t="shared" si="4"/>
        <v>0</v>
      </c>
      <c r="I54" s="107">
        <v>0</v>
      </c>
      <c r="J54" s="107">
        <v>0</v>
      </c>
      <c r="K54" s="107">
        <v>0</v>
      </c>
      <c r="L54" s="64">
        <f t="shared" si="5"/>
        <v>0</v>
      </c>
      <c r="M54" s="64">
        <f t="shared" si="6"/>
        <v>0</v>
      </c>
      <c r="N54" s="64">
        <f t="shared" si="7"/>
        <v>0</v>
      </c>
      <c r="O54" s="34" t="s">
        <v>1725</v>
      </c>
    </row>
    <row r="55" spans="1:15" ht="15" customHeight="1" x14ac:dyDescent="0.35">
      <c r="A55" s="63" t="s">
        <v>838</v>
      </c>
      <c r="B55" s="63" t="s">
        <v>327</v>
      </c>
      <c r="C55" s="106">
        <v>197.01</v>
      </c>
      <c r="D55" s="107">
        <v>0</v>
      </c>
      <c r="E55" s="107">
        <v>0</v>
      </c>
      <c r="F55" s="107">
        <v>0</v>
      </c>
      <c r="G55" s="107">
        <v>0</v>
      </c>
      <c r="H55" s="64">
        <f t="shared" si="4"/>
        <v>0</v>
      </c>
      <c r="I55" s="107">
        <v>0</v>
      </c>
      <c r="J55" s="107">
        <v>0</v>
      </c>
      <c r="K55" s="107">
        <v>0</v>
      </c>
      <c r="L55" s="64">
        <f t="shared" si="5"/>
        <v>0</v>
      </c>
      <c r="M55" s="64">
        <f t="shared" si="6"/>
        <v>0</v>
      </c>
      <c r="N55" s="64">
        <f t="shared" si="7"/>
        <v>0</v>
      </c>
      <c r="O55" s="34" t="s">
        <v>1726</v>
      </c>
    </row>
    <row r="56" spans="1:15" ht="15" customHeight="1" x14ac:dyDescent="0.35">
      <c r="A56" s="63" t="s">
        <v>634</v>
      </c>
      <c r="B56" s="63" t="s">
        <v>137</v>
      </c>
      <c r="C56" s="106">
        <v>622.54999999999995</v>
      </c>
      <c r="D56" s="107">
        <v>0</v>
      </c>
      <c r="E56" s="107">
        <v>0</v>
      </c>
      <c r="F56" s="107">
        <v>0</v>
      </c>
      <c r="G56" s="107">
        <v>0</v>
      </c>
      <c r="H56" s="64">
        <f t="shared" si="4"/>
        <v>0</v>
      </c>
      <c r="I56" s="107">
        <v>0</v>
      </c>
      <c r="J56" s="107">
        <v>0</v>
      </c>
      <c r="K56" s="107">
        <v>0</v>
      </c>
      <c r="L56" s="64">
        <f t="shared" si="5"/>
        <v>0</v>
      </c>
      <c r="M56" s="64">
        <f t="shared" si="6"/>
        <v>0</v>
      </c>
      <c r="N56" s="64">
        <f t="shared" si="7"/>
        <v>0</v>
      </c>
      <c r="O56" s="34" t="s">
        <v>1727</v>
      </c>
    </row>
    <row r="57" spans="1:15" ht="15" customHeight="1" x14ac:dyDescent="0.35">
      <c r="A57" s="63" t="s">
        <v>837</v>
      </c>
      <c r="B57" s="63" t="s">
        <v>137</v>
      </c>
      <c r="C57" s="106">
        <v>146.1</v>
      </c>
      <c r="D57" s="107">
        <v>0</v>
      </c>
      <c r="E57" s="107">
        <v>0</v>
      </c>
      <c r="F57" s="107">
        <v>0</v>
      </c>
      <c r="G57" s="107">
        <v>0</v>
      </c>
      <c r="H57" s="64">
        <f t="shared" si="4"/>
        <v>0</v>
      </c>
      <c r="I57" s="107">
        <v>0</v>
      </c>
      <c r="J57" s="107">
        <v>0</v>
      </c>
      <c r="K57" s="107">
        <v>0</v>
      </c>
      <c r="L57" s="64">
        <f t="shared" si="5"/>
        <v>0</v>
      </c>
      <c r="M57" s="64">
        <f t="shared" si="6"/>
        <v>0</v>
      </c>
      <c r="N57" s="64">
        <f t="shared" si="7"/>
        <v>0</v>
      </c>
      <c r="O57" s="34" t="s">
        <v>1728</v>
      </c>
    </row>
    <row r="58" spans="1:15" ht="15" customHeight="1" x14ac:dyDescent="0.35">
      <c r="A58" s="63" t="s">
        <v>817</v>
      </c>
      <c r="B58" s="63" t="s">
        <v>327</v>
      </c>
      <c r="C58" s="106">
        <v>71.06</v>
      </c>
      <c r="D58" s="107">
        <v>0</v>
      </c>
      <c r="E58" s="107">
        <v>0</v>
      </c>
      <c r="F58" s="107">
        <v>0</v>
      </c>
      <c r="G58" s="107">
        <v>0</v>
      </c>
      <c r="H58" s="64">
        <f t="shared" si="4"/>
        <v>0</v>
      </c>
      <c r="I58" s="107">
        <v>0</v>
      </c>
      <c r="J58" s="107">
        <v>0</v>
      </c>
      <c r="K58" s="107">
        <v>0</v>
      </c>
      <c r="L58" s="64">
        <f t="shared" si="5"/>
        <v>0</v>
      </c>
      <c r="M58" s="64">
        <f t="shared" si="6"/>
        <v>0</v>
      </c>
      <c r="N58" s="64">
        <f t="shared" si="7"/>
        <v>0</v>
      </c>
      <c r="O58" s="34" t="s">
        <v>1729</v>
      </c>
    </row>
    <row r="59" spans="1:15" ht="15" customHeight="1" x14ac:dyDescent="0.35">
      <c r="A59" s="63" t="s">
        <v>799</v>
      </c>
      <c r="B59" s="63" t="s">
        <v>151</v>
      </c>
      <c r="C59" s="106">
        <v>3281</v>
      </c>
      <c r="D59" s="107">
        <v>0</v>
      </c>
      <c r="E59" s="107">
        <v>0</v>
      </c>
      <c r="F59" s="107">
        <v>0</v>
      </c>
      <c r="G59" s="107">
        <v>0</v>
      </c>
      <c r="H59" s="64">
        <f t="shared" si="4"/>
        <v>0</v>
      </c>
      <c r="I59" s="107">
        <v>0</v>
      </c>
      <c r="J59" s="107">
        <v>0</v>
      </c>
      <c r="K59" s="107">
        <v>0</v>
      </c>
      <c r="L59" s="64">
        <f t="shared" si="5"/>
        <v>0</v>
      </c>
      <c r="M59" s="64">
        <f t="shared" si="6"/>
        <v>0</v>
      </c>
      <c r="N59" s="64">
        <f t="shared" si="7"/>
        <v>0</v>
      </c>
      <c r="O59" s="34" t="s">
        <v>1730</v>
      </c>
    </row>
    <row r="60" spans="1:15" ht="15" customHeight="1" x14ac:dyDescent="0.35">
      <c r="A60" s="63" t="s">
        <v>859</v>
      </c>
      <c r="B60" s="63" t="s">
        <v>327</v>
      </c>
      <c r="C60" s="106">
        <v>210.54</v>
      </c>
      <c r="D60" s="107">
        <v>0</v>
      </c>
      <c r="E60" s="107">
        <v>0</v>
      </c>
      <c r="F60" s="107">
        <v>0</v>
      </c>
      <c r="G60" s="107">
        <v>0</v>
      </c>
      <c r="H60" s="64">
        <f t="shared" si="4"/>
        <v>0</v>
      </c>
      <c r="I60" s="107">
        <v>0</v>
      </c>
      <c r="J60" s="107">
        <v>0</v>
      </c>
      <c r="K60" s="107">
        <v>0</v>
      </c>
      <c r="L60" s="64">
        <f t="shared" si="5"/>
        <v>0</v>
      </c>
      <c r="M60" s="64">
        <f t="shared" si="6"/>
        <v>0</v>
      </c>
      <c r="N60" s="64">
        <f t="shared" si="7"/>
        <v>0</v>
      </c>
      <c r="O60" s="34" t="s">
        <v>1731</v>
      </c>
    </row>
    <row r="61" spans="1:15" ht="15" customHeight="1" x14ac:dyDescent="0.35">
      <c r="A61" s="105" t="s">
        <v>1732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64">
        <f t="shared" si="4"/>
        <v>0</v>
      </c>
      <c r="I61" s="107">
        <v>0</v>
      </c>
      <c r="J61" s="107">
        <v>0</v>
      </c>
      <c r="K61" s="64">
        <f>E70-SUM(K7:K60)</f>
        <v>3187.940000295639</v>
      </c>
      <c r="L61" s="64">
        <f t="shared" si="5"/>
        <v>-3187.940000295639</v>
      </c>
      <c r="M61" s="64">
        <f t="shared" si="6"/>
        <v>-3187.940000295639</v>
      </c>
      <c r="N61" s="64">
        <f t="shared" si="7"/>
        <v>0</v>
      </c>
      <c r="O61" s="34" t="s">
        <v>1733</v>
      </c>
    </row>
    <row r="62" spans="1:15" ht="15" customHeight="1" x14ac:dyDescent="0.35">
      <c r="A62" s="28" t="s">
        <v>9</v>
      </c>
      <c r="B62" s="29"/>
      <c r="C62" s="29"/>
      <c r="D62" s="108">
        <f t="shared" ref="D62:N62" si="8">SUM(D7:D61)</f>
        <v>4233644581.4499998</v>
      </c>
      <c r="E62" s="108">
        <f t="shared" si="8"/>
        <v>12447449.369999999</v>
      </c>
      <c r="F62" s="108">
        <f t="shared" si="8"/>
        <v>173600702.18000001</v>
      </c>
      <c r="G62" s="108">
        <f t="shared" si="8"/>
        <v>76673618.50999999</v>
      </c>
      <c r="H62" s="108">
        <f t="shared" si="8"/>
        <v>4496366351.5099974</v>
      </c>
      <c r="I62" s="108">
        <f t="shared" si="8"/>
        <v>739007248.33000004</v>
      </c>
      <c r="J62" s="108">
        <f t="shared" si="8"/>
        <v>4583390378.8000002</v>
      </c>
      <c r="K62" s="108">
        <f t="shared" si="8"/>
        <v>947179465.88999999</v>
      </c>
      <c r="L62" s="108">
        <f t="shared" si="8"/>
        <v>4375218161.2400017</v>
      </c>
      <c r="M62" s="108">
        <f t="shared" si="8"/>
        <v>-121148190.27000037</v>
      </c>
      <c r="N62" s="108">
        <f t="shared" si="8"/>
        <v>826031275.61999965</v>
      </c>
      <c r="O62" s="29"/>
    </row>
    <row r="65" spans="1:15" ht="15" customHeight="1" x14ac:dyDescent="0.35">
      <c r="A65" s="18" t="s">
        <v>1734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15" customHeight="1" x14ac:dyDescent="0.35">
      <c r="A66" s="31" t="s">
        <v>4</v>
      </c>
      <c r="B66" s="32"/>
      <c r="C66" s="31" t="s">
        <v>44</v>
      </c>
      <c r="D66" s="32"/>
      <c r="E66" s="31" t="s">
        <v>1735</v>
      </c>
      <c r="F66" s="31" t="s">
        <v>20</v>
      </c>
      <c r="G66" s="32"/>
      <c r="H66" s="31" t="s">
        <v>74</v>
      </c>
    </row>
    <row r="67" spans="1:15" ht="15" customHeight="1" x14ac:dyDescent="0.35">
      <c r="A67" s="63" t="s">
        <v>1736</v>
      </c>
      <c r="C67" s="64">
        <f>E67</f>
        <v>739007248.34000003</v>
      </c>
      <c r="E67" s="33">
        <v>739007248.34000003</v>
      </c>
      <c r="F67" s="64">
        <f>C67-E67</f>
        <v>0</v>
      </c>
      <c r="H67" s="34" t="s">
        <v>1737</v>
      </c>
    </row>
    <row r="68" spans="1:15" ht="15" customHeight="1" x14ac:dyDescent="0.35">
      <c r="A68" s="63" t="s">
        <v>1738</v>
      </c>
      <c r="C68" s="33">
        <v>4583390378.8000002</v>
      </c>
      <c r="E68" s="33">
        <v>4583390378.79</v>
      </c>
      <c r="F68" s="64">
        <f>C68-E68</f>
        <v>1.0000228881835938E-2</v>
      </c>
      <c r="H68" s="34" t="s">
        <v>1739</v>
      </c>
    </row>
    <row r="69" spans="1:15" ht="15" customHeight="1" x14ac:dyDescent="0.35">
      <c r="A69" s="63" t="s">
        <v>1740</v>
      </c>
      <c r="C69" s="33">
        <v>4375218168.4499998</v>
      </c>
      <c r="E69" s="33">
        <v>4375218161.2399998</v>
      </c>
      <c r="F69" s="64">
        <f>C69-E69</f>
        <v>7.2100000381469727</v>
      </c>
      <c r="H69" s="34" t="s">
        <v>1741</v>
      </c>
    </row>
    <row r="70" spans="1:15" ht="15" customHeight="1" x14ac:dyDescent="0.35">
      <c r="A70" s="63" t="s">
        <v>1742</v>
      </c>
      <c r="C70" s="64">
        <f>C67+C68-C69</f>
        <v>947179458.69000053</v>
      </c>
      <c r="E70" s="33">
        <v>947179465.88999999</v>
      </c>
      <c r="F70" s="64">
        <f>C70-E70</f>
        <v>-7.1999994516372681</v>
      </c>
      <c r="H70" s="34" t="s">
        <v>1743</v>
      </c>
    </row>
    <row r="73" spans="1:15" ht="15" customHeight="1" x14ac:dyDescent="0.35">
      <c r="A73" s="18" t="s">
        <v>1744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ht="15" customHeight="1" x14ac:dyDescent="0.35">
      <c r="A74" s="31" t="s">
        <v>202</v>
      </c>
      <c r="B74" s="32"/>
      <c r="C74" s="31" t="s">
        <v>231</v>
      </c>
      <c r="D74" s="31" t="s">
        <v>50</v>
      </c>
    </row>
    <row r="75" spans="1:15" ht="15" customHeight="1" x14ac:dyDescent="0.35">
      <c r="A75" s="63" t="s">
        <v>1745</v>
      </c>
      <c r="C75" s="73">
        <f>D62-'REKON &amp; KONTROL'!$B$22*10^6</f>
        <v>-9.4437599182128906E-3</v>
      </c>
      <c r="D75" s="59" t="str">
        <f t="shared" ref="D75:D82" si="9">IF(ISERROR(C75),"GAGAL",IF(ABS(C75)&lt;=1,"LULUS","GAGAL"))</f>
        <v>LULUS</v>
      </c>
    </row>
    <row r="76" spans="1:15" ht="15" customHeight="1" x14ac:dyDescent="0.35">
      <c r="A76" s="63" t="s">
        <v>1746</v>
      </c>
      <c r="C76" s="73">
        <f>E62-'REKON &amp; KONTROL'!$B$23*10^6</f>
        <v>6.7363213747739792E-3</v>
      </c>
      <c r="D76" s="59" t="str">
        <f t="shared" si="9"/>
        <v>LULUS</v>
      </c>
    </row>
    <row r="77" spans="1:15" ht="15" customHeight="1" x14ac:dyDescent="0.35">
      <c r="A77" s="63" t="s">
        <v>1747</v>
      </c>
      <c r="C77" s="73">
        <f>F62-'REKON &amp; KONTROL'!$B$24*10^6</f>
        <v>-1.3530850410461426E-2</v>
      </c>
      <c r="D77" s="59" t="str">
        <f t="shared" si="9"/>
        <v>LULUS</v>
      </c>
    </row>
    <row r="78" spans="1:15" ht="15" customHeight="1" x14ac:dyDescent="0.35">
      <c r="A78" s="63" t="s">
        <v>1748</v>
      </c>
      <c r="C78" s="73">
        <f>G62-('REKON &amp; KONTROL'!$B$25+'REKON &amp; KONTROL'!$B$26+'REKON &amp; KONTROL'!$B$27)*10^6</f>
        <v>-8.4395557641983032E-3</v>
      </c>
      <c r="D78" s="59" t="str">
        <f t="shared" si="9"/>
        <v>LULUS</v>
      </c>
    </row>
    <row r="79" spans="1:15" ht="15" customHeight="1" x14ac:dyDescent="0.35">
      <c r="A79" s="63" t="s">
        <v>1749</v>
      </c>
      <c r="C79" s="73">
        <f>I62-C67</f>
        <v>-9.9999904632568359E-3</v>
      </c>
      <c r="D79" s="59" t="str">
        <f t="shared" si="9"/>
        <v>LULUS</v>
      </c>
    </row>
    <row r="80" spans="1:15" ht="15" customHeight="1" x14ac:dyDescent="0.35">
      <c r="A80" s="63" t="s">
        <v>1750</v>
      </c>
      <c r="C80" s="73">
        <f>J62-C68</f>
        <v>0</v>
      </c>
      <c r="D80" s="59" t="str">
        <f t="shared" si="9"/>
        <v>LULUS</v>
      </c>
    </row>
    <row r="81" spans="1:4" ht="15" customHeight="1" x14ac:dyDescent="0.35">
      <c r="A81" s="63" t="s">
        <v>1751</v>
      </c>
      <c r="C81" s="73">
        <f>K62-E70</f>
        <v>0</v>
      </c>
      <c r="D81" s="59" t="str">
        <f t="shared" si="9"/>
        <v>LULUS</v>
      </c>
    </row>
    <row r="82" spans="1:4" ht="15" customHeight="1" x14ac:dyDescent="0.35">
      <c r="A82" s="63" t="s">
        <v>1752</v>
      </c>
      <c r="C82" s="73">
        <f>IF(ABS(K61)&lt;=10000,0,K61)</f>
        <v>0</v>
      </c>
      <c r="D82" s="59" t="str">
        <f t="shared" si="9"/>
        <v>LULUS</v>
      </c>
    </row>
    <row r="83" spans="1:4" ht="15" customHeight="1" x14ac:dyDescent="0.35">
      <c r="A83" s="63" t="s">
        <v>1753</v>
      </c>
      <c r="C83" s="73">
        <f>F68</f>
        <v>1.0000228881835938E-2</v>
      </c>
      <c r="D83" s="59" t="str">
        <f>IF(ISERROR(C83),"GAGAL",IF(ABS(C83)&lt;=100,"LULUS","GAGAL"))</f>
        <v>LULUS</v>
      </c>
    </row>
    <row r="84" spans="1:4" ht="15" customHeight="1" x14ac:dyDescent="0.35">
      <c r="A84" s="63" t="s">
        <v>1754</v>
      </c>
      <c r="C84" s="73">
        <f>F69</f>
        <v>7.2100000381469727</v>
      </c>
      <c r="D84" s="59" t="str">
        <f>IF(ISERROR(C84),"GAGAL",IF(ABS(C84)&lt;=100,"LULUS","GAGAL"))</f>
        <v>LULUS</v>
      </c>
    </row>
    <row r="85" spans="1:4" ht="15" customHeight="1" x14ac:dyDescent="0.35">
      <c r="A85" s="63" t="s">
        <v>1755</v>
      </c>
      <c r="C85" s="73">
        <f>F70</f>
        <v>-7.1999994516372681</v>
      </c>
      <c r="D85" s="59" t="str">
        <f>IF(ISERROR(C85),"GAGAL",IF(ABS(C85)&lt;=100,"LULUS","GAGAL"))</f>
        <v>LULUS</v>
      </c>
    </row>
    <row r="86" spans="1:4" ht="15" customHeight="1" x14ac:dyDescent="0.35">
      <c r="A86" s="63" t="s">
        <v>1756</v>
      </c>
      <c r="C86" s="73">
        <f>L62-'REKON &amp; KONTROL'!$B$29*10^6</f>
        <v>4.2314529418945313E-3</v>
      </c>
      <c r="D86" s="59" t="str">
        <f>IF(ISERROR(C86),"GAGAL",IF(ABS(C86)&lt;=1,"LULUS","GAGAL"))</f>
        <v>LULUS</v>
      </c>
    </row>
    <row r="87" spans="1:4" ht="15" customHeight="1" x14ac:dyDescent="0.35">
      <c r="A87" s="63" t="s">
        <v>1757</v>
      </c>
      <c r="C87" s="73">
        <f>M62-'REKON &amp; KONTROL'!$B$30*10^6</f>
        <v>2.8907686471939087E-2</v>
      </c>
      <c r="D87" s="59" t="str">
        <f>IF(ISERROR(C87),"GAGAL",IF(ABS(C87)&lt;=1,"LULUS","GAGAL"))</f>
        <v>LULUS</v>
      </c>
    </row>
    <row r="88" spans="1:4" ht="15" customHeight="1" x14ac:dyDescent="0.35">
      <c r="A88" s="63" t="s">
        <v>241</v>
      </c>
      <c r="C88" s="63">
        <f>SUMPRODUCT(--ISERROR(A1:O87))</f>
        <v>0</v>
      </c>
      <c r="D88" s="59" t="str">
        <f>IF(ISERROR(C88),"GAGAL",IF(ABS(C88)&lt;=0.5,"LULUS","GAGAL"))</f>
        <v>LULUS</v>
      </c>
    </row>
    <row r="89" spans="1:4" ht="15" customHeight="1" x14ac:dyDescent="0.35">
      <c r="A89" s="59" t="s">
        <v>1758</v>
      </c>
      <c r="D89" s="59" t="str">
        <f>IF(COUNTIF(D75:D88,"GAGAL")=0,"LULUS","GAGAL")</f>
        <v>LULUS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36"/>
  <sheetViews>
    <sheetView showGridLines="0" zoomScaleNormal="100" workbookViewId="0">
      <pane xSplit="2" ySplit="54" topLeftCell="C55" activePane="bottomRight" state="frozen"/>
      <selection pane="topRight" activeCell="C1" sqref="C1"/>
      <selection pane="bottomLeft" activeCell="A55" sqref="A55"/>
      <selection pane="bottomRight"/>
    </sheetView>
  </sheetViews>
  <sheetFormatPr defaultColWidth="8.6328125" defaultRowHeight="14.5" x14ac:dyDescent="0.35"/>
  <cols>
    <col min="1" max="1" width="12" customWidth="1"/>
    <col min="2" max="2" width="50" customWidth="1"/>
    <col min="3" max="3" width="10" customWidth="1"/>
    <col min="4" max="4" width="9" customWidth="1"/>
    <col min="5" max="5" width="11" customWidth="1"/>
    <col min="6" max="6" width="14" customWidth="1"/>
    <col min="7" max="7" width="11" customWidth="1"/>
    <col min="8" max="8" width="14" customWidth="1"/>
    <col min="9" max="9" width="9" customWidth="1"/>
    <col min="10" max="10" width="11" customWidth="1"/>
    <col min="11" max="11" width="14" customWidth="1"/>
    <col min="12" max="12" width="11" customWidth="1"/>
    <col min="13" max="15" width="14" customWidth="1"/>
    <col min="16" max="17" width="11" customWidth="1"/>
    <col min="18" max="18" width="12" customWidth="1"/>
    <col min="19" max="19" width="10" customWidth="1"/>
    <col min="20" max="20" width="34" customWidth="1"/>
    <col min="21" max="22" width="14" customWidth="1"/>
  </cols>
  <sheetData>
    <row r="1" spans="1:22" ht="15" customHeight="1" x14ac:dyDescent="0.35">
      <c r="A1" s="90" t="s">
        <v>1759</v>
      </c>
    </row>
    <row r="2" spans="1:22" ht="15" customHeight="1" x14ac:dyDescent="0.35">
      <c r="A2" s="75" t="s">
        <v>1760</v>
      </c>
    </row>
    <row r="3" spans="1:22" ht="15" customHeight="1" x14ac:dyDescent="0.35">
      <c r="A3" s="72" t="s">
        <v>1761</v>
      </c>
      <c r="C3" s="92" t="str">
        <f>IF(COUNTIF(D30:D40,"GAGAL")=0,"LULUS","GAGAL")</f>
        <v>LULUS</v>
      </c>
      <c r="E3" s="75" t="s">
        <v>1762</v>
      </c>
    </row>
    <row r="5" spans="1:22" ht="15" customHeight="1" x14ac:dyDescent="0.35">
      <c r="A5" s="62" t="s">
        <v>1763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36" customHeight="1" x14ac:dyDescent="0.35">
      <c r="A6" s="19" t="s">
        <v>4</v>
      </c>
      <c r="B6" s="19"/>
      <c r="C6" s="20" t="s">
        <v>123</v>
      </c>
      <c r="D6" s="20" t="s">
        <v>1764</v>
      </c>
      <c r="E6" s="20" t="s">
        <v>1765</v>
      </c>
      <c r="F6" s="20" t="s">
        <v>376</v>
      </c>
      <c r="G6" s="20" t="s">
        <v>1766</v>
      </c>
      <c r="H6" s="20" t="s">
        <v>1767</v>
      </c>
      <c r="I6" s="20" t="s">
        <v>29</v>
      </c>
    </row>
    <row r="7" spans="1:22" ht="15" customHeight="1" x14ac:dyDescent="0.35">
      <c r="A7" s="63" t="s">
        <v>1768</v>
      </c>
      <c r="C7" s="47">
        <f>RINGKASAN!$B$63</f>
        <v>494002773.02999997</v>
      </c>
      <c r="D7" s="47">
        <f>RINGKASAN!$B$64</f>
        <v>297850706.22000003</v>
      </c>
      <c r="E7" s="64">
        <f>D7-C7</f>
        <v>-196152066.80999994</v>
      </c>
      <c r="F7" s="47">
        <f>RINGKASAN!$B$65</f>
        <v>499690063.73000002</v>
      </c>
      <c r="G7" s="47">
        <f>RINGKASAN!$B$66</f>
        <v>286536639.63999999</v>
      </c>
      <c r="H7" s="64">
        <f>G7-F7</f>
        <v>-213153424.09000003</v>
      </c>
      <c r="I7" s="67" t="s">
        <v>1769</v>
      </c>
    </row>
    <row r="8" spans="1:22" ht="15" customHeight="1" x14ac:dyDescent="0.35">
      <c r="A8" s="63" t="s">
        <v>1770</v>
      </c>
      <c r="C8" s="64">
        <f>SUMIFS($F$55:$F$135,$C$55:$C$135,"1106-002")</f>
        <v>494002760.1099999</v>
      </c>
      <c r="D8" s="64">
        <f>SUMIFS($H$55:$H$135,$C$55:$C$135,"1106-002")</f>
        <v>297850682.60999978</v>
      </c>
      <c r="E8" s="64">
        <f>D8-C8</f>
        <v>-196152077.50000012</v>
      </c>
      <c r="F8" s="64">
        <f>SUMIFS($F$55:$F$135,$C$55:$C$135,"1106-003")</f>
        <v>500407878.86999995</v>
      </c>
      <c r="G8" s="64">
        <f>SUMIFS($H$55:$H$135,$C$55:$C$135,"1106-003")</f>
        <v>287254450.80999994</v>
      </c>
      <c r="H8" s="64">
        <f>G8-F8</f>
        <v>-213153428.06</v>
      </c>
      <c r="I8" s="67" t="s">
        <v>1771</v>
      </c>
    </row>
    <row r="9" spans="1:22" ht="15" customHeight="1" x14ac:dyDescent="0.35">
      <c r="A9" s="63" t="s">
        <v>1772</v>
      </c>
      <c r="C9" s="64">
        <f>C7-C8</f>
        <v>12.920000076293945</v>
      </c>
      <c r="D9" s="64">
        <f>D7-D8</f>
        <v>23.610000252723694</v>
      </c>
      <c r="E9" s="64">
        <f>D9-C9</f>
        <v>10.690000176429749</v>
      </c>
      <c r="F9" s="64">
        <f>F7-F8</f>
        <v>-717815.13999992609</v>
      </c>
      <c r="G9" s="64">
        <f>G7-G8</f>
        <v>-717811.16999995708</v>
      </c>
      <c r="H9" s="64">
        <f>G9-F9</f>
        <v>3.9699999690055847</v>
      </c>
      <c r="I9" s="67" t="s">
        <v>1773</v>
      </c>
    </row>
    <row r="10" spans="1:22" ht="15" customHeight="1" x14ac:dyDescent="0.35">
      <c r="A10" s="63" t="s">
        <v>1774</v>
      </c>
      <c r="C10" s="47">
        <f>FCC!$E$72+UU!$E$70+UO!$E$66</f>
        <v>148536517.82159862</v>
      </c>
      <c r="D10" s="47">
        <f>RINGKASAN!$B$47*10^6</f>
        <v>51984599.283244148</v>
      </c>
      <c r="E10" s="64">
        <f>D10-C10</f>
        <v>-96551918.538354471</v>
      </c>
      <c r="F10" s="47">
        <f>FCC!$E$86+UU!$E$84+UO!$E$80+'LAIN-LAIN'!$E$93</f>
        <v>244158806.4274804</v>
      </c>
      <c r="G10" s="47">
        <f>RINGKASAN!$B$48*10^6</f>
        <v>14171280.852956014</v>
      </c>
      <c r="H10" s="64">
        <f>G10-F10</f>
        <v>-229987525.57452437</v>
      </c>
      <c r="I10" s="67" t="s">
        <v>1775</v>
      </c>
    </row>
    <row r="11" spans="1:22" ht="15" customHeight="1" x14ac:dyDescent="0.35">
      <c r="A11" s="68" t="s">
        <v>46</v>
      </c>
      <c r="B11" s="29"/>
      <c r="C11" s="70">
        <f>C10-C7</f>
        <v>-345466255.20840132</v>
      </c>
      <c r="D11" s="70">
        <f>D10-D7</f>
        <v>-245866106.9367559</v>
      </c>
      <c r="E11" s="70">
        <f>D11-C11</f>
        <v>99600148.271645427</v>
      </c>
      <c r="F11" s="70">
        <f>F10-F7</f>
        <v>-255531257.30251962</v>
      </c>
      <c r="G11" s="70">
        <f>G10-G7</f>
        <v>-272365358.78704399</v>
      </c>
      <c r="H11" s="70">
        <f>G11-F11</f>
        <v>-16834101.484524369</v>
      </c>
      <c r="I11" s="99" t="s">
        <v>1776</v>
      </c>
    </row>
    <row r="12" spans="1:22" ht="15" customHeight="1" x14ac:dyDescent="0.35">
      <c r="A12" s="63" t="s">
        <v>1777</v>
      </c>
    </row>
    <row r="13" spans="1:22" ht="15" customHeight="1" x14ac:dyDescent="0.35">
      <c r="A13" s="63" t="s">
        <v>1778</v>
      </c>
      <c r="C13" s="64">
        <f>SUMIFS($K$55:$K$135,$C$55:$C$135,"1106-002",$D$55:$D$135,"K1")-SUMIFS($F$55:$F$135,$C$55:$C$135,"1106-002",$D$55:$D$135,"K1")</f>
        <v>15383217.631598622</v>
      </c>
      <c r="D13" s="64">
        <f>SUMIFS($M$55:$M$135,$C$55:$C$135,"1106-002",$D$55:$D$135,"K1")-SUMIFS($H$55:$H$135,$C$55:$C$135,"1106-002",$D$55:$D$135,"K1")</f>
        <v>5303487.77324415</v>
      </c>
      <c r="E13" s="64">
        <f t="shared" ref="E13:E24" si="0">D13-C13</f>
        <v>-10079729.858354472</v>
      </c>
      <c r="F13" s="64">
        <f>SUMIFS($K$55:$K$135,$C$55:$C$135,"1106-003",$D$55:$D$135,"K1")-SUMIFS($F$55:$F$135,$C$55:$C$135,"1106-003",$D$55:$D$135,"K1")</f>
        <v>19743260.267480373</v>
      </c>
      <c r="G13" s="64">
        <f>SUMIFS($M$55:$M$135,$C$55:$C$135,"1106-003",$D$55:$D$135,"K1")-SUMIFS($H$55:$H$135,$C$55:$C$135,"1106-003",$D$55:$D$135,"K1")</f>
        <v>2505423.1029560138</v>
      </c>
      <c r="H13" s="64">
        <f t="shared" ref="H13:H24" si="1">G13-F13</f>
        <v>-17237837.164524361</v>
      </c>
      <c r="I13" s="67" t="s">
        <v>1779</v>
      </c>
    </row>
    <row r="14" spans="1:22" ht="15" customHeight="1" x14ac:dyDescent="0.35">
      <c r="A14" s="101" t="s">
        <v>1780</v>
      </c>
      <c r="C14" s="64">
        <f>SUMIFS($V$55:$V$135,$C$55:$C$135,"1106-002",$D$55:$D$135,"K1")</f>
        <v>0</v>
      </c>
      <c r="D14" s="64">
        <f>SUMIFS($U$55:$U$135,$C$55:$C$135,"1106-002",$D$55:$D$135,"K1")</f>
        <v>0</v>
      </c>
      <c r="E14" s="64">
        <f t="shared" si="0"/>
        <v>0</v>
      </c>
      <c r="F14" s="64">
        <f>SUMIFS($V$55:$V$135,$C$55:$C$135,"1106-003",$D$55:$D$135,"K1")</f>
        <v>0</v>
      </c>
      <c r="G14" s="64">
        <f>SUMIFS($U$55:$U$135,$C$55:$C$135,"1106-003",$D$55:$D$135,"K1")</f>
        <v>0</v>
      </c>
      <c r="H14" s="64">
        <f t="shared" si="1"/>
        <v>0</v>
      </c>
      <c r="I14" s="67" t="s">
        <v>1781</v>
      </c>
    </row>
    <row r="15" spans="1:22" ht="15" customHeight="1" x14ac:dyDescent="0.35">
      <c r="A15" s="101" t="s">
        <v>1782</v>
      </c>
      <c r="C15" s="64">
        <f>-SUMIFS($F$55:$F$135,$C$55:$C$135,"1106-002",$D$55:$D$135,"K1",$E$55:$E$135,0)</f>
        <v>0</v>
      </c>
      <c r="D15" s="64">
        <f>-SUMIFS($H$55:$H$135,$C$55:$C$135,"1106-002",$D$55:$D$135,"K1",$G$55:$G$135,0)</f>
        <v>-0.12</v>
      </c>
      <c r="E15" s="64">
        <f t="shared" si="0"/>
        <v>-0.12</v>
      </c>
      <c r="F15" s="64">
        <f>-SUMIFS($F$55:$F$135,$C$55:$C$135,"1106-003",$D$55:$D$135,"K1",$E$55:$E$135,0)</f>
        <v>974522.72000000009</v>
      </c>
      <c r="G15" s="64">
        <f>-SUMIFS($H$55:$H$135,$C$55:$C$135,"1106-003",$D$55:$D$135,"K1",$G$55:$G$135,0)</f>
        <v>-717806.67999999993</v>
      </c>
      <c r="H15" s="64">
        <f t="shared" si="1"/>
        <v>-1692329.4</v>
      </c>
      <c r="I15" s="67" t="s">
        <v>1783</v>
      </c>
    </row>
    <row r="16" spans="1:22" ht="15" customHeight="1" x14ac:dyDescent="0.35">
      <c r="A16" s="101" t="s">
        <v>1784</v>
      </c>
      <c r="C16" s="64">
        <f>C13-C14-C15</f>
        <v>15383217.631598622</v>
      </c>
      <c r="D16" s="64">
        <f>D13-D14-D15</f>
        <v>5303487.8932441501</v>
      </c>
      <c r="E16" s="64">
        <f t="shared" si="0"/>
        <v>-10079729.738354471</v>
      </c>
      <c r="F16" s="64">
        <f>F13-F14-F15</f>
        <v>18768737.547480375</v>
      </c>
      <c r="G16" s="64">
        <f>G13-G14-G15</f>
        <v>3223229.7829560135</v>
      </c>
      <c r="H16" s="64">
        <f t="shared" si="1"/>
        <v>-15545507.764524361</v>
      </c>
      <c r="I16" s="67" t="s">
        <v>1785</v>
      </c>
    </row>
    <row r="17" spans="1:22" ht="15" customHeight="1" x14ac:dyDescent="0.35">
      <c r="A17" s="63" t="s">
        <v>1786</v>
      </c>
      <c r="C17" s="64">
        <f>-SUMIFS($F$55:$F$135,$C$55:$C$135,"1106-002",$D$55:$D$135,"K2")</f>
        <v>-317108830.29000002</v>
      </c>
      <c r="D17" s="64">
        <f>-SUMIFS($H$55:$H$135,$C$55:$C$135,"1106-002",$D$55:$D$135,"K2")</f>
        <v>-225691966.25</v>
      </c>
      <c r="E17" s="64">
        <f t="shared" si="0"/>
        <v>91416864.040000021</v>
      </c>
      <c r="F17" s="64">
        <f>-SUMIFS($F$55:$F$135,$C$55:$C$135,"1106-003",$D$55:$D$135,"K2")</f>
        <v>0</v>
      </c>
      <c r="G17" s="64">
        <f>-SUMIFS($H$55:$H$135,$C$55:$C$135,"1106-003",$D$55:$D$135,"K2")</f>
        <v>0</v>
      </c>
      <c r="H17" s="64">
        <f t="shared" si="1"/>
        <v>0</v>
      </c>
      <c r="I17" s="67" t="s">
        <v>1787</v>
      </c>
    </row>
    <row r="18" spans="1:22" ht="15" customHeight="1" x14ac:dyDescent="0.35">
      <c r="A18" s="63" t="s">
        <v>1788</v>
      </c>
      <c r="C18" s="64">
        <f>-SUMIFS($F$55:$F$135,$C$55:$C$135,"1106-002",$D$55:$D$135,"K3")</f>
        <v>-43740629.630000018</v>
      </c>
      <c r="D18" s="64">
        <f>-SUMIFS($H$55:$H$135,$C$55:$C$135,"1106-002",$D$55:$D$135,"K3")</f>
        <v>-25477604.849999994</v>
      </c>
      <c r="E18" s="64">
        <f t="shared" si="0"/>
        <v>18263024.780000024</v>
      </c>
      <c r="F18" s="64">
        <f>-SUMIFS($F$55:$F$135,$C$55:$C$135,"1106-003",$D$55:$D$135,"K3")</f>
        <v>0</v>
      </c>
      <c r="G18" s="64">
        <f>-SUMIFS($H$55:$H$135,$C$55:$C$135,"1106-003",$D$55:$D$135,"K3")</f>
        <v>0</v>
      </c>
      <c r="H18" s="64">
        <f t="shared" si="1"/>
        <v>0</v>
      </c>
      <c r="I18" s="67" t="s">
        <v>1789</v>
      </c>
    </row>
    <row r="19" spans="1:22" ht="15" customHeight="1" x14ac:dyDescent="0.35">
      <c r="A19" s="63" t="s">
        <v>1790</v>
      </c>
      <c r="C19" s="64">
        <f>-SUMIFS($F$55:$F$135,$C$55:$C$135,"1106-002",$D$55:$D$135,"K4")</f>
        <v>0</v>
      </c>
      <c r="D19" s="64">
        <f>-SUMIFS($H$55:$H$135,$C$55:$C$135,"1106-002",$D$55:$D$135,"K4")</f>
        <v>0</v>
      </c>
      <c r="E19" s="64">
        <f t="shared" si="0"/>
        <v>0</v>
      </c>
      <c r="F19" s="64">
        <f>-SUMIFS($F$55:$F$135,$C$55:$C$135,"1106-003",$D$55:$D$135,"K4")</f>
        <v>-273297125.51999998</v>
      </c>
      <c r="G19" s="64">
        <f>-SUMIFS($H$55:$H$135,$C$55:$C$135,"1106-003",$D$55:$D$135,"K4")</f>
        <v>-273056731.75</v>
      </c>
      <c r="H19" s="64">
        <f t="shared" si="1"/>
        <v>240393.76999998093</v>
      </c>
      <c r="I19" s="67" t="s">
        <v>1791</v>
      </c>
    </row>
    <row r="20" spans="1:22" ht="15" customHeight="1" x14ac:dyDescent="0.35">
      <c r="A20" s="63" t="s">
        <v>1792</v>
      </c>
      <c r="C20" s="64">
        <f>-SUMIFS($F$55:$F$135,$C$55:$C$135,"1106-002",$D$55:$D$135,"K5")</f>
        <v>0</v>
      </c>
      <c r="D20" s="64">
        <f>-SUMIFS($H$55:$H$135,$C$55:$C$135,"1106-002",$D$55:$D$135,"K5")</f>
        <v>0</v>
      </c>
      <c r="E20" s="64">
        <f t="shared" si="0"/>
        <v>0</v>
      </c>
      <c r="F20" s="64">
        <f>-SUMIFS($F$55:$F$135,$C$55:$C$135,"1106-003",$D$55:$D$135,"K5")</f>
        <v>-2695207.19</v>
      </c>
      <c r="G20" s="64">
        <f>-SUMIFS($H$55:$H$135,$C$55:$C$135,"1106-003",$D$55:$D$135,"K5")</f>
        <v>-2531861.3099999996</v>
      </c>
      <c r="H20" s="64">
        <f t="shared" si="1"/>
        <v>163345.88000000035</v>
      </c>
      <c r="I20" s="67" t="s">
        <v>1793</v>
      </c>
    </row>
    <row r="21" spans="1:22" ht="15" customHeight="1" x14ac:dyDescent="0.35">
      <c r="A21" s="63" t="s">
        <v>1794</v>
      </c>
      <c r="C21" s="64">
        <f>-SUMIFS($F$55:$F$135,$C$55:$C$135,"1106-002",$D$55:$D$135,"K6")</f>
        <v>0</v>
      </c>
      <c r="D21" s="64">
        <f>-SUMIFS($H$55:$H$135,$C$55:$C$135,"1106-002",$D$55:$D$135,"K6")</f>
        <v>0</v>
      </c>
      <c r="E21" s="64">
        <f t="shared" si="0"/>
        <v>0</v>
      </c>
      <c r="F21" s="64">
        <f>-SUMIFS($F$55:$F$135,$C$55:$C$135,"1106-003",$D$55:$D$135,"K6")</f>
        <v>0</v>
      </c>
      <c r="G21" s="64">
        <f>-SUMIFS($H$55:$H$135,$C$55:$C$135,"1106-003",$D$55:$D$135,"K6")</f>
        <v>0</v>
      </c>
      <c r="H21" s="64">
        <f t="shared" si="1"/>
        <v>0</v>
      </c>
      <c r="I21" s="67" t="s">
        <v>1795</v>
      </c>
    </row>
    <row r="22" spans="1:22" ht="15" customHeight="1" x14ac:dyDescent="0.35">
      <c r="A22" s="63" t="s">
        <v>1796</v>
      </c>
      <c r="C22" s="64">
        <f>-C9</f>
        <v>-12.920000076293945</v>
      </c>
      <c r="D22" s="64">
        <f>-D9</f>
        <v>-23.610000252723694</v>
      </c>
      <c r="E22" s="64">
        <f t="shared" si="0"/>
        <v>-10.690000176429749</v>
      </c>
      <c r="F22" s="64">
        <f>-F9</f>
        <v>717815.13999992609</v>
      </c>
      <c r="G22" s="64">
        <f>-G9</f>
        <v>717811.16999995708</v>
      </c>
      <c r="H22" s="64">
        <f t="shared" si="1"/>
        <v>-3.9699999690055847</v>
      </c>
      <c r="I22" s="67" t="s">
        <v>1797</v>
      </c>
    </row>
    <row r="23" spans="1:22" ht="15" customHeight="1" x14ac:dyDescent="0.35">
      <c r="A23" s="68" t="s">
        <v>1798</v>
      </c>
      <c r="B23" s="29"/>
      <c r="C23" s="70">
        <f>C13+SUM(C17:C22)</f>
        <v>-345466255.20840144</v>
      </c>
      <c r="D23" s="70">
        <f>D13+SUM(D17:D22)</f>
        <v>-245866106.9367561</v>
      </c>
      <c r="E23" s="70">
        <f t="shared" si="0"/>
        <v>99600148.271645337</v>
      </c>
      <c r="F23" s="70">
        <f>F13+SUM(F17:F22)</f>
        <v>-255531257.30251968</v>
      </c>
      <c r="G23" s="70">
        <f>G13+SUM(G17:G22)</f>
        <v>-272365358.78704405</v>
      </c>
      <c r="H23" s="70">
        <f t="shared" si="1"/>
        <v>-16834101.484524369</v>
      </c>
      <c r="I23" s="99"/>
    </row>
    <row r="24" spans="1:22" ht="15" customHeight="1" x14ac:dyDescent="0.35">
      <c r="A24" s="72" t="s">
        <v>1799</v>
      </c>
      <c r="C24" s="79">
        <f>C11-C23</f>
        <v>0</v>
      </c>
      <c r="D24" s="79">
        <f>D11-D23</f>
        <v>0</v>
      </c>
      <c r="E24" s="79">
        <f t="shared" si="0"/>
        <v>0</v>
      </c>
      <c r="F24" s="79">
        <f>F11-F23</f>
        <v>0</v>
      </c>
      <c r="G24" s="79">
        <f>G11-G23</f>
        <v>0</v>
      </c>
      <c r="H24" s="79">
        <f t="shared" si="1"/>
        <v>0</v>
      </c>
      <c r="I24" s="67" t="s">
        <v>1800</v>
      </c>
    </row>
    <row r="25" spans="1:22" ht="15" customHeight="1" x14ac:dyDescent="0.35">
      <c r="A25" s="101" t="s">
        <v>1801</v>
      </c>
      <c r="E25" s="79">
        <f>E11+H11</f>
        <v>82766046.787121058</v>
      </c>
      <c r="H25" s="47">
        <f>'REKON &amp; KONTROL'!$C$47*10^6</f>
        <v>82766046.787122041</v>
      </c>
      <c r="I25" s="67" t="s">
        <v>1802</v>
      </c>
    </row>
    <row r="27" spans="1:22" ht="15" customHeight="1" x14ac:dyDescent="0.35">
      <c r="A27" s="62" t="s">
        <v>1803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36" customHeight="1" x14ac:dyDescent="0.35">
      <c r="A28" s="19" t="s">
        <v>202</v>
      </c>
      <c r="B28" s="19"/>
      <c r="C28" s="20" t="s">
        <v>231</v>
      </c>
      <c r="D28" s="20" t="s">
        <v>50</v>
      </c>
      <c r="E28" s="20" t="s">
        <v>1804</v>
      </c>
      <c r="F28" s="20" t="s">
        <v>342</v>
      </c>
    </row>
    <row r="29" spans="1:22" ht="15" customHeight="1" x14ac:dyDescent="0.35">
      <c r="A29" s="72" t="s">
        <v>1805</v>
      </c>
      <c r="E29" s="33">
        <v>1000</v>
      </c>
      <c r="F29" s="67" t="s">
        <v>1806</v>
      </c>
    </row>
    <row r="30" spans="1:22" ht="15" customHeight="1" x14ac:dyDescent="0.35">
      <c r="A30" s="63" t="s">
        <v>1807</v>
      </c>
      <c r="C30" s="64">
        <f>E9</f>
        <v>10.690000176429749</v>
      </c>
      <c r="D30" s="92" t="str">
        <f t="shared" ref="D30:D38" si="2">IF(ISERROR(C30),"GAGAL",IF(ABS(C30)&lt;=$E$29,"LULUS","GAGAL"))</f>
        <v>LULUS</v>
      </c>
      <c r="E30" s="64">
        <f t="shared" ref="E30:E38" si="3">$E$29</f>
        <v>1000</v>
      </c>
      <c r="F30" s="67" t="s">
        <v>1808</v>
      </c>
    </row>
    <row r="31" spans="1:22" ht="15" customHeight="1" x14ac:dyDescent="0.35">
      <c r="A31" s="63" t="s">
        <v>1809</v>
      </c>
      <c r="C31" s="64">
        <f>H9</f>
        <v>3.9699999690055847</v>
      </c>
      <c r="D31" s="92" t="str">
        <f t="shared" si="2"/>
        <v>LULUS</v>
      </c>
      <c r="E31" s="64">
        <f t="shared" si="3"/>
        <v>1000</v>
      </c>
      <c r="F31" s="67"/>
    </row>
    <row r="32" spans="1:22" ht="15" customHeight="1" x14ac:dyDescent="0.35">
      <c r="A32" s="63" t="s">
        <v>1810</v>
      </c>
      <c r="C32" s="64">
        <f>SUMIFS($M$55:$M$135,$C$55:$C$135,"1106-002",$D$55:$D$135,"K1")-D10</f>
        <v>0</v>
      </c>
      <c r="D32" s="92" t="str">
        <f t="shared" si="2"/>
        <v>LULUS</v>
      </c>
      <c r="E32" s="64">
        <f t="shared" si="3"/>
        <v>1000</v>
      </c>
      <c r="F32" s="67" t="s">
        <v>1811</v>
      </c>
    </row>
    <row r="33" spans="1:22" ht="15" customHeight="1" x14ac:dyDescent="0.35">
      <c r="A33" s="63" t="s">
        <v>1812</v>
      </c>
      <c r="C33" s="64">
        <f>SUMIFS($M$55:$M$135,$C$55:$C$135,"1106-003",$D$55:$D$135,"K1")-G10</f>
        <v>0</v>
      </c>
      <c r="D33" s="92" t="str">
        <f t="shared" si="2"/>
        <v>LULUS</v>
      </c>
      <c r="E33" s="64">
        <f t="shared" si="3"/>
        <v>1000</v>
      </c>
      <c r="F33" s="67"/>
    </row>
    <row r="34" spans="1:22" ht="15" customHeight="1" x14ac:dyDescent="0.35">
      <c r="A34" s="63" t="s">
        <v>1813</v>
      </c>
      <c r="C34" s="64">
        <f>SUMIFS($K$55:$K$135,$C$55:$C$135,"1106-002",$D$55:$D$135,"K1")-C10</f>
        <v>0</v>
      </c>
      <c r="D34" s="92" t="str">
        <f t="shared" si="2"/>
        <v>LULUS</v>
      </c>
      <c r="E34" s="64">
        <f t="shared" si="3"/>
        <v>1000</v>
      </c>
      <c r="F34" s="67"/>
    </row>
    <row r="35" spans="1:22" ht="15" customHeight="1" x14ac:dyDescent="0.35">
      <c r="A35" s="63" t="s">
        <v>1814</v>
      </c>
      <c r="C35" s="64">
        <f>SUMIFS($K$55:$K$135,$C$55:$C$135,"1106-003",$D$55:$D$135,"K1")-F10</f>
        <v>0</v>
      </c>
      <c r="D35" s="92" t="str">
        <f t="shared" si="2"/>
        <v>LULUS</v>
      </c>
      <c r="E35" s="64">
        <f t="shared" si="3"/>
        <v>1000</v>
      </c>
      <c r="F35" s="67"/>
    </row>
    <row r="36" spans="1:22" ht="15" customHeight="1" x14ac:dyDescent="0.35">
      <c r="A36" s="63" t="s">
        <v>1815</v>
      </c>
      <c r="C36" s="64">
        <f>D24</f>
        <v>0</v>
      </c>
      <c r="D36" s="92" t="str">
        <f t="shared" si="2"/>
        <v>LULUS</v>
      </c>
      <c r="E36" s="64">
        <f t="shared" si="3"/>
        <v>1000</v>
      </c>
      <c r="F36" s="67"/>
    </row>
    <row r="37" spans="1:22" ht="15" customHeight="1" x14ac:dyDescent="0.35">
      <c r="A37" s="63" t="s">
        <v>1816</v>
      </c>
      <c r="C37" s="64">
        <f>G24</f>
        <v>0</v>
      </c>
      <c r="D37" s="92" t="str">
        <f t="shared" si="2"/>
        <v>LULUS</v>
      </c>
      <c r="E37" s="64">
        <f t="shared" si="3"/>
        <v>1000</v>
      </c>
      <c r="F37" s="67"/>
    </row>
    <row r="38" spans="1:22" ht="15" customHeight="1" x14ac:dyDescent="0.35">
      <c r="A38" s="63" t="s">
        <v>1817</v>
      </c>
      <c r="C38" s="64">
        <f>E25-H25</f>
        <v>-9.8347663879394531E-7</v>
      </c>
      <c r="D38" s="92" t="str">
        <f t="shared" si="2"/>
        <v>LULUS</v>
      </c>
      <c r="E38" s="64">
        <f t="shared" si="3"/>
        <v>1000</v>
      </c>
      <c r="F38" s="67" t="s">
        <v>1818</v>
      </c>
    </row>
    <row r="39" spans="1:22" ht="15" customHeight="1" x14ac:dyDescent="0.35">
      <c r="A39" s="63" t="s">
        <v>1819</v>
      </c>
      <c r="C39" s="64">
        <f>SUMPRODUCT(((($D$55:$D$135="K6")+($C$55:$C$135="?"))&gt;0)*((ABS($F$55:$F$135)+ABS($H$55:$H$135)+ABS($E$55:$E$135)+ABS($G$55:$G$135))&gt;0.005))</f>
        <v>0</v>
      </c>
      <c r="D39" s="92" t="str">
        <f>IF(ISERROR(C39),"GAGAL",IF(ABS(C39)&lt;=0.5,"LULUS","GAGAL"))</f>
        <v>LULUS</v>
      </c>
      <c r="E39" s="109" t="s">
        <v>1820</v>
      </c>
      <c r="F39" s="67" t="s">
        <v>1821</v>
      </c>
    </row>
    <row r="40" spans="1:22" ht="15" customHeight="1" x14ac:dyDescent="0.35">
      <c r="A40" s="63" t="s">
        <v>1822</v>
      </c>
      <c r="C40" s="64">
        <f>SUMPRODUCT(--ISERROR(A5:V39))+SUMPRODUCT(--ISERROR(A41:V136))</f>
        <v>0</v>
      </c>
      <c r="D40" s="92" t="str">
        <f>IF(ISERROR(C40),"GAGAL",IF(ABS(C40)&lt;=0.5,"LULUS","GAGAL"))</f>
        <v>LULUS</v>
      </c>
      <c r="E40" s="109" t="s">
        <v>1820</v>
      </c>
      <c r="F40" s="67" t="s">
        <v>1823</v>
      </c>
    </row>
    <row r="41" spans="1:22" ht="15" customHeight="1" x14ac:dyDescent="0.35">
      <c r="A41" s="63" t="s">
        <v>1824</v>
      </c>
      <c r="C41" s="64">
        <f>SUMPRODUCT(($R$55:$R$135&lt;&gt;0)*($G$55:$G$135&gt;0)*(ABS($S$55:$S$135)&gt;$E$41))</f>
        <v>0</v>
      </c>
      <c r="D41" s="92" t="str">
        <f>IF(ISERROR(C41),"GAGAL",IF(C41=0,"INFO","CEK"))</f>
        <v>INFO</v>
      </c>
      <c r="E41" s="95">
        <v>0.02</v>
      </c>
      <c r="F41" s="67" t="s">
        <v>1825</v>
      </c>
    </row>
    <row r="43" spans="1:22" ht="15" customHeight="1" x14ac:dyDescent="0.35">
      <c r="A43" s="62" t="s">
        <v>1826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5" customHeight="1" x14ac:dyDescent="0.35">
      <c r="A44" s="72" t="s">
        <v>1827</v>
      </c>
      <c r="B44" s="63" t="s">
        <v>1828</v>
      </c>
    </row>
    <row r="45" spans="1:22" ht="15" customHeight="1" x14ac:dyDescent="0.35">
      <c r="A45" s="72" t="s">
        <v>1829</v>
      </c>
      <c r="B45" s="63" t="s">
        <v>1830</v>
      </c>
    </row>
    <row r="46" spans="1:22" ht="15" customHeight="1" x14ac:dyDescent="0.35">
      <c r="A46" s="72" t="s">
        <v>1831</v>
      </c>
      <c r="B46" s="63" t="s">
        <v>1832</v>
      </c>
    </row>
    <row r="47" spans="1:22" ht="15" customHeight="1" x14ac:dyDescent="0.35">
      <c r="A47" s="72" t="s">
        <v>1833</v>
      </c>
      <c r="B47" s="63" t="s">
        <v>1834</v>
      </c>
    </row>
    <row r="48" spans="1:22" ht="15" customHeight="1" x14ac:dyDescent="0.35">
      <c r="A48" s="72" t="s">
        <v>1835</v>
      </c>
      <c r="B48" s="63" t="s">
        <v>1836</v>
      </c>
    </row>
    <row r="49" spans="1:22" ht="15" customHeight="1" x14ac:dyDescent="0.35">
      <c r="A49" s="72" t="s">
        <v>1837</v>
      </c>
      <c r="B49" s="63" t="s">
        <v>1838</v>
      </c>
    </row>
    <row r="50" spans="1:22" ht="60" customHeight="1" x14ac:dyDescent="0.35">
      <c r="A50" s="72" t="s">
        <v>29</v>
      </c>
      <c r="B50" s="1" t="s">
        <v>1839</v>
      </c>
      <c r="C50" s="1"/>
      <c r="D50" s="1"/>
      <c r="E50" s="1"/>
      <c r="F50" s="1"/>
      <c r="G50" s="1"/>
      <c r="H50" s="1"/>
      <c r="I50" s="1"/>
    </row>
    <row r="53" spans="1:22" ht="15" customHeight="1" x14ac:dyDescent="0.35">
      <c r="A53" s="62" t="s">
        <v>1840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36" customHeight="1" x14ac:dyDescent="0.35">
      <c r="A54" s="19" t="s">
        <v>901</v>
      </c>
      <c r="B54" s="19" t="s">
        <v>1841</v>
      </c>
      <c r="C54" s="20" t="s">
        <v>1842</v>
      </c>
      <c r="D54" s="20" t="s">
        <v>1843</v>
      </c>
      <c r="E54" s="20" t="s">
        <v>1844</v>
      </c>
      <c r="F54" s="20" t="s">
        <v>1845</v>
      </c>
      <c r="G54" s="20" t="s">
        <v>1846</v>
      </c>
      <c r="H54" s="20" t="s">
        <v>1847</v>
      </c>
      <c r="I54" s="20" t="s">
        <v>1848</v>
      </c>
      <c r="J54" s="20" t="s">
        <v>1849</v>
      </c>
      <c r="K54" s="20" t="s">
        <v>1850</v>
      </c>
      <c r="L54" s="20" t="s">
        <v>1851</v>
      </c>
      <c r="M54" s="20" t="s">
        <v>1852</v>
      </c>
      <c r="N54" s="20" t="s">
        <v>1853</v>
      </c>
      <c r="O54" s="20" t="s">
        <v>1854</v>
      </c>
      <c r="P54" s="20" t="s">
        <v>1855</v>
      </c>
      <c r="Q54" s="20" t="s">
        <v>1856</v>
      </c>
      <c r="R54" s="20" t="s">
        <v>1857</v>
      </c>
      <c r="S54" s="20" t="s">
        <v>1858</v>
      </c>
      <c r="T54" s="20" t="s">
        <v>74</v>
      </c>
      <c r="U54" s="20" t="s">
        <v>1859</v>
      </c>
      <c r="V54" s="20" t="s">
        <v>1860</v>
      </c>
    </row>
    <row r="55" spans="1:22" ht="15" customHeight="1" x14ac:dyDescent="0.35">
      <c r="A55" s="63" t="s">
        <v>1861</v>
      </c>
      <c r="B55" s="63" t="s">
        <v>1862</v>
      </c>
      <c r="C55" s="110" t="s">
        <v>1863</v>
      </c>
      <c r="D55" s="110" t="s">
        <v>1827</v>
      </c>
      <c r="E55" s="82">
        <v>357.5</v>
      </c>
      <c r="F55" s="33">
        <v>7404521.2699999996</v>
      </c>
      <c r="G55" s="82">
        <v>2172.5</v>
      </c>
      <c r="H55" s="33">
        <v>46681111.390000001</v>
      </c>
      <c r="I55" s="110" t="s">
        <v>1864</v>
      </c>
      <c r="J55" s="23">
        <f>FCC!$B$72</f>
        <v>357.5</v>
      </c>
      <c r="K55" s="47">
        <f>FCC!$E$72</f>
        <v>7910432.1863606405</v>
      </c>
      <c r="L55" s="23">
        <f>FCC!$B$79</f>
        <v>2172.5</v>
      </c>
      <c r="M55" s="47">
        <f>FCC!$E$79</f>
        <v>51984599.283244148</v>
      </c>
      <c r="N55" s="64">
        <f t="shared" ref="N55:N86" si="4">M55-H55</f>
        <v>5303487.8932441473</v>
      </c>
      <c r="O55" s="64">
        <f t="shared" ref="O55:O86" si="5">N55-(K55-F55)</f>
        <v>4797576.9768835064</v>
      </c>
      <c r="P55" s="64">
        <f t="shared" ref="P55:P86" si="6">IF(G55=0,0,H55/G55)</f>
        <v>21487.277970080551</v>
      </c>
      <c r="Q55" s="64">
        <f t="shared" ref="Q55:Q86" si="7">IF(L55=0,0,M55/L55)</f>
        <v>23928.469175256225</v>
      </c>
      <c r="R55" s="47">
        <f>IFERROR(FCC!$C$239/(FCC!$B$30-FCC!$B$33-FCC!$B$34),0)</f>
        <v>21489.80382676901</v>
      </c>
      <c r="S55" s="65">
        <f t="shared" ref="S55:S86" si="8">IF(OR(G55&lt;=0,R55=0),0,P55/R55-1)</f>
        <v>-1.1753744747133865E-4</v>
      </c>
      <c r="T55" s="67" t="s">
        <v>1865</v>
      </c>
      <c r="U55" s="64">
        <f t="shared" ref="U55:U86" si="9">IF(L55&lt;&gt;0,(L55-G55)*Q55,IF(G55=0,0,-H55))</f>
        <v>0</v>
      </c>
      <c r="V55" s="64">
        <f t="shared" ref="V55:V86" si="10">IF(J55&lt;&gt;0,(J55-E55)*K55/J55,IF(E55=0,0,-F55))</f>
        <v>0</v>
      </c>
    </row>
    <row r="56" spans="1:22" ht="15" customHeight="1" x14ac:dyDescent="0.35">
      <c r="A56" s="63" t="s">
        <v>1866</v>
      </c>
      <c r="B56" s="63" t="s">
        <v>1867</v>
      </c>
      <c r="C56" s="110" t="s">
        <v>1863</v>
      </c>
      <c r="D56" s="110" t="s">
        <v>1827</v>
      </c>
      <c r="E56" s="82">
        <v>0</v>
      </c>
      <c r="F56" s="33">
        <v>0</v>
      </c>
      <c r="G56" s="82">
        <v>0</v>
      </c>
      <c r="H56" s="33">
        <v>0</v>
      </c>
      <c r="I56" s="110" t="s">
        <v>1864</v>
      </c>
      <c r="J56" s="23">
        <f>UO!$B$66</f>
        <v>0</v>
      </c>
      <c r="K56" s="47">
        <f>UO!$E$66</f>
        <v>0</v>
      </c>
      <c r="L56" s="23">
        <f>UO!$B$73</f>
        <v>0</v>
      </c>
      <c r="M56" s="47">
        <f>UO!$E$73</f>
        <v>0</v>
      </c>
      <c r="N56" s="64">
        <f t="shared" si="4"/>
        <v>0</v>
      </c>
      <c r="O56" s="64">
        <f t="shared" si="5"/>
        <v>0</v>
      </c>
      <c r="P56" s="64">
        <f t="shared" si="6"/>
        <v>0</v>
      </c>
      <c r="Q56" s="64">
        <f t="shared" si="7"/>
        <v>0</v>
      </c>
      <c r="R56" s="47">
        <f>IFERROR(UO!$C$223/(UO!$B$28-UO!$B$31-UO!$B$32),0)</f>
        <v>28885.552302139826</v>
      </c>
      <c r="S56" s="65">
        <f t="shared" si="8"/>
        <v>0</v>
      </c>
      <c r="T56" s="67" t="s">
        <v>1868</v>
      </c>
      <c r="U56" s="64">
        <f t="shared" si="9"/>
        <v>0</v>
      </c>
      <c r="V56" s="64">
        <f t="shared" si="10"/>
        <v>0</v>
      </c>
    </row>
    <row r="57" spans="1:22" ht="15" customHeight="1" x14ac:dyDescent="0.35">
      <c r="A57" s="63" t="s">
        <v>1869</v>
      </c>
      <c r="B57" s="63" t="s">
        <v>1870</v>
      </c>
      <c r="C57" s="110" t="s">
        <v>1863</v>
      </c>
      <c r="D57" s="110" t="s">
        <v>1827</v>
      </c>
      <c r="E57" s="82">
        <v>4042.5</v>
      </c>
      <c r="F57" s="33">
        <v>125748778.92</v>
      </c>
      <c r="G57" s="82">
        <v>0</v>
      </c>
      <c r="H57" s="33">
        <v>0.12</v>
      </c>
      <c r="I57" s="110" t="s">
        <v>1864</v>
      </c>
      <c r="J57" s="23">
        <f>UU!$B$70</f>
        <v>4042.5</v>
      </c>
      <c r="K57" s="47">
        <f>UU!$E$70</f>
        <v>140626085.63523799</v>
      </c>
      <c r="L57" s="23">
        <f>UU!$B$77</f>
        <v>0</v>
      </c>
      <c r="M57" s="47">
        <f>UU!$E$77</f>
        <v>0</v>
      </c>
      <c r="N57" s="64">
        <f t="shared" si="4"/>
        <v>-0.12</v>
      </c>
      <c r="O57" s="64">
        <f t="shared" si="5"/>
        <v>-14877306.835237989</v>
      </c>
      <c r="P57" s="64">
        <f t="shared" si="6"/>
        <v>0</v>
      </c>
      <c r="Q57" s="64">
        <f t="shared" si="7"/>
        <v>0</v>
      </c>
      <c r="R57" s="47">
        <f>IFERROR(UU!$C$227/(UU!$B$32-UU!$B$35-UU!$B$36),0)</f>
        <v>30175.360456093902</v>
      </c>
      <c r="S57" s="65">
        <f t="shared" si="8"/>
        <v>0</v>
      </c>
      <c r="T57" s="67" t="s">
        <v>1871</v>
      </c>
      <c r="U57" s="64">
        <f t="shared" si="9"/>
        <v>0</v>
      </c>
      <c r="V57" s="64">
        <f t="shared" si="10"/>
        <v>0</v>
      </c>
    </row>
    <row r="58" spans="1:22" ht="15" customHeight="1" x14ac:dyDescent="0.35">
      <c r="A58" s="63" t="s">
        <v>1872</v>
      </c>
      <c r="B58" s="63" t="s">
        <v>302</v>
      </c>
      <c r="C58" s="110" t="s">
        <v>1863</v>
      </c>
      <c r="D58" s="110" t="s">
        <v>1829</v>
      </c>
      <c r="E58" s="82">
        <v>18374</v>
      </c>
      <c r="F58" s="33">
        <v>317108830.29000002</v>
      </c>
      <c r="G58" s="82">
        <v>12935</v>
      </c>
      <c r="H58" s="33">
        <v>225691966.25</v>
      </c>
      <c r="I58" s="110" t="s">
        <v>1864</v>
      </c>
      <c r="J58" s="64">
        <v>0</v>
      </c>
      <c r="K58" s="64">
        <v>0</v>
      </c>
      <c r="L58" s="64">
        <v>0</v>
      </c>
      <c r="M58" s="64">
        <v>0</v>
      </c>
      <c r="N58" s="64">
        <f t="shared" si="4"/>
        <v>-225691966.25</v>
      </c>
      <c r="O58" s="64">
        <f t="shared" si="5"/>
        <v>91416864.040000021</v>
      </c>
      <c r="P58" s="64">
        <f t="shared" si="6"/>
        <v>17448.161287205257</v>
      </c>
      <c r="Q58" s="64">
        <f t="shared" si="7"/>
        <v>0</v>
      </c>
      <c r="R58" s="64">
        <v>0</v>
      </c>
      <c r="S58" s="65">
        <f t="shared" si="8"/>
        <v>0</v>
      </c>
      <c r="T58" s="67" t="s">
        <v>1873</v>
      </c>
      <c r="U58" s="64">
        <f t="shared" si="9"/>
        <v>-225691966.25</v>
      </c>
      <c r="V58" s="64">
        <f t="shared" si="10"/>
        <v>-317108830.29000002</v>
      </c>
    </row>
    <row r="59" spans="1:22" ht="15" customHeight="1" x14ac:dyDescent="0.35">
      <c r="A59" s="63" t="s">
        <v>1874</v>
      </c>
      <c r="B59" s="63" t="s">
        <v>1875</v>
      </c>
      <c r="C59" s="110" t="s">
        <v>1863</v>
      </c>
      <c r="D59" s="110" t="s">
        <v>1831</v>
      </c>
      <c r="E59" s="82">
        <v>41.7</v>
      </c>
      <c r="F59" s="33">
        <v>1440742.65</v>
      </c>
      <c r="G59" s="82">
        <v>89</v>
      </c>
      <c r="H59" s="33">
        <v>2928343.71</v>
      </c>
      <c r="I59" s="110" t="s">
        <v>1864</v>
      </c>
      <c r="J59" s="64">
        <v>0</v>
      </c>
      <c r="K59" s="64">
        <v>0</v>
      </c>
      <c r="L59" s="64">
        <v>0</v>
      </c>
      <c r="M59" s="64">
        <v>0</v>
      </c>
      <c r="N59" s="64">
        <f t="shared" si="4"/>
        <v>-2928343.71</v>
      </c>
      <c r="O59" s="64">
        <f t="shared" si="5"/>
        <v>-1487601.06</v>
      </c>
      <c r="P59" s="64">
        <f t="shared" si="6"/>
        <v>32902.738314606744</v>
      </c>
      <c r="Q59" s="64">
        <f t="shared" si="7"/>
        <v>0</v>
      </c>
      <c r="R59" s="64">
        <v>0</v>
      </c>
      <c r="S59" s="65">
        <f t="shared" si="8"/>
        <v>0</v>
      </c>
      <c r="T59" s="67" t="s">
        <v>1876</v>
      </c>
      <c r="U59" s="64">
        <f t="shared" si="9"/>
        <v>-2928343.71</v>
      </c>
      <c r="V59" s="64">
        <f t="shared" si="10"/>
        <v>-1440742.65</v>
      </c>
    </row>
    <row r="60" spans="1:22" ht="15" customHeight="1" x14ac:dyDescent="0.35">
      <c r="A60" s="63" t="s">
        <v>1877</v>
      </c>
      <c r="B60" s="63" t="s">
        <v>1878</v>
      </c>
      <c r="C60" s="110" t="s">
        <v>1863</v>
      </c>
      <c r="D60" s="110" t="s">
        <v>1831</v>
      </c>
      <c r="E60" s="82">
        <v>5.6</v>
      </c>
      <c r="F60" s="33">
        <v>55292.39</v>
      </c>
      <c r="G60" s="82">
        <v>5.6</v>
      </c>
      <c r="H60" s="33">
        <v>55292.39</v>
      </c>
      <c r="I60" s="110" t="s">
        <v>1864</v>
      </c>
      <c r="J60" s="64">
        <v>0</v>
      </c>
      <c r="K60" s="64">
        <v>0</v>
      </c>
      <c r="L60" s="64">
        <v>0</v>
      </c>
      <c r="M60" s="64">
        <v>0</v>
      </c>
      <c r="N60" s="64">
        <f t="shared" si="4"/>
        <v>-55292.39</v>
      </c>
      <c r="O60" s="64">
        <f t="shared" si="5"/>
        <v>0</v>
      </c>
      <c r="P60" s="64">
        <f t="shared" si="6"/>
        <v>9873.6410714285721</v>
      </c>
      <c r="Q60" s="64">
        <f t="shared" si="7"/>
        <v>0</v>
      </c>
      <c r="R60" s="64">
        <v>0</v>
      </c>
      <c r="S60" s="65">
        <f t="shared" si="8"/>
        <v>0</v>
      </c>
      <c r="T60" s="67" t="s">
        <v>1879</v>
      </c>
      <c r="U60" s="64">
        <f t="shared" si="9"/>
        <v>-55292.39</v>
      </c>
      <c r="V60" s="64">
        <f t="shared" si="10"/>
        <v>-55292.39</v>
      </c>
    </row>
    <row r="61" spans="1:22" ht="15" customHeight="1" x14ac:dyDescent="0.35">
      <c r="A61" s="63" t="s">
        <v>1880</v>
      </c>
      <c r="B61" s="63" t="s">
        <v>1878</v>
      </c>
      <c r="C61" s="110" t="s">
        <v>1863</v>
      </c>
      <c r="D61" s="110" t="s">
        <v>1831</v>
      </c>
      <c r="E61" s="82">
        <v>22</v>
      </c>
      <c r="F61" s="33">
        <v>42791.58</v>
      </c>
      <c r="G61" s="82">
        <v>22</v>
      </c>
      <c r="H61" s="33">
        <v>42791.58</v>
      </c>
      <c r="I61" s="110" t="s">
        <v>1864</v>
      </c>
      <c r="J61" s="64">
        <v>0</v>
      </c>
      <c r="K61" s="64">
        <v>0</v>
      </c>
      <c r="L61" s="64">
        <v>0</v>
      </c>
      <c r="M61" s="64">
        <v>0</v>
      </c>
      <c r="N61" s="64">
        <f t="shared" si="4"/>
        <v>-42791.58</v>
      </c>
      <c r="O61" s="64">
        <f t="shared" si="5"/>
        <v>0</v>
      </c>
      <c r="P61" s="64">
        <f t="shared" si="6"/>
        <v>1945.0718181818183</v>
      </c>
      <c r="Q61" s="64">
        <f t="shared" si="7"/>
        <v>0</v>
      </c>
      <c r="R61" s="64">
        <v>0</v>
      </c>
      <c r="S61" s="65">
        <f t="shared" si="8"/>
        <v>0</v>
      </c>
      <c r="T61" s="67" t="s">
        <v>1881</v>
      </c>
      <c r="U61" s="64">
        <f t="shared" si="9"/>
        <v>-42791.58</v>
      </c>
      <c r="V61" s="64">
        <f t="shared" si="10"/>
        <v>-42791.58</v>
      </c>
    </row>
    <row r="62" spans="1:22" ht="15" customHeight="1" x14ac:dyDescent="0.35">
      <c r="A62" s="63" t="s">
        <v>1882</v>
      </c>
      <c r="B62" s="63" t="s">
        <v>637</v>
      </c>
      <c r="C62" s="110" t="s">
        <v>1863</v>
      </c>
      <c r="D62" s="110" t="s">
        <v>1831</v>
      </c>
      <c r="E62" s="82">
        <v>121</v>
      </c>
      <c r="F62" s="33">
        <v>60271.37</v>
      </c>
      <c r="G62" s="82">
        <v>72</v>
      </c>
      <c r="H62" s="33">
        <v>406071.73</v>
      </c>
      <c r="I62" s="110" t="s">
        <v>1864</v>
      </c>
      <c r="J62" s="64">
        <v>0</v>
      </c>
      <c r="K62" s="64">
        <v>0</v>
      </c>
      <c r="L62" s="64">
        <v>0</v>
      </c>
      <c r="M62" s="64">
        <v>0</v>
      </c>
      <c r="N62" s="64">
        <f t="shared" si="4"/>
        <v>-406071.73</v>
      </c>
      <c r="O62" s="64">
        <f t="shared" si="5"/>
        <v>-345800.36</v>
      </c>
      <c r="P62" s="64">
        <f t="shared" si="6"/>
        <v>5639.8851388888888</v>
      </c>
      <c r="Q62" s="64">
        <f t="shared" si="7"/>
        <v>0</v>
      </c>
      <c r="R62" s="64">
        <v>0</v>
      </c>
      <c r="S62" s="65">
        <f t="shared" si="8"/>
        <v>0</v>
      </c>
      <c r="T62" s="67" t="s">
        <v>1883</v>
      </c>
      <c r="U62" s="64">
        <f t="shared" si="9"/>
        <v>-406071.73</v>
      </c>
      <c r="V62" s="64">
        <f t="shared" si="10"/>
        <v>-60271.37</v>
      </c>
    </row>
    <row r="63" spans="1:22" ht="15" customHeight="1" x14ac:dyDescent="0.35">
      <c r="A63" s="63" t="s">
        <v>1884</v>
      </c>
      <c r="B63" s="63" t="s">
        <v>1878</v>
      </c>
      <c r="C63" s="110" t="s">
        <v>1863</v>
      </c>
      <c r="D63" s="110" t="s">
        <v>1831</v>
      </c>
      <c r="E63" s="82">
        <v>0.05</v>
      </c>
      <c r="F63" s="33">
        <v>17218.939999999999</v>
      </c>
      <c r="G63" s="82">
        <v>0.05</v>
      </c>
      <c r="H63" s="33">
        <v>17218.939999999999</v>
      </c>
      <c r="I63" s="110" t="s">
        <v>1864</v>
      </c>
      <c r="J63" s="64">
        <v>0</v>
      </c>
      <c r="K63" s="64">
        <v>0</v>
      </c>
      <c r="L63" s="64">
        <v>0</v>
      </c>
      <c r="M63" s="64">
        <v>0</v>
      </c>
      <c r="N63" s="64">
        <f t="shared" si="4"/>
        <v>-17218.939999999999</v>
      </c>
      <c r="O63" s="64">
        <f t="shared" si="5"/>
        <v>0</v>
      </c>
      <c r="P63" s="64">
        <f t="shared" si="6"/>
        <v>344378.79999999993</v>
      </c>
      <c r="Q63" s="64">
        <f t="shared" si="7"/>
        <v>0</v>
      </c>
      <c r="R63" s="64">
        <v>0</v>
      </c>
      <c r="S63" s="65">
        <f t="shared" si="8"/>
        <v>0</v>
      </c>
      <c r="T63" s="67" t="s">
        <v>1885</v>
      </c>
      <c r="U63" s="64">
        <f t="shared" si="9"/>
        <v>-17218.939999999999</v>
      </c>
      <c r="V63" s="64">
        <f t="shared" si="10"/>
        <v>-17218.939999999999</v>
      </c>
    </row>
    <row r="64" spans="1:22" ht="15" customHeight="1" x14ac:dyDescent="0.35">
      <c r="A64" s="63" t="s">
        <v>1886</v>
      </c>
      <c r="B64" s="63" t="s">
        <v>1887</v>
      </c>
      <c r="C64" s="110" t="s">
        <v>1863</v>
      </c>
      <c r="D64" s="110" t="s">
        <v>1831</v>
      </c>
      <c r="E64" s="82">
        <v>0</v>
      </c>
      <c r="F64" s="33">
        <v>-0.99</v>
      </c>
      <c r="G64" s="82">
        <v>0</v>
      </c>
      <c r="H64" s="33">
        <v>-0.99</v>
      </c>
      <c r="I64" s="110" t="s">
        <v>1864</v>
      </c>
      <c r="J64" s="64">
        <v>0</v>
      </c>
      <c r="K64" s="64">
        <v>0</v>
      </c>
      <c r="L64" s="64">
        <v>0</v>
      </c>
      <c r="M64" s="64">
        <v>0</v>
      </c>
      <c r="N64" s="64">
        <f t="shared" si="4"/>
        <v>0.99</v>
      </c>
      <c r="O64" s="64">
        <f t="shared" si="5"/>
        <v>0</v>
      </c>
      <c r="P64" s="64">
        <f t="shared" si="6"/>
        <v>0</v>
      </c>
      <c r="Q64" s="64">
        <f t="shared" si="7"/>
        <v>0</v>
      </c>
      <c r="R64" s="64">
        <v>0</v>
      </c>
      <c r="S64" s="65">
        <f t="shared" si="8"/>
        <v>0</v>
      </c>
      <c r="T64" s="67" t="s">
        <v>1888</v>
      </c>
      <c r="U64" s="64">
        <f t="shared" si="9"/>
        <v>0</v>
      </c>
      <c r="V64" s="64">
        <f t="shared" si="10"/>
        <v>0</v>
      </c>
    </row>
    <row r="65" spans="1:22" ht="15" customHeight="1" x14ac:dyDescent="0.35">
      <c r="A65" s="63" t="s">
        <v>1889</v>
      </c>
      <c r="B65" s="63" t="s">
        <v>1878</v>
      </c>
      <c r="C65" s="110" t="s">
        <v>1863</v>
      </c>
      <c r="D65" s="110" t="s">
        <v>1831</v>
      </c>
      <c r="E65" s="82">
        <v>5500</v>
      </c>
      <c r="F65" s="33">
        <v>2009601.76</v>
      </c>
      <c r="G65" s="82">
        <v>5500</v>
      </c>
      <c r="H65" s="33">
        <v>2009601.76</v>
      </c>
      <c r="I65" s="110" t="s">
        <v>1864</v>
      </c>
      <c r="J65" s="64">
        <v>0</v>
      </c>
      <c r="K65" s="64">
        <v>0</v>
      </c>
      <c r="L65" s="64">
        <v>0</v>
      </c>
      <c r="M65" s="64">
        <v>0</v>
      </c>
      <c r="N65" s="64">
        <f t="shared" si="4"/>
        <v>-2009601.76</v>
      </c>
      <c r="O65" s="64">
        <f t="shared" si="5"/>
        <v>0</v>
      </c>
      <c r="P65" s="64">
        <f t="shared" si="6"/>
        <v>365.38213818181816</v>
      </c>
      <c r="Q65" s="64">
        <f t="shared" si="7"/>
        <v>0</v>
      </c>
      <c r="R65" s="64">
        <v>0</v>
      </c>
      <c r="S65" s="65">
        <f t="shared" si="8"/>
        <v>0</v>
      </c>
      <c r="T65" s="67" t="s">
        <v>1890</v>
      </c>
      <c r="U65" s="64">
        <f t="shared" si="9"/>
        <v>-2009601.76</v>
      </c>
      <c r="V65" s="64">
        <f t="shared" si="10"/>
        <v>-2009601.76</v>
      </c>
    </row>
    <row r="66" spans="1:22" ht="15" customHeight="1" x14ac:dyDescent="0.35">
      <c r="A66" s="63" t="s">
        <v>1891</v>
      </c>
      <c r="B66" s="63" t="s">
        <v>1878</v>
      </c>
      <c r="C66" s="110" t="s">
        <v>1863</v>
      </c>
      <c r="D66" s="110" t="s">
        <v>1831</v>
      </c>
      <c r="E66" s="82">
        <v>110</v>
      </c>
      <c r="F66" s="33">
        <v>2529933.77</v>
      </c>
      <c r="G66" s="82">
        <v>110</v>
      </c>
      <c r="H66" s="33">
        <v>2529933.77</v>
      </c>
      <c r="I66" s="110" t="s">
        <v>1864</v>
      </c>
      <c r="J66" s="64">
        <v>0</v>
      </c>
      <c r="K66" s="64">
        <v>0</v>
      </c>
      <c r="L66" s="64">
        <v>0</v>
      </c>
      <c r="M66" s="64">
        <v>0</v>
      </c>
      <c r="N66" s="64">
        <f t="shared" si="4"/>
        <v>-2529933.77</v>
      </c>
      <c r="O66" s="64">
        <f t="shared" si="5"/>
        <v>0</v>
      </c>
      <c r="P66" s="64">
        <f t="shared" si="6"/>
        <v>22999.397909090909</v>
      </c>
      <c r="Q66" s="64">
        <f t="shared" si="7"/>
        <v>0</v>
      </c>
      <c r="R66" s="64">
        <v>0</v>
      </c>
      <c r="S66" s="65">
        <f t="shared" si="8"/>
        <v>0</v>
      </c>
      <c r="T66" s="67" t="s">
        <v>1892</v>
      </c>
      <c r="U66" s="64">
        <f t="shared" si="9"/>
        <v>-2529933.77</v>
      </c>
      <c r="V66" s="64">
        <f t="shared" si="10"/>
        <v>-2529933.77</v>
      </c>
    </row>
    <row r="67" spans="1:22" ht="15" customHeight="1" x14ac:dyDescent="0.35">
      <c r="A67" s="63" t="s">
        <v>1893</v>
      </c>
      <c r="B67" s="63" t="s">
        <v>1894</v>
      </c>
      <c r="C67" s="110" t="s">
        <v>1863</v>
      </c>
      <c r="D67" s="110" t="s">
        <v>1831</v>
      </c>
      <c r="E67" s="82">
        <v>125</v>
      </c>
      <c r="F67" s="33">
        <v>579827.19999999995</v>
      </c>
      <c r="G67" s="82">
        <v>125</v>
      </c>
      <c r="H67" s="33">
        <v>579823.64</v>
      </c>
      <c r="I67" s="110" t="s">
        <v>1864</v>
      </c>
      <c r="J67" s="64">
        <v>0</v>
      </c>
      <c r="K67" s="64">
        <v>0</v>
      </c>
      <c r="L67" s="64">
        <v>0</v>
      </c>
      <c r="M67" s="64">
        <v>0</v>
      </c>
      <c r="N67" s="64">
        <f t="shared" si="4"/>
        <v>-579823.64</v>
      </c>
      <c r="O67" s="64">
        <f t="shared" si="5"/>
        <v>3.559999999939464</v>
      </c>
      <c r="P67" s="64">
        <f t="shared" si="6"/>
        <v>4638.5891200000005</v>
      </c>
      <c r="Q67" s="64">
        <f t="shared" si="7"/>
        <v>0</v>
      </c>
      <c r="R67" s="64">
        <v>0</v>
      </c>
      <c r="S67" s="65">
        <f t="shared" si="8"/>
        <v>0</v>
      </c>
      <c r="T67" s="67" t="s">
        <v>1895</v>
      </c>
      <c r="U67" s="64">
        <f t="shared" si="9"/>
        <v>-579823.64</v>
      </c>
      <c r="V67" s="64">
        <f t="shared" si="10"/>
        <v>-579827.19999999995</v>
      </c>
    </row>
    <row r="68" spans="1:22" ht="15" customHeight="1" x14ac:dyDescent="0.35">
      <c r="A68" s="63" t="s">
        <v>1896</v>
      </c>
      <c r="B68" s="63" t="s">
        <v>1897</v>
      </c>
      <c r="C68" s="110" t="s">
        <v>1863</v>
      </c>
      <c r="D68" s="110" t="s">
        <v>1831</v>
      </c>
      <c r="E68" s="82">
        <v>515</v>
      </c>
      <c r="F68" s="33">
        <v>18214746.809999999</v>
      </c>
      <c r="G68" s="82">
        <v>304</v>
      </c>
      <c r="H68" s="33">
        <v>10523124.060000001</v>
      </c>
      <c r="I68" s="110" t="s">
        <v>1864</v>
      </c>
      <c r="J68" s="64">
        <v>0</v>
      </c>
      <c r="K68" s="64">
        <v>0</v>
      </c>
      <c r="L68" s="64">
        <v>0</v>
      </c>
      <c r="M68" s="64">
        <v>0</v>
      </c>
      <c r="N68" s="64">
        <f t="shared" si="4"/>
        <v>-10523124.060000001</v>
      </c>
      <c r="O68" s="64">
        <f t="shared" si="5"/>
        <v>7691622.7499999981</v>
      </c>
      <c r="P68" s="64">
        <f t="shared" si="6"/>
        <v>34615.539671052633</v>
      </c>
      <c r="Q68" s="64">
        <f t="shared" si="7"/>
        <v>0</v>
      </c>
      <c r="R68" s="64">
        <v>0</v>
      </c>
      <c r="S68" s="65">
        <f t="shared" si="8"/>
        <v>0</v>
      </c>
      <c r="T68" s="67" t="s">
        <v>1898</v>
      </c>
      <c r="U68" s="64">
        <f t="shared" si="9"/>
        <v>-10523124.060000001</v>
      </c>
      <c r="V68" s="64">
        <f t="shared" si="10"/>
        <v>-18214746.809999999</v>
      </c>
    </row>
    <row r="69" spans="1:22" ht="15" customHeight="1" x14ac:dyDescent="0.35">
      <c r="A69" s="63" t="s">
        <v>1899</v>
      </c>
      <c r="B69" s="63" t="s">
        <v>1900</v>
      </c>
      <c r="C69" s="110" t="s">
        <v>1863</v>
      </c>
      <c r="D69" s="110" t="s">
        <v>1831</v>
      </c>
      <c r="E69" s="82">
        <v>376</v>
      </c>
      <c r="F69" s="33">
        <v>12759636.4</v>
      </c>
      <c r="G69" s="82">
        <v>56</v>
      </c>
      <c r="H69" s="33">
        <v>1844061.74</v>
      </c>
      <c r="I69" s="110" t="s">
        <v>1864</v>
      </c>
      <c r="J69" s="64">
        <v>0</v>
      </c>
      <c r="K69" s="64">
        <v>0</v>
      </c>
      <c r="L69" s="64">
        <v>0</v>
      </c>
      <c r="M69" s="64">
        <v>0</v>
      </c>
      <c r="N69" s="64">
        <f t="shared" si="4"/>
        <v>-1844061.74</v>
      </c>
      <c r="O69" s="64">
        <f t="shared" si="5"/>
        <v>10915574.66</v>
      </c>
      <c r="P69" s="64">
        <f t="shared" si="6"/>
        <v>32929.673928571428</v>
      </c>
      <c r="Q69" s="64">
        <f t="shared" si="7"/>
        <v>0</v>
      </c>
      <c r="R69" s="64">
        <v>0</v>
      </c>
      <c r="S69" s="65">
        <f t="shared" si="8"/>
        <v>0</v>
      </c>
      <c r="T69" s="67" t="s">
        <v>1901</v>
      </c>
      <c r="U69" s="64">
        <f t="shared" si="9"/>
        <v>-1844061.74</v>
      </c>
      <c r="V69" s="64">
        <f t="shared" si="10"/>
        <v>-12759636.4</v>
      </c>
    </row>
    <row r="70" spans="1:22" ht="15" customHeight="1" x14ac:dyDescent="0.35">
      <c r="A70" s="63" t="s">
        <v>1902</v>
      </c>
      <c r="B70" s="63" t="s">
        <v>1903</v>
      </c>
      <c r="C70" s="110" t="s">
        <v>1863</v>
      </c>
      <c r="D70" s="110" t="s">
        <v>1831</v>
      </c>
      <c r="E70" s="82">
        <v>11.25</v>
      </c>
      <c r="F70" s="33">
        <v>269247.07</v>
      </c>
      <c r="G70" s="82">
        <v>3.75</v>
      </c>
      <c r="H70" s="33">
        <v>89872.97</v>
      </c>
      <c r="I70" s="110" t="s">
        <v>1864</v>
      </c>
      <c r="J70" s="64">
        <v>0</v>
      </c>
      <c r="K70" s="64">
        <v>0</v>
      </c>
      <c r="L70" s="64">
        <v>0</v>
      </c>
      <c r="M70" s="64">
        <v>0</v>
      </c>
      <c r="N70" s="64">
        <f t="shared" si="4"/>
        <v>-89872.97</v>
      </c>
      <c r="O70" s="64">
        <f t="shared" si="5"/>
        <v>179374.1</v>
      </c>
      <c r="P70" s="64">
        <f t="shared" si="6"/>
        <v>23966.125333333333</v>
      </c>
      <c r="Q70" s="64">
        <f t="shared" si="7"/>
        <v>0</v>
      </c>
      <c r="R70" s="64">
        <v>0</v>
      </c>
      <c r="S70" s="65">
        <f t="shared" si="8"/>
        <v>0</v>
      </c>
      <c r="T70" s="67" t="s">
        <v>1904</v>
      </c>
      <c r="U70" s="64">
        <f t="shared" si="9"/>
        <v>-89872.97</v>
      </c>
      <c r="V70" s="64">
        <f t="shared" si="10"/>
        <v>-269247.07</v>
      </c>
    </row>
    <row r="71" spans="1:22" ht="15" customHeight="1" x14ac:dyDescent="0.35">
      <c r="A71" s="63" t="s">
        <v>1905</v>
      </c>
      <c r="B71" s="63" t="s">
        <v>1906</v>
      </c>
      <c r="C71" s="110" t="s">
        <v>1863</v>
      </c>
      <c r="D71" s="110" t="s">
        <v>1831</v>
      </c>
      <c r="E71" s="82">
        <v>100</v>
      </c>
      <c r="F71" s="33">
        <v>964768.69</v>
      </c>
      <c r="G71" s="82">
        <v>0</v>
      </c>
      <c r="H71" s="33">
        <v>-0.17</v>
      </c>
      <c r="I71" s="110" t="s">
        <v>1864</v>
      </c>
      <c r="J71" s="64">
        <v>0</v>
      </c>
      <c r="K71" s="64">
        <v>0</v>
      </c>
      <c r="L71" s="64">
        <v>0</v>
      </c>
      <c r="M71" s="64">
        <v>0</v>
      </c>
      <c r="N71" s="64">
        <f t="shared" si="4"/>
        <v>0.17</v>
      </c>
      <c r="O71" s="64">
        <f t="shared" si="5"/>
        <v>964768.86</v>
      </c>
      <c r="P71" s="64">
        <f t="shared" si="6"/>
        <v>0</v>
      </c>
      <c r="Q71" s="64">
        <f t="shared" si="7"/>
        <v>0</v>
      </c>
      <c r="R71" s="64">
        <v>0</v>
      </c>
      <c r="S71" s="65">
        <f t="shared" si="8"/>
        <v>0</v>
      </c>
      <c r="T71" s="67" t="s">
        <v>1907</v>
      </c>
      <c r="U71" s="64">
        <f t="shared" si="9"/>
        <v>0</v>
      </c>
      <c r="V71" s="64">
        <f t="shared" si="10"/>
        <v>-964768.69</v>
      </c>
    </row>
    <row r="72" spans="1:22" ht="15" customHeight="1" x14ac:dyDescent="0.35">
      <c r="A72" s="63" t="s">
        <v>1908</v>
      </c>
      <c r="B72" s="63" t="s">
        <v>1909</v>
      </c>
      <c r="C72" s="110" t="s">
        <v>1863</v>
      </c>
      <c r="D72" s="110" t="s">
        <v>1831</v>
      </c>
      <c r="E72" s="82">
        <v>2</v>
      </c>
      <c r="F72" s="33">
        <v>152026.14000000001</v>
      </c>
      <c r="G72" s="82">
        <v>1.29</v>
      </c>
      <c r="H72" s="33">
        <v>99293.5</v>
      </c>
      <c r="I72" s="110" t="s">
        <v>1864</v>
      </c>
      <c r="J72" s="64">
        <v>0</v>
      </c>
      <c r="K72" s="64">
        <v>0</v>
      </c>
      <c r="L72" s="64">
        <v>0</v>
      </c>
      <c r="M72" s="64">
        <v>0</v>
      </c>
      <c r="N72" s="64">
        <f t="shared" si="4"/>
        <v>-99293.5</v>
      </c>
      <c r="O72" s="64">
        <f t="shared" si="5"/>
        <v>52732.640000000014</v>
      </c>
      <c r="P72" s="64">
        <f t="shared" si="6"/>
        <v>76971.705426356581</v>
      </c>
      <c r="Q72" s="64">
        <f t="shared" si="7"/>
        <v>0</v>
      </c>
      <c r="R72" s="64">
        <v>0</v>
      </c>
      <c r="S72" s="65">
        <f t="shared" si="8"/>
        <v>0</v>
      </c>
      <c r="T72" s="67" t="s">
        <v>1910</v>
      </c>
      <c r="U72" s="64">
        <f t="shared" si="9"/>
        <v>-99293.5</v>
      </c>
      <c r="V72" s="64">
        <f t="shared" si="10"/>
        <v>-152026.14000000001</v>
      </c>
    </row>
    <row r="73" spans="1:22" ht="15" customHeight="1" x14ac:dyDescent="0.35">
      <c r="A73" s="63" t="s">
        <v>1911</v>
      </c>
      <c r="B73" s="63" t="s">
        <v>1912</v>
      </c>
      <c r="C73" s="110" t="s">
        <v>1863</v>
      </c>
      <c r="D73" s="110" t="s">
        <v>1831</v>
      </c>
      <c r="E73" s="82">
        <v>2.6</v>
      </c>
      <c r="F73" s="33">
        <v>197454.07999999999</v>
      </c>
      <c r="G73" s="82">
        <v>1.35</v>
      </c>
      <c r="H73" s="33">
        <v>102793.27</v>
      </c>
      <c r="I73" s="110" t="s">
        <v>1864</v>
      </c>
      <c r="J73" s="64">
        <v>0</v>
      </c>
      <c r="K73" s="64">
        <v>0</v>
      </c>
      <c r="L73" s="64">
        <v>0</v>
      </c>
      <c r="M73" s="64">
        <v>0</v>
      </c>
      <c r="N73" s="64">
        <f t="shared" si="4"/>
        <v>-102793.27</v>
      </c>
      <c r="O73" s="64">
        <f t="shared" si="5"/>
        <v>94660.809999999983</v>
      </c>
      <c r="P73" s="64">
        <f t="shared" si="6"/>
        <v>76143.162962962961</v>
      </c>
      <c r="Q73" s="64">
        <f t="shared" si="7"/>
        <v>0</v>
      </c>
      <c r="R73" s="64">
        <v>0</v>
      </c>
      <c r="S73" s="65">
        <f t="shared" si="8"/>
        <v>0</v>
      </c>
      <c r="T73" s="67" t="s">
        <v>1913</v>
      </c>
      <c r="U73" s="64">
        <f t="shared" si="9"/>
        <v>-102793.27</v>
      </c>
      <c r="V73" s="64">
        <f t="shared" si="10"/>
        <v>-197454.07999999999</v>
      </c>
    </row>
    <row r="74" spans="1:22" ht="15" customHeight="1" x14ac:dyDescent="0.35">
      <c r="A74" s="63" t="s">
        <v>1914</v>
      </c>
      <c r="B74" s="63" t="s">
        <v>1915</v>
      </c>
      <c r="C74" s="110" t="s">
        <v>1863</v>
      </c>
      <c r="D74" s="110" t="s">
        <v>1831</v>
      </c>
      <c r="E74" s="82">
        <v>5</v>
      </c>
      <c r="F74" s="33">
        <v>362496.99</v>
      </c>
      <c r="G74" s="82">
        <v>1.85</v>
      </c>
      <c r="H74" s="33">
        <v>134123.89000000001</v>
      </c>
      <c r="I74" s="110" t="s">
        <v>1864</v>
      </c>
      <c r="J74" s="64">
        <v>0</v>
      </c>
      <c r="K74" s="64">
        <v>0</v>
      </c>
      <c r="L74" s="64">
        <v>0</v>
      </c>
      <c r="M74" s="64">
        <v>0</v>
      </c>
      <c r="N74" s="64">
        <f t="shared" si="4"/>
        <v>-134123.89000000001</v>
      </c>
      <c r="O74" s="64">
        <f t="shared" si="5"/>
        <v>228373.09999999998</v>
      </c>
      <c r="P74" s="64">
        <f t="shared" si="6"/>
        <v>72499.400000000009</v>
      </c>
      <c r="Q74" s="64">
        <f t="shared" si="7"/>
        <v>0</v>
      </c>
      <c r="R74" s="64">
        <v>0</v>
      </c>
      <c r="S74" s="65">
        <f t="shared" si="8"/>
        <v>0</v>
      </c>
      <c r="T74" s="67" t="s">
        <v>1916</v>
      </c>
      <c r="U74" s="64">
        <f t="shared" si="9"/>
        <v>-134123.89000000001</v>
      </c>
      <c r="V74" s="64">
        <f t="shared" si="10"/>
        <v>-362496.99</v>
      </c>
    </row>
    <row r="75" spans="1:22" ht="15" customHeight="1" x14ac:dyDescent="0.35">
      <c r="A75" s="63" t="s">
        <v>1917</v>
      </c>
      <c r="B75" s="63" t="s">
        <v>1918</v>
      </c>
      <c r="C75" s="110" t="s">
        <v>1863</v>
      </c>
      <c r="D75" s="110" t="s">
        <v>1831</v>
      </c>
      <c r="E75" s="82">
        <v>2.87</v>
      </c>
      <c r="F75" s="33">
        <v>113232.81</v>
      </c>
      <c r="G75" s="82">
        <v>7.8</v>
      </c>
      <c r="H75" s="33">
        <v>307599.53000000003</v>
      </c>
      <c r="I75" s="110" t="s">
        <v>1864</v>
      </c>
      <c r="J75" s="64">
        <v>0</v>
      </c>
      <c r="K75" s="64">
        <v>0</v>
      </c>
      <c r="L75" s="64">
        <v>0</v>
      </c>
      <c r="M75" s="64">
        <v>0</v>
      </c>
      <c r="N75" s="64">
        <f t="shared" si="4"/>
        <v>-307599.53000000003</v>
      </c>
      <c r="O75" s="64">
        <f t="shared" si="5"/>
        <v>-194366.72000000003</v>
      </c>
      <c r="P75" s="64">
        <f t="shared" si="6"/>
        <v>39435.837179487185</v>
      </c>
      <c r="Q75" s="64">
        <f t="shared" si="7"/>
        <v>0</v>
      </c>
      <c r="R75" s="64">
        <v>0</v>
      </c>
      <c r="S75" s="65">
        <f t="shared" si="8"/>
        <v>0</v>
      </c>
      <c r="T75" s="67" t="s">
        <v>1919</v>
      </c>
      <c r="U75" s="64">
        <f t="shared" si="9"/>
        <v>-307599.53000000003</v>
      </c>
      <c r="V75" s="64">
        <f t="shared" si="10"/>
        <v>-113232.81</v>
      </c>
    </row>
    <row r="76" spans="1:22" ht="15" customHeight="1" x14ac:dyDescent="0.35">
      <c r="A76" s="63" t="s">
        <v>1920</v>
      </c>
      <c r="B76" s="63" t="s">
        <v>1921</v>
      </c>
      <c r="C76" s="110" t="s">
        <v>1863</v>
      </c>
      <c r="D76" s="110" t="s">
        <v>1831</v>
      </c>
      <c r="E76" s="82">
        <v>35</v>
      </c>
      <c r="F76" s="33">
        <v>62379.72</v>
      </c>
      <c r="G76" s="82">
        <v>5</v>
      </c>
      <c r="H76" s="33">
        <v>8907.82</v>
      </c>
      <c r="I76" s="110" t="s">
        <v>1864</v>
      </c>
      <c r="J76" s="64">
        <v>0</v>
      </c>
      <c r="K76" s="64">
        <v>0</v>
      </c>
      <c r="L76" s="64">
        <v>0</v>
      </c>
      <c r="M76" s="64">
        <v>0</v>
      </c>
      <c r="N76" s="64">
        <f t="shared" si="4"/>
        <v>-8907.82</v>
      </c>
      <c r="O76" s="64">
        <f t="shared" si="5"/>
        <v>53471.9</v>
      </c>
      <c r="P76" s="64">
        <f t="shared" si="6"/>
        <v>1781.5639999999999</v>
      </c>
      <c r="Q76" s="64">
        <f t="shared" si="7"/>
        <v>0</v>
      </c>
      <c r="R76" s="64">
        <v>0</v>
      </c>
      <c r="S76" s="65">
        <f t="shared" si="8"/>
        <v>0</v>
      </c>
      <c r="T76" s="67" t="s">
        <v>1922</v>
      </c>
      <c r="U76" s="64">
        <f t="shared" si="9"/>
        <v>-8907.82</v>
      </c>
      <c r="V76" s="64">
        <f t="shared" si="10"/>
        <v>-62379.72</v>
      </c>
    </row>
    <row r="77" spans="1:22" ht="15" customHeight="1" x14ac:dyDescent="0.35">
      <c r="A77" s="63" t="s">
        <v>1923</v>
      </c>
      <c r="B77" s="63" t="s">
        <v>1878</v>
      </c>
      <c r="C77" s="110" t="s">
        <v>1863</v>
      </c>
      <c r="D77" s="110" t="s">
        <v>1831</v>
      </c>
      <c r="E77" s="82">
        <v>0</v>
      </c>
      <c r="F77" s="33">
        <v>0.02</v>
      </c>
      <c r="G77" s="82">
        <v>0</v>
      </c>
      <c r="H77" s="33">
        <v>0.02</v>
      </c>
      <c r="I77" s="110" t="s">
        <v>1864</v>
      </c>
      <c r="J77" s="64">
        <v>0</v>
      </c>
      <c r="K77" s="64">
        <v>0</v>
      </c>
      <c r="L77" s="64">
        <v>0</v>
      </c>
      <c r="M77" s="64">
        <v>0</v>
      </c>
      <c r="N77" s="64">
        <f t="shared" si="4"/>
        <v>-0.02</v>
      </c>
      <c r="O77" s="64">
        <f t="shared" si="5"/>
        <v>0</v>
      </c>
      <c r="P77" s="64">
        <f t="shared" si="6"/>
        <v>0</v>
      </c>
      <c r="Q77" s="64">
        <f t="shared" si="7"/>
        <v>0</v>
      </c>
      <c r="R77" s="64">
        <v>0</v>
      </c>
      <c r="S77" s="65">
        <f t="shared" si="8"/>
        <v>0</v>
      </c>
      <c r="T77" s="67" t="s">
        <v>1924</v>
      </c>
      <c r="U77" s="64">
        <f t="shared" si="9"/>
        <v>0</v>
      </c>
      <c r="V77" s="64">
        <f t="shared" si="10"/>
        <v>0</v>
      </c>
    </row>
    <row r="78" spans="1:22" ht="15" customHeight="1" x14ac:dyDescent="0.35">
      <c r="A78" s="63" t="s">
        <v>1925</v>
      </c>
      <c r="B78" s="63" t="s">
        <v>1926</v>
      </c>
      <c r="C78" s="110" t="s">
        <v>1863</v>
      </c>
      <c r="D78" s="110" t="s">
        <v>1831</v>
      </c>
      <c r="E78" s="82">
        <v>567</v>
      </c>
      <c r="F78" s="33">
        <v>0</v>
      </c>
      <c r="G78" s="82">
        <v>0</v>
      </c>
      <c r="H78" s="33">
        <v>0</v>
      </c>
      <c r="I78" s="110" t="s">
        <v>1864</v>
      </c>
      <c r="J78" s="64">
        <v>0</v>
      </c>
      <c r="K78" s="64">
        <v>0</v>
      </c>
      <c r="L78" s="64">
        <v>0</v>
      </c>
      <c r="M78" s="64">
        <v>0</v>
      </c>
      <c r="N78" s="64">
        <f t="shared" si="4"/>
        <v>0</v>
      </c>
      <c r="O78" s="64">
        <f t="shared" si="5"/>
        <v>0</v>
      </c>
      <c r="P78" s="64">
        <f t="shared" si="6"/>
        <v>0</v>
      </c>
      <c r="Q78" s="64">
        <f t="shared" si="7"/>
        <v>0</v>
      </c>
      <c r="R78" s="64">
        <v>0</v>
      </c>
      <c r="S78" s="65">
        <f t="shared" si="8"/>
        <v>0</v>
      </c>
      <c r="T78" s="67" t="s">
        <v>1927</v>
      </c>
      <c r="U78" s="64">
        <f t="shared" si="9"/>
        <v>0</v>
      </c>
      <c r="V78" s="64">
        <f t="shared" si="10"/>
        <v>0</v>
      </c>
    </row>
    <row r="79" spans="1:22" ht="15" customHeight="1" x14ac:dyDescent="0.35">
      <c r="A79" s="63" t="s">
        <v>1928</v>
      </c>
      <c r="B79" s="63" t="s">
        <v>1878</v>
      </c>
      <c r="C79" s="110" t="s">
        <v>1863</v>
      </c>
      <c r="D79" s="110" t="s">
        <v>1831</v>
      </c>
      <c r="E79" s="82">
        <v>0</v>
      </c>
      <c r="F79" s="33">
        <v>-0.15</v>
      </c>
      <c r="G79" s="82">
        <v>0</v>
      </c>
      <c r="H79" s="33">
        <v>-0.15</v>
      </c>
      <c r="I79" s="110" t="s">
        <v>1864</v>
      </c>
      <c r="J79" s="64">
        <v>0</v>
      </c>
      <c r="K79" s="64">
        <v>0</v>
      </c>
      <c r="L79" s="64">
        <v>0</v>
      </c>
      <c r="M79" s="64">
        <v>0</v>
      </c>
      <c r="N79" s="64">
        <f t="shared" si="4"/>
        <v>0.15</v>
      </c>
      <c r="O79" s="64">
        <f t="shared" si="5"/>
        <v>0</v>
      </c>
      <c r="P79" s="64">
        <f t="shared" si="6"/>
        <v>0</v>
      </c>
      <c r="Q79" s="64">
        <f t="shared" si="7"/>
        <v>0</v>
      </c>
      <c r="R79" s="64">
        <v>0</v>
      </c>
      <c r="S79" s="65">
        <f t="shared" si="8"/>
        <v>0</v>
      </c>
      <c r="T79" s="67" t="s">
        <v>1929</v>
      </c>
      <c r="U79" s="64">
        <f t="shared" si="9"/>
        <v>0</v>
      </c>
      <c r="V79" s="64">
        <f t="shared" si="10"/>
        <v>0</v>
      </c>
    </row>
    <row r="80" spans="1:22" ht="15" customHeight="1" x14ac:dyDescent="0.35">
      <c r="A80" s="63" t="s">
        <v>1930</v>
      </c>
      <c r="B80" s="63" t="s">
        <v>1878</v>
      </c>
      <c r="C80" s="110" t="s">
        <v>1863</v>
      </c>
      <c r="D80" s="110" t="s">
        <v>1831</v>
      </c>
      <c r="E80" s="82">
        <v>0</v>
      </c>
      <c r="F80" s="33">
        <v>0.09</v>
      </c>
      <c r="G80" s="82">
        <v>0</v>
      </c>
      <c r="H80" s="33">
        <v>0.09</v>
      </c>
      <c r="I80" s="110" t="s">
        <v>1864</v>
      </c>
      <c r="J80" s="64">
        <v>0</v>
      </c>
      <c r="K80" s="64">
        <v>0</v>
      </c>
      <c r="L80" s="64">
        <v>0</v>
      </c>
      <c r="M80" s="64">
        <v>0</v>
      </c>
      <c r="N80" s="64">
        <f t="shared" si="4"/>
        <v>-0.09</v>
      </c>
      <c r="O80" s="64">
        <f t="shared" si="5"/>
        <v>0</v>
      </c>
      <c r="P80" s="64">
        <f t="shared" si="6"/>
        <v>0</v>
      </c>
      <c r="Q80" s="64">
        <f t="shared" si="7"/>
        <v>0</v>
      </c>
      <c r="R80" s="64">
        <v>0</v>
      </c>
      <c r="S80" s="65">
        <f t="shared" si="8"/>
        <v>0</v>
      </c>
      <c r="T80" s="67" t="s">
        <v>1931</v>
      </c>
      <c r="U80" s="64">
        <f t="shared" si="9"/>
        <v>0</v>
      </c>
      <c r="V80" s="64">
        <f t="shared" si="10"/>
        <v>0</v>
      </c>
    </row>
    <row r="81" spans="1:22" ht="15" customHeight="1" x14ac:dyDescent="0.35">
      <c r="A81" s="63" t="s">
        <v>1932</v>
      </c>
      <c r="B81" s="63" t="s">
        <v>756</v>
      </c>
      <c r="C81" s="110" t="s">
        <v>1863</v>
      </c>
      <c r="D81" s="110" t="s">
        <v>1831</v>
      </c>
      <c r="E81" s="82">
        <v>5.35</v>
      </c>
      <c r="F81" s="33">
        <v>215093.96</v>
      </c>
      <c r="G81" s="82">
        <v>3.6</v>
      </c>
      <c r="H81" s="33">
        <v>144778.65</v>
      </c>
      <c r="I81" s="110" t="s">
        <v>1864</v>
      </c>
      <c r="J81" s="64">
        <v>0</v>
      </c>
      <c r="K81" s="64">
        <v>0</v>
      </c>
      <c r="L81" s="64">
        <v>0</v>
      </c>
      <c r="M81" s="64">
        <v>0</v>
      </c>
      <c r="N81" s="64">
        <f t="shared" si="4"/>
        <v>-144778.65</v>
      </c>
      <c r="O81" s="64">
        <f t="shared" si="5"/>
        <v>70315.31</v>
      </c>
      <c r="P81" s="64">
        <f t="shared" si="6"/>
        <v>40216.291666666664</v>
      </c>
      <c r="Q81" s="64">
        <f t="shared" si="7"/>
        <v>0</v>
      </c>
      <c r="R81" s="64">
        <v>0</v>
      </c>
      <c r="S81" s="65">
        <f t="shared" si="8"/>
        <v>0</v>
      </c>
      <c r="T81" s="67" t="s">
        <v>1933</v>
      </c>
      <c r="U81" s="64">
        <f t="shared" si="9"/>
        <v>-144778.65</v>
      </c>
      <c r="V81" s="64">
        <f t="shared" si="10"/>
        <v>-215093.96</v>
      </c>
    </row>
    <row r="82" spans="1:22" ht="15" customHeight="1" x14ac:dyDescent="0.35">
      <c r="A82" s="63" t="s">
        <v>1934</v>
      </c>
      <c r="B82" s="63" t="s">
        <v>1878</v>
      </c>
      <c r="C82" s="110" t="s">
        <v>1863</v>
      </c>
      <c r="D82" s="110" t="s">
        <v>1831</v>
      </c>
      <c r="E82" s="82">
        <v>0</v>
      </c>
      <c r="F82" s="33">
        <v>0.02</v>
      </c>
      <c r="G82" s="82">
        <v>0</v>
      </c>
      <c r="H82" s="33">
        <v>0.02</v>
      </c>
      <c r="I82" s="110" t="s">
        <v>1864</v>
      </c>
      <c r="J82" s="64">
        <v>0</v>
      </c>
      <c r="K82" s="64">
        <v>0</v>
      </c>
      <c r="L82" s="64">
        <v>0</v>
      </c>
      <c r="M82" s="64">
        <v>0</v>
      </c>
      <c r="N82" s="64">
        <f t="shared" si="4"/>
        <v>-0.02</v>
      </c>
      <c r="O82" s="64">
        <f t="shared" si="5"/>
        <v>0</v>
      </c>
      <c r="P82" s="64">
        <f t="shared" si="6"/>
        <v>0</v>
      </c>
      <c r="Q82" s="64">
        <f t="shared" si="7"/>
        <v>0</v>
      </c>
      <c r="R82" s="64">
        <v>0</v>
      </c>
      <c r="S82" s="65">
        <f t="shared" si="8"/>
        <v>0</v>
      </c>
      <c r="T82" s="67" t="s">
        <v>1935</v>
      </c>
      <c r="U82" s="64">
        <f t="shared" si="9"/>
        <v>0</v>
      </c>
      <c r="V82" s="64">
        <f t="shared" si="10"/>
        <v>0</v>
      </c>
    </row>
    <row r="83" spans="1:22" ht="15" customHeight="1" x14ac:dyDescent="0.35">
      <c r="A83" s="63" t="s">
        <v>1936</v>
      </c>
      <c r="B83" s="63" t="s">
        <v>1878</v>
      </c>
      <c r="C83" s="110" t="s">
        <v>1863</v>
      </c>
      <c r="D83" s="110" t="s">
        <v>1831</v>
      </c>
      <c r="E83" s="82">
        <v>125</v>
      </c>
      <c r="F83" s="33">
        <v>3379119.42</v>
      </c>
      <c r="G83" s="82">
        <v>125</v>
      </c>
      <c r="H83" s="33">
        <v>3379119.42</v>
      </c>
      <c r="I83" s="110" t="s">
        <v>1864</v>
      </c>
      <c r="J83" s="64">
        <v>0</v>
      </c>
      <c r="K83" s="64">
        <v>0</v>
      </c>
      <c r="L83" s="64">
        <v>0</v>
      </c>
      <c r="M83" s="64">
        <v>0</v>
      </c>
      <c r="N83" s="64">
        <f t="shared" si="4"/>
        <v>-3379119.42</v>
      </c>
      <c r="O83" s="64">
        <f t="shared" si="5"/>
        <v>0</v>
      </c>
      <c r="P83" s="64">
        <f t="shared" si="6"/>
        <v>27032.95536</v>
      </c>
      <c r="Q83" s="64">
        <f t="shared" si="7"/>
        <v>0</v>
      </c>
      <c r="R83" s="64">
        <v>0</v>
      </c>
      <c r="S83" s="65">
        <f t="shared" si="8"/>
        <v>0</v>
      </c>
      <c r="T83" s="67" t="s">
        <v>1937</v>
      </c>
      <c r="U83" s="64">
        <f t="shared" si="9"/>
        <v>-3379119.42</v>
      </c>
      <c r="V83" s="64">
        <f t="shared" si="10"/>
        <v>-3379119.42</v>
      </c>
    </row>
    <row r="84" spans="1:22" ht="15" customHeight="1" x14ac:dyDescent="0.35">
      <c r="A84" s="63" t="s">
        <v>1938</v>
      </c>
      <c r="B84" s="63" t="s">
        <v>1878</v>
      </c>
      <c r="C84" s="110" t="s">
        <v>1863</v>
      </c>
      <c r="D84" s="110" t="s">
        <v>1831</v>
      </c>
      <c r="E84" s="82">
        <v>0</v>
      </c>
      <c r="F84" s="33">
        <v>-0.55000000000000004</v>
      </c>
      <c r="G84" s="82">
        <v>0</v>
      </c>
      <c r="H84" s="33">
        <v>-0.55000000000000004</v>
      </c>
      <c r="I84" s="110" t="s">
        <v>1864</v>
      </c>
      <c r="J84" s="64">
        <v>0</v>
      </c>
      <c r="K84" s="64">
        <v>0</v>
      </c>
      <c r="L84" s="64">
        <v>0</v>
      </c>
      <c r="M84" s="64">
        <v>0</v>
      </c>
      <c r="N84" s="64">
        <f t="shared" si="4"/>
        <v>0.55000000000000004</v>
      </c>
      <c r="O84" s="64">
        <f t="shared" si="5"/>
        <v>0</v>
      </c>
      <c r="P84" s="64">
        <f t="shared" si="6"/>
        <v>0</v>
      </c>
      <c r="Q84" s="64">
        <f t="shared" si="7"/>
        <v>0</v>
      </c>
      <c r="R84" s="64">
        <v>0</v>
      </c>
      <c r="S84" s="65">
        <f t="shared" si="8"/>
        <v>0</v>
      </c>
      <c r="T84" s="67" t="s">
        <v>1939</v>
      </c>
      <c r="U84" s="64">
        <f t="shared" si="9"/>
        <v>0</v>
      </c>
      <c r="V84" s="64">
        <f t="shared" si="10"/>
        <v>0</v>
      </c>
    </row>
    <row r="85" spans="1:22" ht="15" customHeight="1" x14ac:dyDescent="0.35">
      <c r="A85" s="63" t="s">
        <v>1940</v>
      </c>
      <c r="B85" s="63" t="s">
        <v>738</v>
      </c>
      <c r="C85" s="110" t="s">
        <v>1863</v>
      </c>
      <c r="D85" s="110" t="s">
        <v>1831</v>
      </c>
      <c r="E85" s="82">
        <v>14</v>
      </c>
      <c r="F85" s="33">
        <v>0</v>
      </c>
      <c r="G85" s="82">
        <v>0</v>
      </c>
      <c r="H85" s="33">
        <v>0</v>
      </c>
      <c r="I85" s="110" t="s">
        <v>1864</v>
      </c>
      <c r="J85" s="64">
        <v>0</v>
      </c>
      <c r="K85" s="64">
        <v>0</v>
      </c>
      <c r="L85" s="64">
        <v>0</v>
      </c>
      <c r="M85" s="64">
        <v>0</v>
      </c>
      <c r="N85" s="64">
        <f t="shared" si="4"/>
        <v>0</v>
      </c>
      <c r="O85" s="64">
        <f t="shared" si="5"/>
        <v>0</v>
      </c>
      <c r="P85" s="64">
        <f t="shared" si="6"/>
        <v>0</v>
      </c>
      <c r="Q85" s="64">
        <f t="shared" si="7"/>
        <v>0</v>
      </c>
      <c r="R85" s="64">
        <v>0</v>
      </c>
      <c r="S85" s="65">
        <f t="shared" si="8"/>
        <v>0</v>
      </c>
      <c r="T85" s="67" t="s">
        <v>1941</v>
      </c>
      <c r="U85" s="64">
        <f t="shared" si="9"/>
        <v>0</v>
      </c>
      <c r="V85" s="64">
        <f t="shared" si="10"/>
        <v>0</v>
      </c>
    </row>
    <row r="86" spans="1:22" ht="15" customHeight="1" x14ac:dyDescent="0.35">
      <c r="A86" s="63" t="s">
        <v>1942</v>
      </c>
      <c r="B86" s="63" t="s">
        <v>1878</v>
      </c>
      <c r="C86" s="110" t="s">
        <v>1863</v>
      </c>
      <c r="D86" s="110" t="s">
        <v>1831</v>
      </c>
      <c r="E86" s="82">
        <v>0</v>
      </c>
      <c r="F86" s="33">
        <v>-0.01</v>
      </c>
      <c r="G86" s="82">
        <v>0</v>
      </c>
      <c r="H86" s="33">
        <v>-0.01</v>
      </c>
      <c r="I86" s="110" t="s">
        <v>1864</v>
      </c>
      <c r="J86" s="64">
        <v>0</v>
      </c>
      <c r="K86" s="64">
        <v>0</v>
      </c>
      <c r="L86" s="64">
        <v>0</v>
      </c>
      <c r="M86" s="64">
        <v>0</v>
      </c>
      <c r="N86" s="64">
        <f t="shared" si="4"/>
        <v>0.01</v>
      </c>
      <c r="O86" s="64">
        <f t="shared" si="5"/>
        <v>0</v>
      </c>
      <c r="P86" s="64">
        <f t="shared" si="6"/>
        <v>0</v>
      </c>
      <c r="Q86" s="64">
        <f t="shared" si="7"/>
        <v>0</v>
      </c>
      <c r="R86" s="64">
        <v>0</v>
      </c>
      <c r="S86" s="65">
        <f t="shared" si="8"/>
        <v>0</v>
      </c>
      <c r="T86" s="67" t="s">
        <v>1943</v>
      </c>
      <c r="U86" s="64">
        <f t="shared" si="9"/>
        <v>0</v>
      </c>
      <c r="V86" s="64">
        <f t="shared" si="10"/>
        <v>0</v>
      </c>
    </row>
    <row r="87" spans="1:22" ht="15" customHeight="1" x14ac:dyDescent="0.35">
      <c r="A87" s="63" t="s">
        <v>1944</v>
      </c>
      <c r="B87" s="63" t="s">
        <v>428</v>
      </c>
      <c r="C87" s="110" t="s">
        <v>1863</v>
      </c>
      <c r="D87" s="110" t="s">
        <v>1831</v>
      </c>
      <c r="E87" s="82">
        <v>1.3</v>
      </c>
      <c r="F87" s="33">
        <v>96937.73</v>
      </c>
      <c r="G87" s="82">
        <v>1</v>
      </c>
      <c r="H87" s="33">
        <v>75027.27</v>
      </c>
      <c r="I87" s="110" t="s">
        <v>1864</v>
      </c>
      <c r="J87" s="64">
        <v>0</v>
      </c>
      <c r="K87" s="64">
        <v>0</v>
      </c>
      <c r="L87" s="64">
        <v>0</v>
      </c>
      <c r="M87" s="64">
        <v>0</v>
      </c>
      <c r="N87" s="64">
        <f t="shared" ref="N87:N118" si="11">M87-H87</f>
        <v>-75027.27</v>
      </c>
      <c r="O87" s="64">
        <f t="shared" ref="O87:O118" si="12">N87-(K87-F87)</f>
        <v>21910.459999999992</v>
      </c>
      <c r="P87" s="64">
        <f t="shared" ref="P87:P118" si="13">IF(G87=0,0,H87/G87)</f>
        <v>75027.27</v>
      </c>
      <c r="Q87" s="64">
        <f t="shared" ref="Q87:Q118" si="14">IF(L87=0,0,M87/L87)</f>
        <v>0</v>
      </c>
      <c r="R87" s="64">
        <v>0</v>
      </c>
      <c r="S87" s="65">
        <f t="shared" ref="S87:S118" si="15">IF(OR(G87&lt;=0,R87=0),0,P87/R87-1)</f>
        <v>0</v>
      </c>
      <c r="T87" s="67" t="s">
        <v>1945</v>
      </c>
      <c r="U87" s="64">
        <f t="shared" ref="U87:U118" si="16">IF(L87&lt;&gt;0,(L87-G87)*Q87,IF(G87=0,0,-H87))</f>
        <v>-75027.27</v>
      </c>
      <c r="V87" s="64">
        <f t="shared" ref="V87:V118" si="17">IF(J87&lt;&gt;0,(J87-E87)*K87/J87,IF(E87=0,0,-F87))</f>
        <v>-96937.73</v>
      </c>
    </row>
    <row r="88" spans="1:22" ht="15" customHeight="1" x14ac:dyDescent="0.35">
      <c r="A88" s="63" t="s">
        <v>1946</v>
      </c>
      <c r="B88" s="63" t="s">
        <v>1878</v>
      </c>
      <c r="C88" s="110" t="s">
        <v>1863</v>
      </c>
      <c r="D88" s="110" t="s">
        <v>1831</v>
      </c>
      <c r="E88" s="82">
        <v>0.75</v>
      </c>
      <c r="F88" s="33">
        <v>14865</v>
      </c>
      <c r="G88" s="82">
        <v>0.75</v>
      </c>
      <c r="H88" s="33">
        <v>14865</v>
      </c>
      <c r="I88" s="110" t="s">
        <v>1864</v>
      </c>
      <c r="J88" s="64">
        <v>0</v>
      </c>
      <c r="K88" s="64">
        <v>0</v>
      </c>
      <c r="L88" s="64">
        <v>0</v>
      </c>
      <c r="M88" s="64">
        <v>0</v>
      </c>
      <c r="N88" s="64">
        <f t="shared" si="11"/>
        <v>-14865</v>
      </c>
      <c r="O88" s="64">
        <f t="shared" si="12"/>
        <v>0</v>
      </c>
      <c r="P88" s="64">
        <f t="shared" si="13"/>
        <v>19820</v>
      </c>
      <c r="Q88" s="64">
        <f t="shared" si="14"/>
        <v>0</v>
      </c>
      <c r="R88" s="64">
        <v>0</v>
      </c>
      <c r="S88" s="65">
        <f t="shared" si="15"/>
        <v>0</v>
      </c>
      <c r="T88" s="67" t="s">
        <v>1947</v>
      </c>
      <c r="U88" s="64">
        <f t="shared" si="16"/>
        <v>-14865</v>
      </c>
      <c r="V88" s="64">
        <f t="shared" si="17"/>
        <v>-14865</v>
      </c>
    </row>
    <row r="89" spans="1:22" ht="15" customHeight="1" x14ac:dyDescent="0.35">
      <c r="A89" s="63" t="s">
        <v>1948</v>
      </c>
      <c r="B89" s="63" t="s">
        <v>394</v>
      </c>
      <c r="C89" s="110" t="s">
        <v>1863</v>
      </c>
      <c r="D89" s="110" t="s">
        <v>1831</v>
      </c>
      <c r="E89" s="82">
        <v>0.84</v>
      </c>
      <c r="F89" s="33">
        <v>62946.720000000001</v>
      </c>
      <c r="G89" s="82">
        <v>0.6</v>
      </c>
      <c r="H89" s="33">
        <v>44961.95</v>
      </c>
      <c r="I89" s="110" t="s">
        <v>1864</v>
      </c>
      <c r="J89" s="64">
        <v>0</v>
      </c>
      <c r="K89" s="64">
        <v>0</v>
      </c>
      <c r="L89" s="64">
        <v>0</v>
      </c>
      <c r="M89" s="64">
        <v>0</v>
      </c>
      <c r="N89" s="64">
        <f t="shared" si="11"/>
        <v>-44961.95</v>
      </c>
      <c r="O89" s="64">
        <f t="shared" si="12"/>
        <v>17984.770000000004</v>
      </c>
      <c r="P89" s="64">
        <f t="shared" si="13"/>
        <v>74936.583333333328</v>
      </c>
      <c r="Q89" s="64">
        <f t="shared" si="14"/>
        <v>0</v>
      </c>
      <c r="R89" s="64">
        <v>0</v>
      </c>
      <c r="S89" s="65">
        <f t="shared" si="15"/>
        <v>0</v>
      </c>
      <c r="T89" s="67" t="s">
        <v>1949</v>
      </c>
      <c r="U89" s="64">
        <f t="shared" si="16"/>
        <v>-44961.95</v>
      </c>
      <c r="V89" s="64">
        <f t="shared" si="17"/>
        <v>-62946.720000000001</v>
      </c>
    </row>
    <row r="90" spans="1:22" ht="15" customHeight="1" x14ac:dyDescent="0.35">
      <c r="A90" s="63" t="s">
        <v>1950</v>
      </c>
      <c r="B90" s="63" t="s">
        <v>1878</v>
      </c>
      <c r="C90" s="110" t="s">
        <v>1863</v>
      </c>
      <c r="D90" s="110" t="s">
        <v>1831</v>
      </c>
      <c r="E90" s="82">
        <v>140</v>
      </c>
      <c r="F90" s="33">
        <v>140000</v>
      </c>
      <c r="G90" s="82">
        <v>140</v>
      </c>
      <c r="H90" s="33">
        <v>140000</v>
      </c>
      <c r="I90" s="110" t="s">
        <v>1864</v>
      </c>
      <c r="J90" s="64">
        <v>0</v>
      </c>
      <c r="K90" s="64">
        <v>0</v>
      </c>
      <c r="L90" s="64">
        <v>0</v>
      </c>
      <c r="M90" s="64">
        <v>0</v>
      </c>
      <c r="N90" s="64">
        <f t="shared" si="11"/>
        <v>-140000</v>
      </c>
      <c r="O90" s="64">
        <f t="shared" si="12"/>
        <v>0</v>
      </c>
      <c r="P90" s="64">
        <f t="shared" si="13"/>
        <v>1000</v>
      </c>
      <c r="Q90" s="64">
        <f t="shared" si="14"/>
        <v>0</v>
      </c>
      <c r="R90" s="64">
        <v>0</v>
      </c>
      <c r="S90" s="65">
        <f t="shared" si="15"/>
        <v>0</v>
      </c>
      <c r="T90" s="67" t="s">
        <v>1951</v>
      </c>
      <c r="U90" s="64">
        <f t="shared" si="16"/>
        <v>-140000</v>
      </c>
      <c r="V90" s="64">
        <f t="shared" si="17"/>
        <v>-140000</v>
      </c>
    </row>
    <row r="91" spans="1:22" ht="15" customHeight="1" x14ac:dyDescent="0.35">
      <c r="A91" s="63" t="s">
        <v>1952</v>
      </c>
      <c r="B91" s="63" t="s">
        <v>1953</v>
      </c>
      <c r="C91" s="110" t="s">
        <v>1863</v>
      </c>
      <c r="D91" s="110" t="s">
        <v>1831</v>
      </c>
      <c r="E91" s="82">
        <v>14</v>
      </c>
      <c r="F91" s="33">
        <v>0</v>
      </c>
      <c r="G91" s="82">
        <v>0</v>
      </c>
      <c r="H91" s="33">
        <v>0</v>
      </c>
      <c r="I91" s="110" t="s">
        <v>1864</v>
      </c>
      <c r="J91" s="64">
        <v>0</v>
      </c>
      <c r="K91" s="64">
        <v>0</v>
      </c>
      <c r="L91" s="64">
        <v>0</v>
      </c>
      <c r="M91" s="64">
        <v>0</v>
      </c>
      <c r="N91" s="64">
        <f t="shared" si="11"/>
        <v>0</v>
      </c>
      <c r="O91" s="64">
        <f t="shared" si="12"/>
        <v>0</v>
      </c>
      <c r="P91" s="64">
        <f t="shared" si="13"/>
        <v>0</v>
      </c>
      <c r="Q91" s="64">
        <f t="shared" si="14"/>
        <v>0</v>
      </c>
      <c r="R91" s="64">
        <v>0</v>
      </c>
      <c r="S91" s="65">
        <f t="shared" si="15"/>
        <v>0</v>
      </c>
      <c r="T91" s="67" t="s">
        <v>1954</v>
      </c>
      <c r="U91" s="64">
        <f t="shared" si="16"/>
        <v>0</v>
      </c>
      <c r="V91" s="64">
        <f t="shared" si="17"/>
        <v>0</v>
      </c>
    </row>
    <row r="92" spans="1:22" ht="15" customHeight="1" x14ac:dyDescent="0.35">
      <c r="A92" s="63" t="s">
        <v>1955</v>
      </c>
      <c r="B92" s="63" t="s">
        <v>1956</v>
      </c>
      <c r="C92" s="110" t="s">
        <v>1957</v>
      </c>
      <c r="D92" s="110" t="s">
        <v>1827</v>
      </c>
      <c r="E92" s="82">
        <v>7029</v>
      </c>
      <c r="F92" s="33">
        <v>145544598.59999999</v>
      </c>
      <c r="G92" s="82">
        <v>0</v>
      </c>
      <c r="H92" s="33">
        <v>-17.84</v>
      </c>
      <c r="I92" s="110" t="s">
        <v>1958</v>
      </c>
      <c r="J92" s="23">
        <f>FCC!$B$86</f>
        <v>7029</v>
      </c>
      <c r="K92" s="47">
        <f>FCC!$E$86</f>
        <v>155531266.67952201</v>
      </c>
      <c r="L92" s="23">
        <f>FCC!$B$92</f>
        <v>0</v>
      </c>
      <c r="M92" s="47">
        <f>FCC!$E$92</f>
        <v>0</v>
      </c>
      <c r="N92" s="64">
        <f t="shared" si="11"/>
        <v>17.84</v>
      </c>
      <c r="O92" s="64">
        <f t="shared" si="12"/>
        <v>-9986650.2395220138</v>
      </c>
      <c r="P92" s="64">
        <f t="shared" si="13"/>
        <v>0</v>
      </c>
      <c r="Q92" s="64">
        <f t="shared" si="14"/>
        <v>0</v>
      </c>
      <c r="R92" s="47">
        <f>IFERROR(FCC!$C$239/(FCC!$B$30-FCC!$B$33-FCC!$B$34),0)</f>
        <v>21489.80382676901</v>
      </c>
      <c r="S92" s="65">
        <f t="shared" si="15"/>
        <v>0</v>
      </c>
      <c r="T92" s="67" t="s">
        <v>1959</v>
      </c>
      <c r="U92" s="64">
        <f t="shared" si="16"/>
        <v>0</v>
      </c>
      <c r="V92" s="64">
        <f t="shared" si="17"/>
        <v>0</v>
      </c>
    </row>
    <row r="93" spans="1:22" ht="15" customHeight="1" x14ac:dyDescent="0.35">
      <c r="A93" s="63" t="s">
        <v>1960</v>
      </c>
      <c r="B93" s="63" t="s">
        <v>1961</v>
      </c>
      <c r="C93" s="110" t="s">
        <v>1957</v>
      </c>
      <c r="D93" s="110" t="s">
        <v>1827</v>
      </c>
      <c r="E93" s="82">
        <v>0</v>
      </c>
      <c r="F93" s="33">
        <v>-0.01</v>
      </c>
      <c r="G93" s="82">
        <v>0</v>
      </c>
      <c r="H93" s="33">
        <v>-0.01</v>
      </c>
      <c r="I93" s="110" t="s">
        <v>1958</v>
      </c>
      <c r="J93" s="23">
        <f>KOPERASI!$G$27</f>
        <v>0</v>
      </c>
      <c r="K93" s="47">
        <f>KOPERASI!$G$28</f>
        <v>0</v>
      </c>
      <c r="L93" s="23">
        <f>KOPERASI!$G$34</f>
        <v>0</v>
      </c>
      <c r="M93" s="47">
        <f>KOPERASI!$G$35</f>
        <v>0</v>
      </c>
      <c r="N93" s="64">
        <f t="shared" si="11"/>
        <v>0.01</v>
      </c>
      <c r="O93" s="64">
        <f t="shared" si="12"/>
        <v>0</v>
      </c>
      <c r="P93" s="64">
        <f t="shared" si="13"/>
        <v>0</v>
      </c>
      <c r="Q93" s="64">
        <f t="shared" si="14"/>
        <v>0</v>
      </c>
      <c r="R93" s="64">
        <v>0</v>
      </c>
      <c r="S93" s="65">
        <f t="shared" si="15"/>
        <v>0</v>
      </c>
      <c r="T93" s="67" t="s">
        <v>1962</v>
      </c>
      <c r="U93" s="64">
        <f t="shared" si="16"/>
        <v>0</v>
      </c>
      <c r="V93" s="64">
        <f t="shared" si="17"/>
        <v>0</v>
      </c>
    </row>
    <row r="94" spans="1:22" ht="15" customHeight="1" x14ac:dyDescent="0.35">
      <c r="A94" s="63" t="s">
        <v>1963</v>
      </c>
      <c r="B94" s="63" t="s">
        <v>1964</v>
      </c>
      <c r="C94" s="110" t="s">
        <v>1957</v>
      </c>
      <c r="D94" s="110" t="s">
        <v>1827</v>
      </c>
      <c r="E94" s="82">
        <v>0</v>
      </c>
      <c r="F94" s="33">
        <v>0</v>
      </c>
      <c r="G94" s="82">
        <v>0</v>
      </c>
      <c r="H94" s="33">
        <v>0</v>
      </c>
      <c r="I94" s="110" t="s">
        <v>1958</v>
      </c>
      <c r="J94" s="23">
        <f>KOPERASI!$H$27</f>
        <v>0</v>
      </c>
      <c r="K94" s="47">
        <f>KOPERASI!$H$28</f>
        <v>0</v>
      </c>
      <c r="L94" s="23">
        <f>KOPERASI!$H$34</f>
        <v>0</v>
      </c>
      <c r="M94" s="47">
        <f>KOPERASI!$H$35</f>
        <v>0</v>
      </c>
      <c r="N94" s="64">
        <f t="shared" si="11"/>
        <v>0</v>
      </c>
      <c r="O94" s="64">
        <f t="shared" si="12"/>
        <v>0</v>
      </c>
      <c r="P94" s="64">
        <f t="shared" si="13"/>
        <v>0</v>
      </c>
      <c r="Q94" s="64">
        <f t="shared" si="14"/>
        <v>0</v>
      </c>
      <c r="R94" s="64">
        <v>0</v>
      </c>
      <c r="S94" s="65">
        <f t="shared" si="15"/>
        <v>0</v>
      </c>
      <c r="T94" s="67" t="s">
        <v>1965</v>
      </c>
      <c r="U94" s="64">
        <f t="shared" si="16"/>
        <v>0</v>
      </c>
      <c r="V94" s="64">
        <f t="shared" si="17"/>
        <v>0</v>
      </c>
    </row>
    <row r="95" spans="1:22" ht="15" customHeight="1" x14ac:dyDescent="0.35">
      <c r="A95" s="63" t="s">
        <v>1966</v>
      </c>
      <c r="B95" s="63" t="s">
        <v>1967</v>
      </c>
      <c r="C95" s="110" t="s">
        <v>1957</v>
      </c>
      <c r="D95" s="110" t="s">
        <v>1827</v>
      </c>
      <c r="E95" s="82">
        <v>0</v>
      </c>
      <c r="F95" s="33">
        <v>0</v>
      </c>
      <c r="G95" s="82">
        <v>0</v>
      </c>
      <c r="H95" s="33">
        <v>0</v>
      </c>
      <c r="I95" s="110" t="s">
        <v>1958</v>
      </c>
      <c r="J95" s="23">
        <f>KOPERASI!$I$27</f>
        <v>0</v>
      </c>
      <c r="K95" s="47">
        <f>KOPERASI!$I$28</f>
        <v>0</v>
      </c>
      <c r="L95" s="23">
        <f>KOPERASI!$I$34</f>
        <v>0</v>
      </c>
      <c r="M95" s="47">
        <f>KOPERASI!$I$35</f>
        <v>0</v>
      </c>
      <c r="N95" s="64">
        <f t="shared" si="11"/>
        <v>0</v>
      </c>
      <c r="O95" s="64">
        <f t="shared" si="12"/>
        <v>0</v>
      </c>
      <c r="P95" s="64">
        <f t="shared" si="13"/>
        <v>0</v>
      </c>
      <c r="Q95" s="64">
        <f t="shared" si="14"/>
        <v>0</v>
      </c>
      <c r="R95" s="64">
        <v>0</v>
      </c>
      <c r="S95" s="65">
        <f t="shared" si="15"/>
        <v>0</v>
      </c>
      <c r="T95" s="67" t="s">
        <v>1968</v>
      </c>
      <c r="U95" s="64">
        <f t="shared" si="16"/>
        <v>0</v>
      </c>
      <c r="V95" s="64">
        <f t="shared" si="17"/>
        <v>0</v>
      </c>
    </row>
    <row r="96" spans="1:22" ht="15" customHeight="1" x14ac:dyDescent="0.35">
      <c r="A96" s="63" t="s">
        <v>1969</v>
      </c>
      <c r="B96" s="63" t="s">
        <v>1970</v>
      </c>
      <c r="C96" s="110" t="s">
        <v>1957</v>
      </c>
      <c r="D96" s="110" t="s">
        <v>1827</v>
      </c>
      <c r="E96" s="82">
        <v>0</v>
      </c>
      <c r="F96" s="33">
        <v>0.01</v>
      </c>
      <c r="G96" s="82">
        <v>0</v>
      </c>
      <c r="H96" s="33">
        <v>0.01</v>
      </c>
      <c r="I96" s="110" t="s">
        <v>1958</v>
      </c>
      <c r="J96" s="23">
        <f>KOPERASI!$F$27</f>
        <v>0</v>
      </c>
      <c r="K96" s="47">
        <f>KOPERASI!$F$28</f>
        <v>0</v>
      </c>
      <c r="L96" s="23">
        <f>KOPERASI!$F$34</f>
        <v>0</v>
      </c>
      <c r="M96" s="47">
        <f>KOPERASI!$F$35</f>
        <v>0</v>
      </c>
      <c r="N96" s="64">
        <f t="shared" si="11"/>
        <v>-0.01</v>
      </c>
      <c r="O96" s="64">
        <f t="shared" si="12"/>
        <v>0</v>
      </c>
      <c r="P96" s="64">
        <f t="shared" si="13"/>
        <v>0</v>
      </c>
      <c r="Q96" s="64">
        <f t="shared" si="14"/>
        <v>0</v>
      </c>
      <c r="R96" s="64">
        <v>0</v>
      </c>
      <c r="S96" s="65">
        <f t="shared" si="15"/>
        <v>0</v>
      </c>
      <c r="T96" s="67" t="s">
        <v>1971</v>
      </c>
      <c r="U96" s="64">
        <f t="shared" si="16"/>
        <v>0</v>
      </c>
      <c r="V96" s="64">
        <f t="shared" si="17"/>
        <v>0</v>
      </c>
    </row>
    <row r="97" spans="1:22" ht="15" customHeight="1" x14ac:dyDescent="0.35">
      <c r="A97" s="63" t="s">
        <v>1972</v>
      </c>
      <c r="B97" s="63" t="s">
        <v>1973</v>
      </c>
      <c r="C97" s="110" t="s">
        <v>1957</v>
      </c>
      <c r="D97" s="110" t="s">
        <v>1827</v>
      </c>
      <c r="E97" s="82">
        <v>0</v>
      </c>
      <c r="F97" s="33">
        <v>0.05</v>
      </c>
      <c r="G97" s="82">
        <v>0</v>
      </c>
      <c r="H97" s="33">
        <v>0.05</v>
      </c>
      <c r="I97" s="110" t="s">
        <v>1958</v>
      </c>
      <c r="J97" s="23">
        <f>KOPERASI!$C$27</f>
        <v>0</v>
      </c>
      <c r="K97" s="47">
        <f>KOPERASI!$C$28</f>
        <v>0</v>
      </c>
      <c r="L97" s="23">
        <f>KOPERASI!$C$34</f>
        <v>0</v>
      </c>
      <c r="M97" s="47">
        <f>KOPERASI!$C$35</f>
        <v>0</v>
      </c>
      <c r="N97" s="64">
        <f t="shared" si="11"/>
        <v>-0.05</v>
      </c>
      <c r="O97" s="64">
        <f t="shared" si="12"/>
        <v>0</v>
      </c>
      <c r="P97" s="64">
        <f t="shared" si="13"/>
        <v>0</v>
      </c>
      <c r="Q97" s="64">
        <f t="shared" si="14"/>
        <v>0</v>
      </c>
      <c r="R97" s="64">
        <v>0</v>
      </c>
      <c r="S97" s="65">
        <f t="shared" si="15"/>
        <v>0</v>
      </c>
      <c r="T97" s="67" t="s">
        <v>1974</v>
      </c>
      <c r="U97" s="64">
        <f t="shared" si="16"/>
        <v>0</v>
      </c>
      <c r="V97" s="64">
        <f t="shared" si="17"/>
        <v>0</v>
      </c>
    </row>
    <row r="98" spans="1:22" ht="15" customHeight="1" x14ac:dyDescent="0.35">
      <c r="A98" s="63" t="s">
        <v>1975</v>
      </c>
      <c r="B98" s="63" t="s">
        <v>1976</v>
      </c>
      <c r="C98" s="110" t="s">
        <v>1957</v>
      </c>
      <c r="D98" s="110" t="s">
        <v>1827</v>
      </c>
      <c r="E98" s="82">
        <v>0</v>
      </c>
      <c r="F98" s="33">
        <v>0</v>
      </c>
      <c r="G98" s="82">
        <v>0</v>
      </c>
      <c r="H98" s="33">
        <v>0</v>
      </c>
      <c r="I98" s="110" t="s">
        <v>1958</v>
      </c>
      <c r="J98" s="23">
        <f>KOPERASI!$B$27</f>
        <v>0</v>
      </c>
      <c r="K98" s="47">
        <f>KOPERASI!$B$28</f>
        <v>0</v>
      </c>
      <c r="L98" s="23">
        <f>KOPERASI!$B$34</f>
        <v>0</v>
      </c>
      <c r="M98" s="47">
        <f>KOPERASI!$B$35</f>
        <v>0</v>
      </c>
      <c r="N98" s="64">
        <f t="shared" si="11"/>
        <v>0</v>
      </c>
      <c r="O98" s="64">
        <f t="shared" si="12"/>
        <v>0</v>
      </c>
      <c r="P98" s="64">
        <f t="shared" si="13"/>
        <v>0</v>
      </c>
      <c r="Q98" s="64">
        <f t="shared" si="14"/>
        <v>0</v>
      </c>
      <c r="R98" s="64">
        <v>0</v>
      </c>
      <c r="S98" s="65">
        <f t="shared" si="15"/>
        <v>0</v>
      </c>
      <c r="T98" s="67" t="s">
        <v>1977</v>
      </c>
      <c r="U98" s="64">
        <f t="shared" si="16"/>
        <v>0</v>
      </c>
      <c r="V98" s="64">
        <f t="shared" si="17"/>
        <v>0</v>
      </c>
    </row>
    <row r="99" spans="1:22" ht="15" customHeight="1" x14ac:dyDescent="0.35">
      <c r="A99" s="63" t="s">
        <v>1978</v>
      </c>
      <c r="B99" s="63" t="s">
        <v>1979</v>
      </c>
      <c r="C99" s="110" t="s">
        <v>1957</v>
      </c>
      <c r="D99" s="110" t="s">
        <v>1827</v>
      </c>
      <c r="E99" s="82">
        <v>0</v>
      </c>
      <c r="F99" s="33">
        <v>0.01</v>
      </c>
      <c r="G99" s="82">
        <v>0</v>
      </c>
      <c r="H99" s="33">
        <v>0.01</v>
      </c>
      <c r="I99" s="110" t="s">
        <v>1958</v>
      </c>
      <c r="J99" s="23">
        <f>KOPERASI!$D$27</f>
        <v>0</v>
      </c>
      <c r="K99" s="47">
        <f>KOPERASI!$D$28</f>
        <v>0</v>
      </c>
      <c r="L99" s="23">
        <f>KOPERASI!$D$34</f>
        <v>0</v>
      </c>
      <c r="M99" s="47">
        <f>KOPERASI!$D$35</f>
        <v>0</v>
      </c>
      <c r="N99" s="64">
        <f t="shared" si="11"/>
        <v>-0.01</v>
      </c>
      <c r="O99" s="64">
        <f t="shared" si="12"/>
        <v>0</v>
      </c>
      <c r="P99" s="64">
        <f t="shared" si="13"/>
        <v>0</v>
      </c>
      <c r="Q99" s="64">
        <f t="shared" si="14"/>
        <v>0</v>
      </c>
      <c r="R99" s="64">
        <v>0</v>
      </c>
      <c r="S99" s="65">
        <f t="shared" si="15"/>
        <v>0</v>
      </c>
      <c r="T99" s="67" t="s">
        <v>1980</v>
      </c>
      <c r="U99" s="64">
        <f t="shared" si="16"/>
        <v>0</v>
      </c>
      <c r="V99" s="64">
        <f t="shared" si="17"/>
        <v>0</v>
      </c>
    </row>
    <row r="100" spans="1:22" ht="15" customHeight="1" x14ac:dyDescent="0.35">
      <c r="A100" s="63" t="s">
        <v>1981</v>
      </c>
      <c r="B100" s="63" t="s">
        <v>1982</v>
      </c>
      <c r="C100" s="110" t="s">
        <v>1957</v>
      </c>
      <c r="D100" s="110" t="s">
        <v>1827</v>
      </c>
      <c r="E100" s="82">
        <v>0</v>
      </c>
      <c r="F100" s="33">
        <v>0.03</v>
      </c>
      <c r="G100" s="82">
        <v>0</v>
      </c>
      <c r="H100" s="33">
        <v>0.03</v>
      </c>
      <c r="I100" s="110" t="s">
        <v>1958</v>
      </c>
      <c r="J100" s="23">
        <f>KOPERASI!$E$27</f>
        <v>0</v>
      </c>
      <c r="K100" s="47">
        <f>KOPERASI!$E$28</f>
        <v>0</v>
      </c>
      <c r="L100" s="23">
        <f>KOPERASI!$E$34</f>
        <v>0</v>
      </c>
      <c r="M100" s="47">
        <f>KOPERASI!$E$35</f>
        <v>0</v>
      </c>
      <c r="N100" s="64">
        <f t="shared" si="11"/>
        <v>-0.03</v>
      </c>
      <c r="O100" s="64">
        <f t="shared" si="12"/>
        <v>0</v>
      </c>
      <c r="P100" s="64">
        <f t="shared" si="13"/>
        <v>0</v>
      </c>
      <c r="Q100" s="64">
        <f t="shared" si="14"/>
        <v>0</v>
      </c>
      <c r="R100" s="64">
        <v>0</v>
      </c>
      <c r="S100" s="65">
        <f t="shared" si="15"/>
        <v>0</v>
      </c>
      <c r="T100" s="67" t="s">
        <v>1983</v>
      </c>
      <c r="U100" s="64">
        <f t="shared" si="16"/>
        <v>0</v>
      </c>
      <c r="V100" s="64">
        <f t="shared" si="17"/>
        <v>0</v>
      </c>
    </row>
    <row r="101" spans="1:22" ht="15" customHeight="1" x14ac:dyDescent="0.35">
      <c r="A101" s="63" t="s">
        <v>1984</v>
      </c>
      <c r="B101" s="63" t="s">
        <v>1985</v>
      </c>
      <c r="C101" s="110" t="s">
        <v>1957</v>
      </c>
      <c r="D101" s="110" t="s">
        <v>1827</v>
      </c>
      <c r="E101" s="82">
        <v>2123</v>
      </c>
      <c r="F101" s="33">
        <v>67731841.709999993</v>
      </c>
      <c r="G101" s="82">
        <v>0</v>
      </c>
      <c r="H101" s="33">
        <v>1692347.24</v>
      </c>
      <c r="I101" s="110" t="s">
        <v>1864</v>
      </c>
      <c r="J101" s="23">
        <f>UU!$B$84</f>
        <v>2123</v>
      </c>
      <c r="K101" s="47">
        <f>UU!$E$84</f>
        <v>73852610.959458396</v>
      </c>
      <c r="L101" s="23">
        <f>UU!$B$89</f>
        <v>0</v>
      </c>
      <c r="M101" s="47">
        <f>UU!$E$89</f>
        <v>0</v>
      </c>
      <c r="N101" s="64">
        <f t="shared" si="11"/>
        <v>-1692347.24</v>
      </c>
      <c r="O101" s="64">
        <f t="shared" si="12"/>
        <v>-7813116.4894584026</v>
      </c>
      <c r="P101" s="64">
        <f t="shared" si="13"/>
        <v>0</v>
      </c>
      <c r="Q101" s="64">
        <f t="shared" si="14"/>
        <v>0</v>
      </c>
      <c r="R101" s="47">
        <f>IFERROR(UU!$C$227/(UU!$B$32-UU!$B$35-UU!$B$36),0)</f>
        <v>30175.360456093902</v>
      </c>
      <c r="S101" s="65">
        <f t="shared" si="15"/>
        <v>0</v>
      </c>
      <c r="T101" s="67" t="s">
        <v>1986</v>
      </c>
      <c r="U101" s="64">
        <f t="shared" si="16"/>
        <v>0</v>
      </c>
      <c r="V101" s="64">
        <f t="shared" si="17"/>
        <v>0</v>
      </c>
    </row>
    <row r="102" spans="1:22" ht="15" customHeight="1" x14ac:dyDescent="0.35">
      <c r="A102" s="63" t="s">
        <v>1987</v>
      </c>
      <c r="B102" s="63" t="s">
        <v>1988</v>
      </c>
      <c r="C102" s="110" t="s">
        <v>1957</v>
      </c>
      <c r="D102" s="110" t="s">
        <v>1827</v>
      </c>
      <c r="E102" s="82">
        <v>0</v>
      </c>
      <c r="F102" s="33">
        <v>-974521.91</v>
      </c>
      <c r="G102" s="82">
        <v>0</v>
      </c>
      <c r="H102" s="33">
        <v>-974521.91</v>
      </c>
      <c r="I102" s="110" t="s">
        <v>1864</v>
      </c>
      <c r="J102" s="23">
        <f>UO!$B$80</f>
        <v>0</v>
      </c>
      <c r="K102" s="47">
        <f>UO!$E$80</f>
        <v>0</v>
      </c>
      <c r="L102" s="23">
        <f>UO!$B$85</f>
        <v>0</v>
      </c>
      <c r="M102" s="47">
        <f>UO!$E$85</f>
        <v>0</v>
      </c>
      <c r="N102" s="64">
        <f t="shared" si="11"/>
        <v>974521.91</v>
      </c>
      <c r="O102" s="64">
        <f t="shared" si="12"/>
        <v>0</v>
      </c>
      <c r="P102" s="64">
        <f t="shared" si="13"/>
        <v>0</v>
      </c>
      <c r="Q102" s="64">
        <f t="shared" si="14"/>
        <v>0</v>
      </c>
      <c r="R102" s="47">
        <f>IFERROR(UO!$C$223/(UO!$B$28-UO!$B$31-UO!$B$32),0)</f>
        <v>28885.552302139826</v>
      </c>
      <c r="S102" s="65">
        <f t="shared" si="15"/>
        <v>0</v>
      </c>
      <c r="T102" s="67" t="s">
        <v>1989</v>
      </c>
      <c r="U102" s="64">
        <f t="shared" si="16"/>
        <v>0</v>
      </c>
      <c r="V102" s="64">
        <f t="shared" si="17"/>
        <v>0</v>
      </c>
    </row>
    <row r="103" spans="1:22" ht="15" customHeight="1" x14ac:dyDescent="0.35">
      <c r="A103" s="63" t="s">
        <v>1990</v>
      </c>
      <c r="B103" s="63" t="s">
        <v>1991</v>
      </c>
      <c r="C103" s="110" t="s">
        <v>1957</v>
      </c>
      <c r="D103" s="110" t="s">
        <v>1827</v>
      </c>
      <c r="E103" s="82">
        <v>0</v>
      </c>
      <c r="F103" s="33">
        <v>-0.42</v>
      </c>
      <c r="G103" s="82">
        <v>0</v>
      </c>
      <c r="H103" s="33">
        <v>-0.42</v>
      </c>
      <c r="I103" s="110" t="s">
        <v>1958</v>
      </c>
      <c r="J103" s="23">
        <f>'MCH KERIPIK LV3'!$B$47</f>
        <v>0</v>
      </c>
      <c r="K103" s="47">
        <f>'MCH KERIPIK LV3'!$D$47</f>
        <v>0</v>
      </c>
      <c r="L103" s="23">
        <f>'MCH KERIPIK LV3'!$B$52</f>
        <v>0</v>
      </c>
      <c r="M103" s="47">
        <f>'MCH KERIPIK LV3'!$D$52</f>
        <v>0</v>
      </c>
      <c r="N103" s="64">
        <f t="shared" si="11"/>
        <v>0.42</v>
      </c>
      <c r="O103" s="64">
        <f t="shared" si="12"/>
        <v>0</v>
      </c>
      <c r="P103" s="64">
        <f t="shared" si="13"/>
        <v>0</v>
      </c>
      <c r="Q103" s="64">
        <f t="shared" si="14"/>
        <v>0</v>
      </c>
      <c r="R103" s="64">
        <v>0</v>
      </c>
      <c r="S103" s="65">
        <f t="shared" si="15"/>
        <v>0</v>
      </c>
      <c r="T103" s="67" t="s">
        <v>1992</v>
      </c>
      <c r="U103" s="64">
        <f t="shared" si="16"/>
        <v>0</v>
      </c>
      <c r="V103" s="64">
        <f t="shared" si="17"/>
        <v>0</v>
      </c>
    </row>
    <row r="104" spans="1:22" ht="15" customHeight="1" x14ac:dyDescent="0.35">
      <c r="A104" s="63" t="s">
        <v>1993</v>
      </c>
      <c r="B104" s="63" t="s">
        <v>1994</v>
      </c>
      <c r="C104" s="110" t="s">
        <v>1957</v>
      </c>
      <c r="D104" s="110" t="s">
        <v>1827</v>
      </c>
      <c r="E104" s="82">
        <v>0</v>
      </c>
      <c r="F104" s="33">
        <v>-0.44</v>
      </c>
      <c r="G104" s="82">
        <v>0</v>
      </c>
      <c r="H104" s="33">
        <v>-0.44</v>
      </c>
      <c r="I104" s="110" t="s">
        <v>1958</v>
      </c>
      <c r="J104" s="23">
        <f>'MCH KERIPIK LV10'!$B$47</f>
        <v>0</v>
      </c>
      <c r="K104" s="47">
        <f>'MCH KERIPIK LV10'!$D$47</f>
        <v>0</v>
      </c>
      <c r="L104" s="23">
        <f>'MCH KERIPIK LV10'!$B$52</f>
        <v>0</v>
      </c>
      <c r="M104" s="47">
        <f>'MCH KERIPIK LV10'!$D$52</f>
        <v>0</v>
      </c>
      <c r="N104" s="64">
        <f t="shared" si="11"/>
        <v>0.44</v>
      </c>
      <c r="O104" s="64">
        <f t="shared" si="12"/>
        <v>0</v>
      </c>
      <c r="P104" s="64">
        <f t="shared" si="13"/>
        <v>0</v>
      </c>
      <c r="Q104" s="64">
        <f t="shared" si="14"/>
        <v>0</v>
      </c>
      <c r="R104" s="64">
        <v>0</v>
      </c>
      <c r="S104" s="65">
        <f t="shared" si="15"/>
        <v>0</v>
      </c>
      <c r="T104" s="67" t="s">
        <v>1995</v>
      </c>
      <c r="U104" s="64">
        <f t="shared" si="16"/>
        <v>0</v>
      </c>
      <c r="V104" s="64">
        <f t="shared" si="17"/>
        <v>0</v>
      </c>
    </row>
    <row r="105" spans="1:22" ht="15" customHeight="1" x14ac:dyDescent="0.35">
      <c r="A105" s="63" t="s">
        <v>1996</v>
      </c>
      <c r="B105" s="63" t="s">
        <v>1997</v>
      </c>
      <c r="C105" s="110" t="s">
        <v>1957</v>
      </c>
      <c r="D105" s="110" t="s">
        <v>1827</v>
      </c>
      <c r="E105" s="82">
        <v>0</v>
      </c>
      <c r="F105" s="33">
        <v>0.08</v>
      </c>
      <c r="G105" s="82">
        <v>0</v>
      </c>
      <c r="H105" s="33">
        <v>0.08</v>
      </c>
      <c r="I105" s="110" t="s">
        <v>1958</v>
      </c>
      <c r="J105" s="23">
        <f>'MCH KERIPIK LV5'!$B$47</f>
        <v>0</v>
      </c>
      <c r="K105" s="47">
        <f>'MCH KERIPIK LV5'!$D$47</f>
        <v>0</v>
      </c>
      <c r="L105" s="23">
        <f>'MCH KERIPIK LV5'!$B$52</f>
        <v>0</v>
      </c>
      <c r="M105" s="47">
        <f>'MCH KERIPIK LV5'!$D$52</f>
        <v>0</v>
      </c>
      <c r="N105" s="64">
        <f t="shared" si="11"/>
        <v>-0.08</v>
      </c>
      <c r="O105" s="64">
        <f t="shared" si="12"/>
        <v>0</v>
      </c>
      <c r="P105" s="64">
        <f t="shared" si="13"/>
        <v>0</v>
      </c>
      <c r="Q105" s="64">
        <f t="shared" si="14"/>
        <v>0</v>
      </c>
      <c r="R105" s="64">
        <v>0</v>
      </c>
      <c r="S105" s="65">
        <f t="shared" si="15"/>
        <v>0</v>
      </c>
      <c r="T105" s="67" t="s">
        <v>1998</v>
      </c>
      <c r="U105" s="64">
        <f t="shared" si="16"/>
        <v>0</v>
      </c>
      <c r="V105" s="64">
        <f t="shared" si="17"/>
        <v>0</v>
      </c>
    </row>
    <row r="106" spans="1:22" ht="15" customHeight="1" x14ac:dyDescent="0.35">
      <c r="A106" s="63" t="s">
        <v>1999</v>
      </c>
      <c r="B106" s="63" t="s">
        <v>2000</v>
      </c>
      <c r="C106" s="110" t="s">
        <v>1957</v>
      </c>
      <c r="D106" s="110" t="s">
        <v>1827</v>
      </c>
      <c r="E106" s="82">
        <v>0</v>
      </c>
      <c r="F106" s="33">
        <v>0</v>
      </c>
      <c r="G106" s="82">
        <v>0</v>
      </c>
      <c r="H106" s="33">
        <v>0</v>
      </c>
      <c r="I106" s="110" t="s">
        <v>1958</v>
      </c>
      <c r="J106" s="23">
        <f>'MCH BASRENG L5'!$B$47</f>
        <v>0</v>
      </c>
      <c r="K106" s="47">
        <f>'MCH BASRENG L5'!$D$47</f>
        <v>0</v>
      </c>
      <c r="L106" s="23">
        <f>'MCH BASRENG L5'!$B$52</f>
        <v>0</v>
      </c>
      <c r="M106" s="47">
        <f>'MCH BASRENG L5'!$D$52</f>
        <v>0</v>
      </c>
      <c r="N106" s="64">
        <f t="shared" si="11"/>
        <v>0</v>
      </c>
      <c r="O106" s="64">
        <f t="shared" si="12"/>
        <v>0</v>
      </c>
      <c r="P106" s="64">
        <f t="shared" si="13"/>
        <v>0</v>
      </c>
      <c r="Q106" s="64">
        <f t="shared" si="14"/>
        <v>0</v>
      </c>
      <c r="R106" s="64">
        <v>0</v>
      </c>
      <c r="S106" s="65">
        <f t="shared" si="15"/>
        <v>0</v>
      </c>
      <c r="T106" s="67" t="s">
        <v>2001</v>
      </c>
      <c r="U106" s="64">
        <f t="shared" si="16"/>
        <v>0</v>
      </c>
      <c r="V106" s="64">
        <f t="shared" si="17"/>
        <v>0</v>
      </c>
    </row>
    <row r="107" spans="1:22" ht="15" customHeight="1" x14ac:dyDescent="0.35">
      <c r="A107" s="63" t="s">
        <v>2002</v>
      </c>
      <c r="B107" s="63" t="s">
        <v>2003</v>
      </c>
      <c r="C107" s="110" t="s">
        <v>1957</v>
      </c>
      <c r="D107" s="110" t="s">
        <v>1827</v>
      </c>
      <c r="E107" s="82">
        <v>0</v>
      </c>
      <c r="F107" s="33">
        <v>0</v>
      </c>
      <c r="G107" s="82">
        <v>0</v>
      </c>
      <c r="H107" s="33">
        <v>0</v>
      </c>
      <c r="I107" s="110" t="s">
        <v>1864</v>
      </c>
      <c r="J107" s="23">
        <f>'MCH BASRENG L0'!$B$47</f>
        <v>0</v>
      </c>
      <c r="K107" s="47">
        <f>'MCH BASRENG L0'!$D$47</f>
        <v>0</v>
      </c>
      <c r="L107" s="23">
        <f>'MCH BASRENG L0'!$B$52</f>
        <v>0</v>
      </c>
      <c r="M107" s="47">
        <f>'MCH BASRENG L0'!$D$52</f>
        <v>0</v>
      </c>
      <c r="N107" s="64">
        <f t="shared" si="11"/>
        <v>0</v>
      </c>
      <c r="O107" s="64">
        <f t="shared" si="12"/>
        <v>0</v>
      </c>
      <c r="P107" s="64">
        <f t="shared" si="13"/>
        <v>0</v>
      </c>
      <c r="Q107" s="64">
        <f t="shared" si="14"/>
        <v>0</v>
      </c>
      <c r="R107" s="64">
        <v>0</v>
      </c>
      <c r="S107" s="65">
        <f t="shared" si="15"/>
        <v>0</v>
      </c>
      <c r="T107" s="67" t="s">
        <v>2004</v>
      </c>
      <c r="U107" s="64">
        <f t="shared" si="16"/>
        <v>0</v>
      </c>
      <c r="V107" s="64">
        <f t="shared" si="17"/>
        <v>0</v>
      </c>
    </row>
    <row r="108" spans="1:22" ht="15" customHeight="1" x14ac:dyDescent="0.35">
      <c r="A108" s="63" t="s">
        <v>2005</v>
      </c>
      <c r="B108" s="63" t="s">
        <v>2006</v>
      </c>
      <c r="C108" s="110" t="s">
        <v>1957</v>
      </c>
      <c r="D108" s="110" t="s">
        <v>1827</v>
      </c>
      <c r="E108" s="82">
        <v>0</v>
      </c>
      <c r="F108" s="33">
        <v>-0.12</v>
      </c>
      <c r="G108" s="82">
        <v>0</v>
      </c>
      <c r="H108" s="33">
        <v>-0.12</v>
      </c>
      <c r="I108" s="110" t="s">
        <v>1958</v>
      </c>
      <c r="J108" s="23">
        <f>'MCH BASRENG L10'!$B$47</f>
        <v>0</v>
      </c>
      <c r="K108" s="47">
        <f>'MCH BASRENG L10'!$D$47</f>
        <v>0</v>
      </c>
      <c r="L108" s="23">
        <f>'MCH BASRENG L10'!$B$52</f>
        <v>0</v>
      </c>
      <c r="M108" s="47">
        <f>'MCH BASRENG L10'!$D$52</f>
        <v>0</v>
      </c>
      <c r="N108" s="64">
        <f t="shared" si="11"/>
        <v>0.12</v>
      </c>
      <c r="O108" s="64">
        <f t="shared" si="12"/>
        <v>0</v>
      </c>
      <c r="P108" s="64">
        <f t="shared" si="13"/>
        <v>0</v>
      </c>
      <c r="Q108" s="64">
        <f t="shared" si="14"/>
        <v>0</v>
      </c>
      <c r="R108" s="64">
        <v>0</v>
      </c>
      <c r="S108" s="65">
        <f t="shared" si="15"/>
        <v>0</v>
      </c>
      <c r="T108" s="67" t="s">
        <v>2007</v>
      </c>
      <c r="U108" s="64">
        <f t="shared" si="16"/>
        <v>0</v>
      </c>
      <c r="V108" s="64">
        <f t="shared" si="17"/>
        <v>0</v>
      </c>
    </row>
    <row r="109" spans="1:22" ht="15" customHeight="1" x14ac:dyDescent="0.35">
      <c r="A109" s="63" t="s">
        <v>2008</v>
      </c>
      <c r="B109" s="63" t="s">
        <v>2009</v>
      </c>
      <c r="C109" s="110" t="s">
        <v>1957</v>
      </c>
      <c r="D109" s="110" t="s">
        <v>1827</v>
      </c>
      <c r="E109" s="82">
        <v>0</v>
      </c>
      <c r="F109" s="33">
        <v>0</v>
      </c>
      <c r="G109" s="82">
        <v>0</v>
      </c>
      <c r="H109" s="33">
        <v>0</v>
      </c>
      <c r="I109" s="110" t="s">
        <v>1958</v>
      </c>
      <c r="J109" s="23">
        <f>KOPERASI!$K$27</f>
        <v>0</v>
      </c>
      <c r="K109" s="47">
        <f>KOPERASI!$K$28</f>
        <v>0</v>
      </c>
      <c r="L109" s="23">
        <f>KOPERASI!$K$34</f>
        <v>0</v>
      </c>
      <c r="M109" s="47">
        <f>KOPERASI!$K$35</f>
        <v>0</v>
      </c>
      <c r="N109" s="64">
        <f t="shared" si="11"/>
        <v>0</v>
      </c>
      <c r="O109" s="64">
        <f t="shared" si="12"/>
        <v>0</v>
      </c>
      <c r="P109" s="64">
        <f t="shared" si="13"/>
        <v>0</v>
      </c>
      <c r="Q109" s="64">
        <f t="shared" si="14"/>
        <v>0</v>
      </c>
      <c r="R109" s="64">
        <v>0</v>
      </c>
      <c r="S109" s="65">
        <f t="shared" si="15"/>
        <v>0</v>
      </c>
      <c r="T109" s="67" t="s">
        <v>2010</v>
      </c>
      <c r="U109" s="64">
        <f t="shared" si="16"/>
        <v>0</v>
      </c>
      <c r="V109" s="64">
        <f t="shared" si="17"/>
        <v>0</v>
      </c>
    </row>
    <row r="110" spans="1:22" ht="15" customHeight="1" x14ac:dyDescent="0.35">
      <c r="A110" s="63" t="s">
        <v>2011</v>
      </c>
      <c r="B110" s="63" t="s">
        <v>2012</v>
      </c>
      <c r="C110" s="110" t="s">
        <v>1957</v>
      </c>
      <c r="D110" s="110" t="s">
        <v>1827</v>
      </c>
      <c r="E110" s="82">
        <v>0</v>
      </c>
      <c r="F110" s="33">
        <v>0</v>
      </c>
      <c r="G110" s="82">
        <v>0</v>
      </c>
      <c r="H110" s="33">
        <v>0</v>
      </c>
      <c r="I110" s="110" t="s">
        <v>1958</v>
      </c>
      <c r="J110" s="23">
        <f>KOPERASI!$L$27</f>
        <v>0</v>
      </c>
      <c r="K110" s="47">
        <f>KOPERASI!$L$28</f>
        <v>0</v>
      </c>
      <c r="L110" s="23">
        <f>KOPERASI!$L$34</f>
        <v>0</v>
      </c>
      <c r="M110" s="47">
        <f>KOPERASI!$L$35</f>
        <v>0</v>
      </c>
      <c r="N110" s="64">
        <f t="shared" si="11"/>
        <v>0</v>
      </c>
      <c r="O110" s="64">
        <f t="shared" si="12"/>
        <v>0</v>
      </c>
      <c r="P110" s="64">
        <f t="shared" si="13"/>
        <v>0</v>
      </c>
      <c r="Q110" s="64">
        <f t="shared" si="14"/>
        <v>0</v>
      </c>
      <c r="R110" s="64">
        <v>0</v>
      </c>
      <c r="S110" s="65">
        <f t="shared" si="15"/>
        <v>0</v>
      </c>
      <c r="T110" s="67" t="s">
        <v>2013</v>
      </c>
      <c r="U110" s="64">
        <f t="shared" si="16"/>
        <v>0</v>
      </c>
      <c r="V110" s="64">
        <f t="shared" si="17"/>
        <v>0</v>
      </c>
    </row>
    <row r="111" spans="1:22" ht="15" customHeight="1" x14ac:dyDescent="0.35">
      <c r="A111" s="63" t="s">
        <v>2014</v>
      </c>
      <c r="B111" s="63" t="s">
        <v>2015</v>
      </c>
      <c r="C111" s="110" t="s">
        <v>1957</v>
      </c>
      <c r="D111" s="110" t="s">
        <v>1827</v>
      </c>
      <c r="E111" s="82">
        <v>9180</v>
      </c>
      <c r="F111" s="33">
        <v>12074636.68</v>
      </c>
      <c r="G111" s="82">
        <v>480</v>
      </c>
      <c r="H111" s="33">
        <v>637813.81000000006</v>
      </c>
      <c r="I111" s="110" t="s">
        <v>1958</v>
      </c>
      <c r="J111" s="23">
        <f>'CEM-CEM ORI'!$B$47</f>
        <v>9180</v>
      </c>
      <c r="K111" s="47">
        <f>'CEM-CEM ORI'!$D$47</f>
        <v>14727246.922700001</v>
      </c>
      <c r="L111" s="23">
        <f>'CEM-CEM ORI'!$B$52</f>
        <v>480</v>
      </c>
      <c r="M111" s="47">
        <f>'CEM-CEM ORI'!$D$52</f>
        <v>828183.24527579302</v>
      </c>
      <c r="N111" s="64">
        <f t="shared" si="11"/>
        <v>190369.43527579296</v>
      </c>
      <c r="O111" s="64">
        <f t="shared" si="12"/>
        <v>-2462240.8074242081</v>
      </c>
      <c r="P111" s="64">
        <f t="shared" si="13"/>
        <v>1328.7787708333335</v>
      </c>
      <c r="Q111" s="64">
        <f t="shared" si="14"/>
        <v>1725.3817609912355</v>
      </c>
      <c r="R111" s="64">
        <v>0</v>
      </c>
      <c r="S111" s="65">
        <f t="shared" si="15"/>
        <v>0</v>
      </c>
      <c r="T111" s="67" t="s">
        <v>2016</v>
      </c>
      <c r="U111" s="64">
        <f t="shared" si="16"/>
        <v>0</v>
      </c>
      <c r="V111" s="64">
        <f t="shared" si="17"/>
        <v>0</v>
      </c>
    </row>
    <row r="112" spans="1:22" ht="15" customHeight="1" x14ac:dyDescent="0.35">
      <c r="A112" s="63" t="s">
        <v>2017</v>
      </c>
      <c r="B112" s="63" t="s">
        <v>2018</v>
      </c>
      <c r="C112" s="110" t="s">
        <v>1957</v>
      </c>
      <c r="D112" s="110" t="s">
        <v>1827</v>
      </c>
      <c r="E112" s="82">
        <v>30</v>
      </c>
      <c r="F112" s="33">
        <v>38991.89</v>
      </c>
      <c r="G112" s="82">
        <v>7830</v>
      </c>
      <c r="H112" s="33">
        <v>10310237.26</v>
      </c>
      <c r="I112" s="110" t="s">
        <v>1958</v>
      </c>
      <c r="J112" s="23">
        <f>'CEM-CEM BBQ'!$B$47</f>
        <v>30</v>
      </c>
      <c r="K112" s="47">
        <f>'CEM-CEM BBQ'!$D$47</f>
        <v>47681.8658</v>
      </c>
      <c r="L112" s="23">
        <f>'CEM-CEM BBQ'!$B$52</f>
        <v>7830</v>
      </c>
      <c r="M112" s="47">
        <f>'CEM-CEM BBQ'!$D$52</f>
        <v>13343097.60768022</v>
      </c>
      <c r="N112" s="64">
        <f t="shared" si="11"/>
        <v>3032860.3476802204</v>
      </c>
      <c r="O112" s="64">
        <f t="shared" si="12"/>
        <v>3024170.3718802202</v>
      </c>
      <c r="P112" s="64">
        <f t="shared" si="13"/>
        <v>1316.7608250319286</v>
      </c>
      <c r="Q112" s="64">
        <f t="shared" si="14"/>
        <v>1704.0993113256986</v>
      </c>
      <c r="R112" s="64">
        <v>0</v>
      </c>
      <c r="S112" s="65">
        <f t="shared" si="15"/>
        <v>0</v>
      </c>
      <c r="T112" s="67" t="s">
        <v>2019</v>
      </c>
      <c r="U112" s="64">
        <f t="shared" si="16"/>
        <v>0</v>
      </c>
      <c r="V112" s="64">
        <f t="shared" si="17"/>
        <v>0</v>
      </c>
    </row>
    <row r="113" spans="1:22" ht="15" customHeight="1" x14ac:dyDescent="0.35">
      <c r="A113" s="63" t="s">
        <v>2020</v>
      </c>
      <c r="B113" s="63" t="s">
        <v>2021</v>
      </c>
      <c r="C113" s="110" t="s">
        <v>1957</v>
      </c>
      <c r="D113" s="110" t="s">
        <v>1827</v>
      </c>
      <c r="E113" s="82">
        <v>0</v>
      </c>
      <c r="F113" s="33">
        <v>0</v>
      </c>
      <c r="G113" s="82">
        <v>0</v>
      </c>
      <c r="H113" s="33">
        <v>0</v>
      </c>
      <c r="I113" s="110" t="s">
        <v>1958</v>
      </c>
      <c r="J113" s="23">
        <f>'UBI PUTIH ACE'!$B$47</f>
        <v>0</v>
      </c>
      <c r="K113" s="47">
        <f>'UBI PUTIH ACE'!$D$47</f>
        <v>0</v>
      </c>
      <c r="L113" s="23">
        <f>'UBI PUTIH ACE'!$B$52</f>
        <v>0</v>
      </c>
      <c r="M113" s="47">
        <f>'UBI PUTIH ACE'!$D$52</f>
        <v>0</v>
      </c>
      <c r="N113" s="64">
        <f t="shared" si="11"/>
        <v>0</v>
      </c>
      <c r="O113" s="64">
        <f t="shared" si="12"/>
        <v>0</v>
      </c>
      <c r="P113" s="64">
        <f t="shared" si="13"/>
        <v>0</v>
      </c>
      <c r="Q113" s="64">
        <f t="shared" si="14"/>
        <v>0</v>
      </c>
      <c r="R113" s="64">
        <v>0</v>
      </c>
      <c r="S113" s="65">
        <f t="shared" si="15"/>
        <v>0</v>
      </c>
      <c r="T113" s="67" t="s">
        <v>2022</v>
      </c>
      <c r="U113" s="64">
        <f t="shared" si="16"/>
        <v>0</v>
      </c>
      <c r="V113" s="64">
        <f t="shared" si="17"/>
        <v>0</v>
      </c>
    </row>
    <row r="114" spans="1:22" ht="15" customHeight="1" x14ac:dyDescent="0.35">
      <c r="A114" s="63" t="s">
        <v>2023</v>
      </c>
      <c r="B114" s="63" t="s">
        <v>667</v>
      </c>
      <c r="C114" s="110" t="s">
        <v>1957</v>
      </c>
      <c r="D114" s="110" t="s">
        <v>1827</v>
      </c>
      <c r="E114" s="82">
        <v>0</v>
      </c>
      <c r="F114" s="33">
        <v>0</v>
      </c>
      <c r="G114" s="82">
        <v>0</v>
      </c>
      <c r="H114" s="33">
        <v>0</v>
      </c>
      <c r="I114" s="110" t="s">
        <v>1864</v>
      </c>
      <c r="J114" s="23">
        <f>KOPERASI!$J$27</f>
        <v>0</v>
      </c>
      <c r="K114" s="47">
        <f>KOPERASI!$J$28</f>
        <v>0</v>
      </c>
      <c r="L114" s="23">
        <f>KOPERASI!$J$34</f>
        <v>0</v>
      </c>
      <c r="M114" s="47">
        <f>KOPERASI!$J$35</f>
        <v>0</v>
      </c>
      <c r="N114" s="64">
        <f t="shared" si="11"/>
        <v>0</v>
      </c>
      <c r="O114" s="64">
        <f t="shared" si="12"/>
        <v>0</v>
      </c>
      <c r="P114" s="64">
        <f t="shared" si="13"/>
        <v>0</v>
      </c>
      <c r="Q114" s="64">
        <f t="shared" si="14"/>
        <v>0</v>
      </c>
      <c r="R114" s="64">
        <v>0</v>
      </c>
      <c r="S114" s="65">
        <f t="shared" si="15"/>
        <v>0</v>
      </c>
      <c r="T114" s="67" t="s">
        <v>2024</v>
      </c>
      <c r="U114" s="64">
        <f t="shared" si="16"/>
        <v>0</v>
      </c>
      <c r="V114" s="64">
        <f t="shared" si="17"/>
        <v>0</v>
      </c>
    </row>
    <row r="115" spans="1:22" ht="15" customHeight="1" x14ac:dyDescent="0.35">
      <c r="A115" s="63" t="s">
        <v>2025</v>
      </c>
      <c r="B115" s="63" t="s">
        <v>2026</v>
      </c>
      <c r="C115" s="110" t="s">
        <v>1957</v>
      </c>
      <c r="D115" s="110" t="s">
        <v>1833</v>
      </c>
      <c r="E115" s="82">
        <v>48</v>
      </c>
      <c r="F115" s="33">
        <v>1096087.48</v>
      </c>
      <c r="G115" s="82">
        <v>48</v>
      </c>
      <c r="H115" s="33">
        <v>1096087.48</v>
      </c>
      <c r="I115" s="110" t="s">
        <v>1864</v>
      </c>
      <c r="J115" s="64">
        <v>0</v>
      </c>
      <c r="K115" s="64">
        <v>0</v>
      </c>
      <c r="L115" s="64">
        <v>0</v>
      </c>
      <c r="M115" s="64">
        <v>0</v>
      </c>
      <c r="N115" s="64">
        <f t="shared" si="11"/>
        <v>-1096087.48</v>
      </c>
      <c r="O115" s="64">
        <f t="shared" si="12"/>
        <v>0</v>
      </c>
      <c r="P115" s="64">
        <f t="shared" si="13"/>
        <v>22835.155833333334</v>
      </c>
      <c r="Q115" s="64">
        <f t="shared" si="14"/>
        <v>0</v>
      </c>
      <c r="R115" s="64">
        <v>0</v>
      </c>
      <c r="S115" s="65">
        <f t="shared" si="15"/>
        <v>0</v>
      </c>
      <c r="T115" s="67" t="s">
        <v>2027</v>
      </c>
      <c r="U115" s="64">
        <f t="shared" si="16"/>
        <v>-1096087.48</v>
      </c>
      <c r="V115" s="64">
        <f t="shared" si="17"/>
        <v>-1096087.48</v>
      </c>
    </row>
    <row r="116" spans="1:22" ht="15" customHeight="1" x14ac:dyDescent="0.35">
      <c r="A116" s="63" t="s">
        <v>2028</v>
      </c>
      <c r="B116" s="63" t="s">
        <v>1878</v>
      </c>
      <c r="C116" s="110" t="s">
        <v>1957</v>
      </c>
      <c r="D116" s="110" t="s">
        <v>1833</v>
      </c>
      <c r="E116" s="82">
        <v>0</v>
      </c>
      <c r="F116" s="33">
        <v>7.0000000000000007E-2</v>
      </c>
      <c r="G116" s="82">
        <v>0</v>
      </c>
      <c r="H116" s="33">
        <v>7.0000000000000007E-2</v>
      </c>
      <c r="I116" s="110" t="s">
        <v>1864</v>
      </c>
      <c r="J116" s="64">
        <v>0</v>
      </c>
      <c r="K116" s="64">
        <v>0</v>
      </c>
      <c r="L116" s="64">
        <v>0</v>
      </c>
      <c r="M116" s="64">
        <v>0</v>
      </c>
      <c r="N116" s="64">
        <f t="shared" si="11"/>
        <v>-7.0000000000000007E-2</v>
      </c>
      <c r="O116" s="64">
        <f t="shared" si="12"/>
        <v>0</v>
      </c>
      <c r="P116" s="64">
        <f t="shared" si="13"/>
        <v>0</v>
      </c>
      <c r="Q116" s="64">
        <f t="shared" si="14"/>
        <v>0</v>
      </c>
      <c r="R116" s="64">
        <v>0</v>
      </c>
      <c r="S116" s="65">
        <f t="shared" si="15"/>
        <v>0</v>
      </c>
      <c r="T116" s="67" t="s">
        <v>2029</v>
      </c>
      <c r="U116" s="64">
        <f t="shared" si="16"/>
        <v>0</v>
      </c>
      <c r="V116" s="64">
        <f t="shared" si="17"/>
        <v>0</v>
      </c>
    </row>
    <row r="117" spans="1:22" ht="15" customHeight="1" x14ac:dyDescent="0.35">
      <c r="A117" s="63" t="s">
        <v>2030</v>
      </c>
      <c r="B117" s="63" t="s">
        <v>2031</v>
      </c>
      <c r="C117" s="110" t="s">
        <v>1957</v>
      </c>
      <c r="D117" s="110" t="s">
        <v>1833</v>
      </c>
      <c r="E117" s="82">
        <v>1835</v>
      </c>
      <c r="F117" s="33">
        <v>29725392.52</v>
      </c>
      <c r="G117" s="82">
        <v>1835</v>
      </c>
      <c r="H117" s="33">
        <v>29725392.52</v>
      </c>
      <c r="I117" s="110" t="s">
        <v>1864</v>
      </c>
      <c r="J117" s="64">
        <v>0</v>
      </c>
      <c r="K117" s="64">
        <v>0</v>
      </c>
      <c r="L117" s="64">
        <v>0</v>
      </c>
      <c r="M117" s="64">
        <v>0</v>
      </c>
      <c r="N117" s="64">
        <f t="shared" si="11"/>
        <v>-29725392.52</v>
      </c>
      <c r="O117" s="64">
        <f t="shared" si="12"/>
        <v>0</v>
      </c>
      <c r="P117" s="64">
        <f t="shared" si="13"/>
        <v>16199.123989100817</v>
      </c>
      <c r="Q117" s="64">
        <f t="shared" si="14"/>
        <v>0</v>
      </c>
      <c r="R117" s="64">
        <v>0</v>
      </c>
      <c r="S117" s="65">
        <f t="shared" si="15"/>
        <v>0</v>
      </c>
      <c r="T117" s="67" t="s">
        <v>2032</v>
      </c>
      <c r="U117" s="64">
        <f t="shared" si="16"/>
        <v>-29725392.52</v>
      </c>
      <c r="V117" s="64">
        <f t="shared" si="17"/>
        <v>-29725392.52</v>
      </c>
    </row>
    <row r="118" spans="1:22" ht="15" customHeight="1" x14ac:dyDescent="0.35">
      <c r="A118" s="63" t="s">
        <v>2033</v>
      </c>
      <c r="B118" s="63" t="s">
        <v>1878</v>
      </c>
      <c r="C118" s="110" t="s">
        <v>1957</v>
      </c>
      <c r="D118" s="110" t="s">
        <v>1833</v>
      </c>
      <c r="E118" s="82">
        <v>15</v>
      </c>
      <c r="F118" s="33">
        <v>428679.94</v>
      </c>
      <c r="G118" s="82">
        <v>15</v>
      </c>
      <c r="H118" s="33">
        <v>428679.94</v>
      </c>
      <c r="I118" s="110" t="s">
        <v>1864</v>
      </c>
      <c r="J118" s="64">
        <v>0</v>
      </c>
      <c r="K118" s="64">
        <v>0</v>
      </c>
      <c r="L118" s="64">
        <v>0</v>
      </c>
      <c r="M118" s="64">
        <v>0</v>
      </c>
      <c r="N118" s="64">
        <f t="shared" si="11"/>
        <v>-428679.94</v>
      </c>
      <c r="O118" s="64">
        <f t="shared" si="12"/>
        <v>0</v>
      </c>
      <c r="P118" s="64">
        <f t="shared" si="13"/>
        <v>28578.662666666667</v>
      </c>
      <c r="Q118" s="64">
        <f t="shared" si="14"/>
        <v>0</v>
      </c>
      <c r="R118" s="64">
        <v>0</v>
      </c>
      <c r="S118" s="65">
        <f t="shared" si="15"/>
        <v>0</v>
      </c>
      <c r="T118" s="67" t="s">
        <v>2034</v>
      </c>
      <c r="U118" s="64">
        <f t="shared" si="16"/>
        <v>-428679.94</v>
      </c>
      <c r="V118" s="64">
        <f t="shared" si="17"/>
        <v>-428679.94</v>
      </c>
    </row>
    <row r="119" spans="1:22" ht="15" customHeight="1" x14ac:dyDescent="0.35">
      <c r="A119" s="63" t="s">
        <v>2035</v>
      </c>
      <c r="B119" s="63" t="s">
        <v>1878</v>
      </c>
      <c r="C119" s="110" t="s">
        <v>1957</v>
      </c>
      <c r="D119" s="110" t="s">
        <v>1833</v>
      </c>
      <c r="E119" s="82">
        <v>0</v>
      </c>
      <c r="F119" s="33">
        <v>-0.4</v>
      </c>
      <c r="G119" s="82">
        <v>0</v>
      </c>
      <c r="H119" s="33">
        <v>-0.4</v>
      </c>
      <c r="I119" s="110" t="s">
        <v>1864</v>
      </c>
      <c r="J119" s="64">
        <v>0</v>
      </c>
      <c r="K119" s="64">
        <v>0</v>
      </c>
      <c r="L119" s="64">
        <v>0</v>
      </c>
      <c r="M119" s="64">
        <v>0</v>
      </c>
      <c r="N119" s="64">
        <f t="shared" ref="N119:N150" si="18">M119-H119</f>
        <v>0.4</v>
      </c>
      <c r="O119" s="64">
        <f t="shared" ref="O119:O150" si="19">N119-(K119-F119)</f>
        <v>0</v>
      </c>
      <c r="P119" s="64">
        <f t="shared" ref="P119:P135" si="20">IF(G119=0,0,H119/G119)</f>
        <v>0</v>
      </c>
      <c r="Q119" s="64">
        <f t="shared" ref="Q119:Q135" si="21">IF(L119=0,0,M119/L119)</f>
        <v>0</v>
      </c>
      <c r="R119" s="64">
        <v>0</v>
      </c>
      <c r="S119" s="65">
        <f t="shared" ref="S119:S150" si="22">IF(OR(G119&lt;=0,R119=0),0,P119/R119-1)</f>
        <v>0</v>
      </c>
      <c r="T119" s="67" t="s">
        <v>2036</v>
      </c>
      <c r="U119" s="64">
        <f t="shared" ref="U119:U135" si="23">IF(L119&lt;&gt;0,(L119-G119)*Q119,IF(G119=0,0,-H119))</f>
        <v>0</v>
      </c>
      <c r="V119" s="64">
        <f t="shared" ref="V119:V135" si="24">IF(J119&lt;&gt;0,(J119-E119)*K119/J119,IF(E119=0,0,-F119))</f>
        <v>0</v>
      </c>
    </row>
    <row r="120" spans="1:22" ht="15" customHeight="1" x14ac:dyDescent="0.35">
      <c r="A120" s="63" t="s">
        <v>2037</v>
      </c>
      <c r="B120" s="63" t="s">
        <v>1878</v>
      </c>
      <c r="C120" s="110" t="s">
        <v>1957</v>
      </c>
      <c r="D120" s="110" t="s">
        <v>1833</v>
      </c>
      <c r="E120" s="82">
        <v>0</v>
      </c>
      <c r="F120" s="33">
        <v>-1.1000000000000001</v>
      </c>
      <c r="G120" s="82">
        <v>0</v>
      </c>
      <c r="H120" s="33">
        <v>-1.1000000000000001</v>
      </c>
      <c r="I120" s="110" t="s">
        <v>1864</v>
      </c>
      <c r="J120" s="64">
        <v>0</v>
      </c>
      <c r="K120" s="64">
        <v>0</v>
      </c>
      <c r="L120" s="64">
        <v>0</v>
      </c>
      <c r="M120" s="64">
        <v>0</v>
      </c>
      <c r="N120" s="64">
        <f t="shared" si="18"/>
        <v>1.1000000000000001</v>
      </c>
      <c r="O120" s="64">
        <f t="shared" si="19"/>
        <v>0</v>
      </c>
      <c r="P120" s="64">
        <f t="shared" si="20"/>
        <v>0</v>
      </c>
      <c r="Q120" s="64">
        <f t="shared" si="21"/>
        <v>0</v>
      </c>
      <c r="R120" s="64">
        <v>0</v>
      </c>
      <c r="S120" s="65">
        <f t="shared" si="22"/>
        <v>0</v>
      </c>
      <c r="T120" s="67" t="s">
        <v>2038</v>
      </c>
      <c r="U120" s="64">
        <f t="shared" si="23"/>
        <v>0</v>
      </c>
      <c r="V120" s="64">
        <f t="shared" si="24"/>
        <v>0</v>
      </c>
    </row>
    <row r="121" spans="1:22" ht="15" customHeight="1" x14ac:dyDescent="0.35">
      <c r="A121" s="63" t="s">
        <v>2039</v>
      </c>
      <c r="B121" s="63" t="s">
        <v>1878</v>
      </c>
      <c r="C121" s="110" t="s">
        <v>1957</v>
      </c>
      <c r="D121" s="110" t="s">
        <v>1833</v>
      </c>
      <c r="E121" s="82">
        <v>0</v>
      </c>
      <c r="F121" s="33">
        <v>-0.79</v>
      </c>
      <c r="G121" s="82">
        <v>0</v>
      </c>
      <c r="H121" s="33">
        <v>-0.79</v>
      </c>
      <c r="I121" s="110" t="s">
        <v>1864</v>
      </c>
      <c r="J121" s="64">
        <v>0</v>
      </c>
      <c r="K121" s="64">
        <v>0</v>
      </c>
      <c r="L121" s="64">
        <v>0</v>
      </c>
      <c r="M121" s="64">
        <v>0</v>
      </c>
      <c r="N121" s="64">
        <f t="shared" si="18"/>
        <v>0.79</v>
      </c>
      <c r="O121" s="64">
        <f t="shared" si="19"/>
        <v>0</v>
      </c>
      <c r="P121" s="64">
        <f t="shared" si="20"/>
        <v>0</v>
      </c>
      <c r="Q121" s="64">
        <f t="shared" si="21"/>
        <v>0</v>
      </c>
      <c r="R121" s="64">
        <v>0</v>
      </c>
      <c r="S121" s="65">
        <f t="shared" si="22"/>
        <v>0</v>
      </c>
      <c r="T121" s="67" t="s">
        <v>2040</v>
      </c>
      <c r="U121" s="64">
        <f t="shared" si="23"/>
        <v>0</v>
      </c>
      <c r="V121" s="64">
        <f t="shared" si="24"/>
        <v>0</v>
      </c>
    </row>
    <row r="122" spans="1:22" ht="15" customHeight="1" x14ac:dyDescent="0.35">
      <c r="A122" s="63" t="s">
        <v>2041</v>
      </c>
      <c r="B122" s="63" t="s">
        <v>1878</v>
      </c>
      <c r="C122" s="110" t="s">
        <v>1957</v>
      </c>
      <c r="D122" s="110" t="s">
        <v>1833</v>
      </c>
      <c r="E122" s="82">
        <v>0</v>
      </c>
      <c r="F122" s="33">
        <v>-1.08</v>
      </c>
      <c r="G122" s="82">
        <v>0</v>
      </c>
      <c r="H122" s="33">
        <v>-1.08</v>
      </c>
      <c r="I122" s="110" t="s">
        <v>1864</v>
      </c>
      <c r="J122" s="64">
        <v>0</v>
      </c>
      <c r="K122" s="64">
        <v>0</v>
      </c>
      <c r="L122" s="64">
        <v>0</v>
      </c>
      <c r="M122" s="64">
        <v>0</v>
      </c>
      <c r="N122" s="64">
        <f t="shared" si="18"/>
        <v>1.08</v>
      </c>
      <c r="O122" s="64">
        <f t="shared" si="19"/>
        <v>0</v>
      </c>
      <c r="P122" s="64">
        <f t="shared" si="20"/>
        <v>0</v>
      </c>
      <c r="Q122" s="64">
        <f t="shared" si="21"/>
        <v>0</v>
      </c>
      <c r="R122" s="64">
        <v>0</v>
      </c>
      <c r="S122" s="65">
        <f t="shared" si="22"/>
        <v>0</v>
      </c>
      <c r="T122" s="67" t="s">
        <v>2042</v>
      </c>
      <c r="U122" s="64">
        <f t="shared" si="23"/>
        <v>0</v>
      </c>
      <c r="V122" s="64">
        <f t="shared" si="24"/>
        <v>0</v>
      </c>
    </row>
    <row r="123" spans="1:22" ht="15" customHeight="1" x14ac:dyDescent="0.35">
      <c r="A123" s="63" t="s">
        <v>2043</v>
      </c>
      <c r="B123" s="63" t="s">
        <v>1878</v>
      </c>
      <c r="C123" s="110" t="s">
        <v>1957</v>
      </c>
      <c r="D123" s="110" t="s">
        <v>1833</v>
      </c>
      <c r="E123" s="82">
        <v>0</v>
      </c>
      <c r="F123" s="33">
        <v>-0.05</v>
      </c>
      <c r="G123" s="82">
        <v>0</v>
      </c>
      <c r="H123" s="33">
        <v>-0.05</v>
      </c>
      <c r="I123" s="110" t="s">
        <v>1864</v>
      </c>
      <c r="J123" s="64">
        <v>0</v>
      </c>
      <c r="K123" s="64">
        <v>0</v>
      </c>
      <c r="L123" s="64">
        <v>0</v>
      </c>
      <c r="M123" s="64">
        <v>0</v>
      </c>
      <c r="N123" s="64">
        <f t="shared" si="18"/>
        <v>0.05</v>
      </c>
      <c r="O123" s="64">
        <f t="shared" si="19"/>
        <v>0</v>
      </c>
      <c r="P123" s="64">
        <f t="shared" si="20"/>
        <v>0</v>
      </c>
      <c r="Q123" s="64">
        <f t="shared" si="21"/>
        <v>0</v>
      </c>
      <c r="R123" s="64">
        <v>0</v>
      </c>
      <c r="S123" s="65">
        <f t="shared" si="22"/>
        <v>0</v>
      </c>
      <c r="T123" s="67" t="s">
        <v>2044</v>
      </c>
      <c r="U123" s="64">
        <f t="shared" si="23"/>
        <v>0</v>
      </c>
      <c r="V123" s="64">
        <f t="shared" si="24"/>
        <v>0</v>
      </c>
    </row>
    <row r="124" spans="1:22" ht="15" customHeight="1" x14ac:dyDescent="0.35">
      <c r="A124" s="63" t="s">
        <v>2045</v>
      </c>
      <c r="B124" s="63" t="s">
        <v>1878</v>
      </c>
      <c r="C124" s="110" t="s">
        <v>1957</v>
      </c>
      <c r="D124" s="110" t="s">
        <v>1833</v>
      </c>
      <c r="E124" s="82">
        <v>0</v>
      </c>
      <c r="F124" s="33">
        <v>-0.11</v>
      </c>
      <c r="G124" s="82">
        <v>0</v>
      </c>
      <c r="H124" s="33">
        <v>-0.11</v>
      </c>
      <c r="I124" s="110" t="s">
        <v>1864</v>
      </c>
      <c r="J124" s="64">
        <v>0</v>
      </c>
      <c r="K124" s="64">
        <v>0</v>
      </c>
      <c r="L124" s="64">
        <v>0</v>
      </c>
      <c r="M124" s="64">
        <v>0</v>
      </c>
      <c r="N124" s="64">
        <f t="shared" si="18"/>
        <v>0.11</v>
      </c>
      <c r="O124" s="64">
        <f t="shared" si="19"/>
        <v>0</v>
      </c>
      <c r="P124" s="64">
        <f t="shared" si="20"/>
        <v>0</v>
      </c>
      <c r="Q124" s="64">
        <f t="shared" si="21"/>
        <v>0</v>
      </c>
      <c r="R124" s="64">
        <v>0</v>
      </c>
      <c r="S124" s="65">
        <f t="shared" si="22"/>
        <v>0</v>
      </c>
      <c r="T124" s="67" t="s">
        <v>2046</v>
      </c>
      <c r="U124" s="64">
        <f t="shared" si="23"/>
        <v>0</v>
      </c>
      <c r="V124" s="64">
        <f t="shared" si="24"/>
        <v>0</v>
      </c>
    </row>
    <row r="125" spans="1:22" ht="15" customHeight="1" x14ac:dyDescent="0.35">
      <c r="A125" s="63" t="s">
        <v>2047</v>
      </c>
      <c r="B125" s="63" t="s">
        <v>1878</v>
      </c>
      <c r="C125" s="110" t="s">
        <v>1957</v>
      </c>
      <c r="D125" s="110" t="s">
        <v>1833</v>
      </c>
      <c r="E125" s="82">
        <v>0</v>
      </c>
      <c r="F125" s="33">
        <v>-0.08</v>
      </c>
      <c r="G125" s="82">
        <v>0</v>
      </c>
      <c r="H125" s="33">
        <v>-0.08</v>
      </c>
      <c r="I125" s="110" t="s">
        <v>1864</v>
      </c>
      <c r="J125" s="64">
        <v>0</v>
      </c>
      <c r="K125" s="64">
        <v>0</v>
      </c>
      <c r="L125" s="64">
        <v>0</v>
      </c>
      <c r="M125" s="64">
        <v>0</v>
      </c>
      <c r="N125" s="64">
        <f t="shared" si="18"/>
        <v>0.08</v>
      </c>
      <c r="O125" s="64">
        <f t="shared" si="19"/>
        <v>0</v>
      </c>
      <c r="P125" s="64">
        <f t="shared" si="20"/>
        <v>0</v>
      </c>
      <c r="Q125" s="64">
        <f t="shared" si="21"/>
        <v>0</v>
      </c>
      <c r="R125" s="64">
        <v>0</v>
      </c>
      <c r="S125" s="65">
        <f t="shared" si="22"/>
        <v>0</v>
      </c>
      <c r="T125" s="67" t="s">
        <v>2048</v>
      </c>
      <c r="U125" s="64">
        <f t="shared" si="23"/>
        <v>0</v>
      </c>
      <c r="V125" s="64">
        <f t="shared" si="24"/>
        <v>0</v>
      </c>
    </row>
    <row r="126" spans="1:22" ht="15" customHeight="1" x14ac:dyDescent="0.35">
      <c r="A126" s="63" t="s">
        <v>2049</v>
      </c>
      <c r="B126" s="63" t="s">
        <v>1878</v>
      </c>
      <c r="C126" s="110" t="s">
        <v>1957</v>
      </c>
      <c r="D126" s="110" t="s">
        <v>1833</v>
      </c>
      <c r="E126" s="82">
        <v>23.8</v>
      </c>
      <c r="F126" s="33">
        <v>660582.41</v>
      </c>
      <c r="G126" s="82">
        <v>23.8</v>
      </c>
      <c r="H126" s="33">
        <v>660582.41</v>
      </c>
      <c r="I126" s="110" t="s">
        <v>1864</v>
      </c>
      <c r="J126" s="64">
        <v>0</v>
      </c>
      <c r="K126" s="64">
        <v>0</v>
      </c>
      <c r="L126" s="64">
        <v>0</v>
      </c>
      <c r="M126" s="64">
        <v>0</v>
      </c>
      <c r="N126" s="64">
        <f t="shared" si="18"/>
        <v>-660582.41</v>
      </c>
      <c r="O126" s="64">
        <f t="shared" si="19"/>
        <v>0</v>
      </c>
      <c r="P126" s="64">
        <f t="shared" si="20"/>
        <v>27755.563445378153</v>
      </c>
      <c r="Q126" s="64">
        <f t="shared" si="21"/>
        <v>0</v>
      </c>
      <c r="R126" s="64">
        <v>0</v>
      </c>
      <c r="S126" s="65">
        <f t="shared" si="22"/>
        <v>0</v>
      </c>
      <c r="T126" s="67" t="s">
        <v>2050</v>
      </c>
      <c r="U126" s="64">
        <f t="shared" si="23"/>
        <v>-660582.41</v>
      </c>
      <c r="V126" s="64">
        <f t="shared" si="24"/>
        <v>-660582.41</v>
      </c>
    </row>
    <row r="127" spans="1:22" ht="15" customHeight="1" x14ac:dyDescent="0.35">
      <c r="A127" s="63" t="s">
        <v>2051</v>
      </c>
      <c r="B127" s="63" t="s">
        <v>2052</v>
      </c>
      <c r="C127" s="110" t="s">
        <v>1957</v>
      </c>
      <c r="D127" s="110" t="s">
        <v>1833</v>
      </c>
      <c r="E127" s="82">
        <v>6697</v>
      </c>
      <c r="F127" s="33">
        <v>154855618.28999999</v>
      </c>
      <c r="G127" s="82">
        <v>6697</v>
      </c>
      <c r="H127" s="33">
        <v>154855618.25999999</v>
      </c>
      <c r="I127" s="110" t="s">
        <v>1864</v>
      </c>
      <c r="J127" s="64">
        <v>0</v>
      </c>
      <c r="K127" s="64">
        <v>0</v>
      </c>
      <c r="L127" s="64">
        <v>0</v>
      </c>
      <c r="M127" s="64">
        <v>0</v>
      </c>
      <c r="N127" s="64">
        <f t="shared" si="18"/>
        <v>-154855618.25999999</v>
      </c>
      <c r="O127" s="64">
        <f t="shared" si="19"/>
        <v>3.0000001192092896E-2</v>
      </c>
      <c r="P127" s="64">
        <f t="shared" si="20"/>
        <v>23123.132486187846</v>
      </c>
      <c r="Q127" s="64">
        <f t="shared" si="21"/>
        <v>0</v>
      </c>
      <c r="R127" s="64">
        <v>0</v>
      </c>
      <c r="S127" s="65">
        <f t="shared" si="22"/>
        <v>0</v>
      </c>
      <c r="T127" s="67" t="s">
        <v>2053</v>
      </c>
      <c r="U127" s="64">
        <f t="shared" si="23"/>
        <v>-154855618.25999999</v>
      </c>
      <c r="V127" s="64">
        <f t="shared" si="24"/>
        <v>-154855618.28999999</v>
      </c>
    </row>
    <row r="128" spans="1:22" ht="15" customHeight="1" x14ac:dyDescent="0.35">
      <c r="A128" s="63" t="s">
        <v>2054</v>
      </c>
      <c r="B128" s="63" t="s">
        <v>1878</v>
      </c>
      <c r="C128" s="110" t="s">
        <v>1957</v>
      </c>
      <c r="D128" s="110" t="s">
        <v>1833</v>
      </c>
      <c r="E128" s="82">
        <v>0</v>
      </c>
      <c r="F128" s="33">
        <v>8.9499999999999993</v>
      </c>
      <c r="G128" s="82">
        <v>0</v>
      </c>
      <c r="H128" s="33">
        <v>8.9499999999999993</v>
      </c>
      <c r="I128" s="110" t="s">
        <v>1864</v>
      </c>
      <c r="J128" s="64">
        <v>0</v>
      </c>
      <c r="K128" s="64">
        <v>0</v>
      </c>
      <c r="L128" s="64">
        <v>0</v>
      </c>
      <c r="M128" s="64">
        <v>0</v>
      </c>
      <c r="N128" s="64">
        <f t="shared" si="18"/>
        <v>-8.9499999999999993</v>
      </c>
      <c r="O128" s="64">
        <f t="shared" si="19"/>
        <v>0</v>
      </c>
      <c r="P128" s="64">
        <f t="shared" si="20"/>
        <v>0</v>
      </c>
      <c r="Q128" s="64">
        <f t="shared" si="21"/>
        <v>0</v>
      </c>
      <c r="R128" s="64">
        <v>0</v>
      </c>
      <c r="S128" s="65">
        <f t="shared" si="22"/>
        <v>0</v>
      </c>
      <c r="T128" s="67" t="s">
        <v>2055</v>
      </c>
      <c r="U128" s="64">
        <f t="shared" si="23"/>
        <v>0</v>
      </c>
      <c r="V128" s="64">
        <f t="shared" si="24"/>
        <v>0</v>
      </c>
    </row>
    <row r="129" spans="1:22" ht="15" customHeight="1" x14ac:dyDescent="0.35">
      <c r="A129" s="63" t="s">
        <v>2056</v>
      </c>
      <c r="B129" s="63" t="s">
        <v>1878</v>
      </c>
      <c r="C129" s="110" t="s">
        <v>1957</v>
      </c>
      <c r="D129" s="110" t="s">
        <v>1833</v>
      </c>
      <c r="E129" s="82">
        <v>0</v>
      </c>
      <c r="F129" s="33">
        <v>3.42</v>
      </c>
      <c r="G129" s="82">
        <v>0</v>
      </c>
      <c r="H129" s="33">
        <v>3.42</v>
      </c>
      <c r="I129" s="110" t="s">
        <v>1864</v>
      </c>
      <c r="J129" s="64">
        <v>0</v>
      </c>
      <c r="K129" s="64">
        <v>0</v>
      </c>
      <c r="L129" s="64">
        <v>0</v>
      </c>
      <c r="M129" s="64">
        <v>0</v>
      </c>
      <c r="N129" s="64">
        <f t="shared" si="18"/>
        <v>-3.42</v>
      </c>
      <c r="O129" s="64">
        <f t="shared" si="19"/>
        <v>0</v>
      </c>
      <c r="P129" s="64">
        <f t="shared" si="20"/>
        <v>0</v>
      </c>
      <c r="Q129" s="64">
        <f t="shared" si="21"/>
        <v>0</v>
      </c>
      <c r="R129" s="64">
        <v>0</v>
      </c>
      <c r="S129" s="65">
        <f t="shared" si="22"/>
        <v>0</v>
      </c>
      <c r="T129" s="67" t="s">
        <v>2057</v>
      </c>
      <c r="U129" s="64">
        <f t="shared" si="23"/>
        <v>0</v>
      </c>
      <c r="V129" s="64">
        <f t="shared" si="24"/>
        <v>0</v>
      </c>
    </row>
    <row r="130" spans="1:22" ht="15" customHeight="1" x14ac:dyDescent="0.35">
      <c r="A130" s="63" t="s">
        <v>2058</v>
      </c>
      <c r="B130" s="63" t="s">
        <v>2059</v>
      </c>
      <c r="C130" s="110" t="s">
        <v>1957</v>
      </c>
      <c r="D130" s="110" t="s">
        <v>1833</v>
      </c>
      <c r="E130" s="82">
        <v>1476</v>
      </c>
      <c r="F130" s="33">
        <v>36418412.210000001</v>
      </c>
      <c r="G130" s="82">
        <v>1470.2</v>
      </c>
      <c r="H130" s="33">
        <v>36275304.549999997</v>
      </c>
      <c r="I130" s="110" t="s">
        <v>1864</v>
      </c>
      <c r="J130" s="64">
        <v>0</v>
      </c>
      <c r="K130" s="64">
        <v>0</v>
      </c>
      <c r="L130" s="64">
        <v>0</v>
      </c>
      <c r="M130" s="64">
        <v>0</v>
      </c>
      <c r="N130" s="64">
        <f t="shared" si="18"/>
        <v>-36275304.549999997</v>
      </c>
      <c r="O130" s="64">
        <f t="shared" si="19"/>
        <v>143107.66000000387</v>
      </c>
      <c r="P130" s="64">
        <f t="shared" si="20"/>
        <v>24673.720956332469</v>
      </c>
      <c r="Q130" s="64">
        <f t="shared" si="21"/>
        <v>0</v>
      </c>
      <c r="R130" s="64">
        <v>0</v>
      </c>
      <c r="S130" s="65">
        <f t="shared" si="22"/>
        <v>0</v>
      </c>
      <c r="T130" s="67" t="s">
        <v>2060</v>
      </c>
      <c r="U130" s="64">
        <f t="shared" si="23"/>
        <v>-36275304.549999997</v>
      </c>
      <c r="V130" s="64">
        <f t="shared" si="24"/>
        <v>-36418412.210000001</v>
      </c>
    </row>
    <row r="131" spans="1:22" ht="15" customHeight="1" x14ac:dyDescent="0.35">
      <c r="A131" s="63" t="s">
        <v>2061</v>
      </c>
      <c r="B131" s="63" t="s">
        <v>1878</v>
      </c>
      <c r="C131" s="110" t="s">
        <v>1957</v>
      </c>
      <c r="D131" s="110" t="s">
        <v>1833</v>
      </c>
      <c r="E131" s="82">
        <v>2311.3000000000002</v>
      </c>
      <c r="F131" s="33">
        <v>46574668.619999997</v>
      </c>
      <c r="G131" s="82">
        <v>2311.3000000000002</v>
      </c>
      <c r="H131" s="33">
        <v>46574668.619999997</v>
      </c>
      <c r="I131" s="110" t="s">
        <v>1864</v>
      </c>
      <c r="J131" s="64">
        <v>0</v>
      </c>
      <c r="K131" s="64">
        <v>0</v>
      </c>
      <c r="L131" s="64">
        <v>0</v>
      </c>
      <c r="M131" s="64">
        <v>0</v>
      </c>
      <c r="N131" s="64">
        <f t="shared" si="18"/>
        <v>-46574668.619999997</v>
      </c>
      <c r="O131" s="64">
        <f t="shared" si="19"/>
        <v>0</v>
      </c>
      <c r="P131" s="64">
        <f t="shared" si="20"/>
        <v>20150.85390040237</v>
      </c>
      <c r="Q131" s="64">
        <f t="shared" si="21"/>
        <v>0</v>
      </c>
      <c r="R131" s="64">
        <v>0</v>
      </c>
      <c r="S131" s="65">
        <f t="shared" si="22"/>
        <v>0</v>
      </c>
      <c r="T131" s="67" t="s">
        <v>2062</v>
      </c>
      <c r="U131" s="64">
        <f t="shared" si="23"/>
        <v>-46574668.619999997</v>
      </c>
      <c r="V131" s="64">
        <f t="shared" si="24"/>
        <v>-46574668.619999997</v>
      </c>
    </row>
    <row r="132" spans="1:22" ht="15" customHeight="1" x14ac:dyDescent="0.35">
      <c r="A132" s="63" t="s">
        <v>2063</v>
      </c>
      <c r="B132" s="63" t="s">
        <v>1878</v>
      </c>
      <c r="C132" s="110" t="s">
        <v>1957</v>
      </c>
      <c r="D132" s="110" t="s">
        <v>1833</v>
      </c>
      <c r="E132" s="82">
        <v>0</v>
      </c>
      <c r="F132" s="33">
        <v>-0.08</v>
      </c>
      <c r="G132" s="82">
        <v>0</v>
      </c>
      <c r="H132" s="33">
        <v>-0.08</v>
      </c>
      <c r="I132" s="110" t="s">
        <v>1864</v>
      </c>
      <c r="J132" s="64">
        <v>0</v>
      </c>
      <c r="K132" s="64">
        <v>0</v>
      </c>
      <c r="L132" s="64">
        <v>0</v>
      </c>
      <c r="M132" s="64">
        <v>0</v>
      </c>
      <c r="N132" s="64">
        <f t="shared" si="18"/>
        <v>0.08</v>
      </c>
      <c r="O132" s="64">
        <f t="shared" si="19"/>
        <v>0</v>
      </c>
      <c r="P132" s="64">
        <f t="shared" si="20"/>
        <v>0</v>
      </c>
      <c r="Q132" s="64">
        <f t="shared" si="21"/>
        <v>0</v>
      </c>
      <c r="R132" s="64">
        <v>0</v>
      </c>
      <c r="S132" s="65">
        <f t="shared" si="22"/>
        <v>0</v>
      </c>
      <c r="T132" s="67" t="s">
        <v>2064</v>
      </c>
      <c r="U132" s="64">
        <f t="shared" si="23"/>
        <v>0</v>
      </c>
      <c r="V132" s="64">
        <f t="shared" si="24"/>
        <v>0</v>
      </c>
    </row>
    <row r="133" spans="1:22" ht="15" customHeight="1" x14ac:dyDescent="0.35">
      <c r="A133" s="63" t="s">
        <v>2065</v>
      </c>
      <c r="B133" s="63" t="s">
        <v>2066</v>
      </c>
      <c r="C133" s="110" t="s">
        <v>1957</v>
      </c>
      <c r="D133" s="110" t="s">
        <v>1833</v>
      </c>
      <c r="E133" s="82">
        <v>120</v>
      </c>
      <c r="F133" s="33">
        <v>3537675.3</v>
      </c>
      <c r="G133" s="82">
        <v>116.7</v>
      </c>
      <c r="H133" s="33">
        <v>3440389.22</v>
      </c>
      <c r="I133" s="110" t="s">
        <v>1864</v>
      </c>
      <c r="J133" s="64">
        <v>0</v>
      </c>
      <c r="K133" s="64">
        <v>0</v>
      </c>
      <c r="L133" s="64">
        <v>0</v>
      </c>
      <c r="M133" s="64">
        <v>0</v>
      </c>
      <c r="N133" s="64">
        <f t="shared" si="18"/>
        <v>-3440389.22</v>
      </c>
      <c r="O133" s="64">
        <f t="shared" si="19"/>
        <v>97286.079999999609</v>
      </c>
      <c r="P133" s="64">
        <f t="shared" si="20"/>
        <v>29480.627420736932</v>
      </c>
      <c r="Q133" s="64">
        <f t="shared" si="21"/>
        <v>0</v>
      </c>
      <c r="R133" s="64">
        <v>0</v>
      </c>
      <c r="S133" s="65">
        <f t="shared" si="22"/>
        <v>0</v>
      </c>
      <c r="T133" s="67" t="s">
        <v>2067</v>
      </c>
      <c r="U133" s="64">
        <f t="shared" si="23"/>
        <v>-3440389.22</v>
      </c>
      <c r="V133" s="64">
        <f t="shared" si="24"/>
        <v>-3537675.3</v>
      </c>
    </row>
    <row r="134" spans="1:22" ht="15" customHeight="1" x14ac:dyDescent="0.35">
      <c r="A134" s="63" t="s">
        <v>2068</v>
      </c>
      <c r="B134" s="63" t="s">
        <v>2069</v>
      </c>
      <c r="C134" s="110" t="s">
        <v>1957</v>
      </c>
      <c r="D134" s="110" t="s">
        <v>1835</v>
      </c>
      <c r="E134" s="82">
        <v>0</v>
      </c>
      <c r="F134" s="33">
        <v>0.28000000000000003</v>
      </c>
      <c r="G134" s="82">
        <v>0</v>
      </c>
      <c r="H134" s="33">
        <v>0.28000000000000003</v>
      </c>
      <c r="I134" s="110" t="s">
        <v>1958</v>
      </c>
      <c r="J134" s="64">
        <v>0</v>
      </c>
      <c r="K134" s="64">
        <v>0</v>
      </c>
      <c r="L134" s="64">
        <v>0</v>
      </c>
      <c r="M134" s="64">
        <v>0</v>
      </c>
      <c r="N134" s="64">
        <f t="shared" si="18"/>
        <v>-0.28000000000000003</v>
      </c>
      <c r="O134" s="64">
        <f t="shared" si="19"/>
        <v>0</v>
      </c>
      <c r="P134" s="64">
        <f t="shared" si="20"/>
        <v>0</v>
      </c>
      <c r="Q134" s="64">
        <f t="shared" si="21"/>
        <v>0</v>
      </c>
      <c r="R134" s="64">
        <v>0</v>
      </c>
      <c r="S134" s="65">
        <f t="shared" si="22"/>
        <v>0</v>
      </c>
      <c r="T134" s="67" t="s">
        <v>2070</v>
      </c>
      <c r="U134" s="64">
        <f t="shared" si="23"/>
        <v>0</v>
      </c>
      <c r="V134" s="64">
        <f t="shared" si="24"/>
        <v>0</v>
      </c>
    </row>
    <row r="135" spans="1:22" ht="15" customHeight="1" x14ac:dyDescent="0.35">
      <c r="A135" s="63" t="s">
        <v>2071</v>
      </c>
      <c r="B135" s="63" t="s">
        <v>2072</v>
      </c>
      <c r="C135" s="110" t="s">
        <v>1957</v>
      </c>
      <c r="D135" s="110" t="s">
        <v>1835</v>
      </c>
      <c r="E135" s="82">
        <v>66</v>
      </c>
      <c r="F135" s="33">
        <v>2695206.91</v>
      </c>
      <c r="G135" s="82">
        <v>62</v>
      </c>
      <c r="H135" s="33">
        <v>2531861.0299999998</v>
      </c>
      <c r="I135" s="110" t="s">
        <v>1958</v>
      </c>
      <c r="J135" s="64">
        <v>0</v>
      </c>
      <c r="K135" s="64">
        <v>0</v>
      </c>
      <c r="L135" s="64">
        <v>0</v>
      </c>
      <c r="M135" s="64">
        <v>0</v>
      </c>
      <c r="N135" s="64">
        <f t="shared" si="18"/>
        <v>-2531861.0299999998</v>
      </c>
      <c r="O135" s="64">
        <f t="shared" si="19"/>
        <v>163345.88000000035</v>
      </c>
      <c r="P135" s="64">
        <f t="shared" si="20"/>
        <v>40836.468225806449</v>
      </c>
      <c r="Q135" s="64">
        <f t="shared" si="21"/>
        <v>0</v>
      </c>
      <c r="R135" s="64">
        <v>0</v>
      </c>
      <c r="S135" s="65">
        <f t="shared" si="22"/>
        <v>0</v>
      </c>
      <c r="T135" s="67" t="s">
        <v>2073</v>
      </c>
      <c r="U135" s="64">
        <f t="shared" si="23"/>
        <v>-2531861.0299999998</v>
      </c>
      <c r="V135" s="64">
        <f t="shared" si="24"/>
        <v>-2695206.91</v>
      </c>
    </row>
    <row r="136" spans="1:22" ht="15" customHeight="1" x14ac:dyDescent="0.35">
      <c r="A136" s="68" t="s">
        <v>9</v>
      </c>
      <c r="B136" s="29"/>
      <c r="C136" s="29"/>
      <c r="D136" s="29"/>
      <c r="E136" s="29"/>
      <c r="F136" s="70">
        <f>SUM(F55:F135)</f>
        <v>994410638.97999978</v>
      </c>
      <c r="G136" s="29"/>
      <c r="H136" s="70">
        <f>SUM(H55:H135)</f>
        <v>585105133.4199996</v>
      </c>
      <c r="I136" s="29"/>
      <c r="J136" s="29"/>
      <c r="K136" s="70">
        <f>SUM(K55:K135)</f>
        <v>392695324.24907905</v>
      </c>
      <c r="L136" s="29"/>
      <c r="M136" s="70">
        <f>SUM(M55:M135)</f>
        <v>66155880.13620016</v>
      </c>
      <c r="N136" s="70">
        <f>SUM(N55:N135)</f>
        <v>-518949253.28379989</v>
      </c>
      <c r="O136" s="70">
        <f>SUM(O55:O135)</f>
        <v>82766061.447121128</v>
      </c>
      <c r="P136" s="29"/>
      <c r="Q136" s="29"/>
      <c r="R136" s="29"/>
      <c r="S136" s="29"/>
      <c r="T136" s="29"/>
      <c r="U136" s="70">
        <f>SUM(U55:U135)</f>
        <v>-526758156.87</v>
      </c>
      <c r="V136" s="70">
        <f>SUM(V55:V135)</f>
        <v>-636841785.16999996</v>
      </c>
    </row>
  </sheetData>
  <mergeCells count="1">
    <mergeCell ref="B50:I50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99"/>
  <sheetViews>
    <sheetView showGridLines="0" zoomScaleNormal="100" workbookViewId="0">
      <pane xSplit="2" ySplit="4" topLeftCell="C87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9" customWidth="1"/>
    <col min="2" max="2" width="64" customWidth="1"/>
    <col min="3" max="18" width="13" customWidth="1"/>
  </cols>
  <sheetData>
    <row r="1" spans="1:18" ht="16.5" customHeight="1" x14ac:dyDescent="0.35">
      <c r="A1" s="4" t="s">
        <v>2074</v>
      </c>
    </row>
    <row r="2" spans="1:18" ht="14.25" customHeight="1" x14ac:dyDescent="0.35">
      <c r="A2" s="111" t="s">
        <v>2075</v>
      </c>
    </row>
    <row r="4" spans="1:18" ht="14.25" customHeight="1" x14ac:dyDescent="0.35">
      <c r="A4" s="11" t="s">
        <v>2076</v>
      </c>
      <c r="B4" s="11" t="s">
        <v>342</v>
      </c>
      <c r="C4" s="11" t="s">
        <v>95</v>
      </c>
      <c r="D4" s="11" t="s">
        <v>2077</v>
      </c>
      <c r="E4" s="11" t="s">
        <v>2078</v>
      </c>
      <c r="F4" s="11" t="s">
        <v>2079</v>
      </c>
      <c r="G4" s="11" t="s">
        <v>2080</v>
      </c>
      <c r="H4" s="11" t="s">
        <v>2081</v>
      </c>
      <c r="I4" s="11" t="s">
        <v>2082</v>
      </c>
      <c r="J4" s="11" t="s">
        <v>2083</v>
      </c>
      <c r="K4" s="11" t="s">
        <v>2084</v>
      </c>
      <c r="L4" s="11" t="s">
        <v>2085</v>
      </c>
      <c r="M4" s="11" t="s">
        <v>2086</v>
      </c>
      <c r="N4" s="11" t="s">
        <v>2087</v>
      </c>
      <c r="O4" s="11" t="s">
        <v>2088</v>
      </c>
      <c r="P4" s="11" t="s">
        <v>2089</v>
      </c>
      <c r="Q4" s="11" t="s">
        <v>2090</v>
      </c>
      <c r="R4" s="11" t="s">
        <v>2091</v>
      </c>
    </row>
    <row r="5" spans="1:18" ht="14.25" customHeight="1" x14ac:dyDescent="0.35">
      <c r="A5" s="9" t="s">
        <v>2092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4.25" customHeight="1" x14ac:dyDescent="0.35">
      <c r="A6" s="12" t="s">
        <v>2093</v>
      </c>
      <c r="B6" s="12" t="s">
        <v>2094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</row>
    <row r="7" spans="1:18" ht="14.25" customHeight="1" x14ac:dyDescent="0.35">
      <c r="A7" s="12" t="s">
        <v>2095</v>
      </c>
      <c r="B7" s="12" t="s">
        <v>251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</row>
    <row r="8" spans="1:18" ht="14.25" customHeight="1" x14ac:dyDescent="0.35">
      <c r="A8" s="12" t="s">
        <v>2096</v>
      </c>
      <c r="B8" s="12" t="s">
        <v>253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</row>
    <row r="9" spans="1:18" ht="14.25" customHeight="1" x14ac:dyDescent="0.35">
      <c r="A9" s="12" t="s">
        <v>2097</v>
      </c>
      <c r="B9" s="12" t="s">
        <v>2098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</row>
    <row r="10" spans="1:18" ht="14.25" customHeight="1" x14ac:dyDescent="0.35">
      <c r="A10" s="12" t="s">
        <v>2099</v>
      </c>
      <c r="B10" s="12" t="s">
        <v>2100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</row>
    <row r="11" spans="1:18" ht="14.25" customHeight="1" x14ac:dyDescent="0.35">
      <c r="A11" s="12" t="s">
        <v>2101</v>
      </c>
      <c r="B11" s="12" t="s">
        <v>251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</row>
    <row r="12" spans="1:18" ht="14.25" customHeight="1" x14ac:dyDescent="0.35">
      <c r="A12" s="12" t="s">
        <v>2102</v>
      </c>
      <c r="B12" s="12" t="s">
        <v>253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</row>
    <row r="13" spans="1:18" ht="14.25" customHeight="1" x14ac:dyDescent="0.35">
      <c r="A13" s="12" t="s">
        <v>2103</v>
      </c>
      <c r="B13" s="12" t="s">
        <v>2104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</row>
    <row r="14" spans="1:18" ht="14.25" customHeight="1" x14ac:dyDescent="0.35">
      <c r="A14" s="12" t="s">
        <v>2105</v>
      </c>
      <c r="B14" s="12" t="s">
        <v>2106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</row>
    <row r="15" spans="1:18" ht="14.25" customHeight="1" x14ac:dyDescent="0.35">
      <c r="A15" s="12" t="s">
        <v>2107</v>
      </c>
      <c r="B15" s="12" t="s">
        <v>2108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</row>
    <row r="16" spans="1:18" ht="14.25" customHeight="1" x14ac:dyDescent="0.35">
      <c r="A16" s="12" t="s">
        <v>2109</v>
      </c>
      <c r="B16" s="12" t="s">
        <v>2110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</row>
    <row r="17" spans="1:18" ht="14.25" customHeight="1" x14ac:dyDescent="0.35">
      <c r="A17" s="12" t="s">
        <v>2111</v>
      </c>
      <c r="B17" s="12" t="s">
        <v>2112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</row>
    <row r="18" spans="1:18" ht="14.25" customHeight="1" x14ac:dyDescent="0.35">
      <c r="A18" s="12" t="s">
        <v>2113</v>
      </c>
      <c r="B18" s="12" t="s">
        <v>104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</row>
    <row r="19" spans="1:18" ht="14.25" customHeight="1" x14ac:dyDescent="0.35">
      <c r="A19" s="12" t="s">
        <v>2114</v>
      </c>
      <c r="B19" s="12" t="s">
        <v>2115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</row>
    <row r="20" spans="1:18" ht="14.25" customHeight="1" x14ac:dyDescent="0.35">
      <c r="A20" s="12" t="s">
        <v>2116</v>
      </c>
      <c r="B20" s="12" t="s">
        <v>2117</v>
      </c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</row>
    <row r="21" spans="1:18" ht="14.25" customHeight="1" x14ac:dyDescent="0.35">
      <c r="A21" s="12" t="s">
        <v>2118</v>
      </c>
      <c r="B21" s="12" t="s">
        <v>2119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</row>
    <row r="22" spans="1:18" ht="14.25" customHeight="1" x14ac:dyDescent="0.35">
      <c r="A22" s="12" t="s">
        <v>2120</v>
      </c>
      <c r="B22" s="12" t="s">
        <v>104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</row>
    <row r="23" spans="1:18" ht="14.25" customHeight="1" x14ac:dyDescent="0.35">
      <c r="A23" s="12" t="s">
        <v>2121</v>
      </c>
      <c r="B23" s="12" t="s">
        <v>2115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</row>
    <row r="24" spans="1:18" ht="14.25" customHeight="1" x14ac:dyDescent="0.35">
      <c r="A24" s="12" t="s">
        <v>2122</v>
      </c>
      <c r="B24" s="12" t="s">
        <v>2123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</row>
    <row r="25" spans="1:18" ht="14.25" customHeight="1" x14ac:dyDescent="0.35">
      <c r="A25" s="12" t="s">
        <v>2124</v>
      </c>
      <c r="B25" s="12" t="s">
        <v>2125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</row>
    <row r="26" spans="1:18" ht="14.25" customHeight="1" x14ac:dyDescent="0.35">
      <c r="A26" s="12" t="s">
        <v>2126</v>
      </c>
      <c r="B26" s="12" t="s">
        <v>2127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</row>
    <row r="27" spans="1:18" ht="14.25" customHeight="1" x14ac:dyDescent="0.35">
      <c r="A27" s="12" t="s">
        <v>2128</v>
      </c>
      <c r="B27" s="12" t="s">
        <v>104</v>
      </c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</row>
    <row r="28" spans="1:18" ht="14.25" customHeight="1" x14ac:dyDescent="0.35">
      <c r="A28" s="12" t="s">
        <v>2129</v>
      </c>
      <c r="B28" s="12" t="s">
        <v>2115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</row>
    <row r="29" spans="1:18" ht="14.25" customHeight="1" x14ac:dyDescent="0.35">
      <c r="A29" s="12" t="s">
        <v>2130</v>
      </c>
      <c r="B29" s="12" t="s">
        <v>105</v>
      </c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</row>
    <row r="30" spans="1:18" ht="14.25" customHeight="1" x14ac:dyDescent="0.35">
      <c r="A30" s="12" t="s">
        <v>2131</v>
      </c>
      <c r="B30" s="12" t="s">
        <v>2127</v>
      </c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</row>
    <row r="31" spans="1:18" ht="14.25" customHeight="1" x14ac:dyDescent="0.35">
      <c r="A31" s="12" t="s">
        <v>2132</v>
      </c>
      <c r="B31" s="12" t="s">
        <v>104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</row>
    <row r="32" spans="1:18" ht="14.25" customHeight="1" x14ac:dyDescent="0.35">
      <c r="A32" s="12" t="s">
        <v>2133</v>
      </c>
      <c r="B32" s="12" t="s">
        <v>106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</row>
    <row r="33" spans="1:18" ht="14.25" customHeight="1" x14ac:dyDescent="0.35">
      <c r="A33" s="12" t="s">
        <v>2134</v>
      </c>
      <c r="B33" s="12" t="s">
        <v>104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</row>
    <row r="34" spans="1:18" ht="14.25" customHeight="1" x14ac:dyDescent="0.35">
      <c r="A34" s="12" t="s">
        <v>2135</v>
      </c>
      <c r="B34" s="12" t="s">
        <v>2115</v>
      </c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</row>
    <row r="35" spans="1:18" ht="14.25" customHeight="1" x14ac:dyDescent="0.35">
      <c r="A35" s="12" t="s">
        <v>2136</v>
      </c>
      <c r="B35" s="12" t="s">
        <v>2137</v>
      </c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</row>
    <row r="36" spans="1:18" ht="14.25" customHeight="1" x14ac:dyDescent="0.35">
      <c r="A36" s="12" t="s">
        <v>2138</v>
      </c>
      <c r="B36" s="12" t="s">
        <v>104</v>
      </c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</row>
    <row r="37" spans="1:18" ht="14.25" customHeight="1" x14ac:dyDescent="0.35">
      <c r="A37" s="12" t="s">
        <v>2139</v>
      </c>
      <c r="B37" s="12" t="s">
        <v>2115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1:18" ht="14.25" customHeight="1" x14ac:dyDescent="0.35">
      <c r="A38" s="12" t="s">
        <v>2140</v>
      </c>
      <c r="B38" s="12" t="s">
        <v>312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</row>
    <row r="39" spans="1:18" ht="14.25" customHeight="1" x14ac:dyDescent="0.35">
      <c r="A39" s="12" t="s">
        <v>2141</v>
      </c>
      <c r="B39" s="12" t="s">
        <v>104</v>
      </c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</row>
    <row r="40" spans="1:18" ht="14.25" customHeight="1" x14ac:dyDescent="0.35">
      <c r="A40" s="12" t="s">
        <v>2142</v>
      </c>
      <c r="B40" s="12" t="s">
        <v>2115</v>
      </c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</row>
    <row r="41" spans="1:18" ht="14.25" customHeight="1" x14ac:dyDescent="0.35">
      <c r="A41" s="12" t="s">
        <v>2143</v>
      </c>
      <c r="B41" s="12" t="s">
        <v>315</v>
      </c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</row>
    <row r="42" spans="1:18" ht="14.25" customHeight="1" x14ac:dyDescent="0.35">
      <c r="A42" s="12" t="s">
        <v>2144</v>
      </c>
      <c r="B42" s="12" t="s">
        <v>104</v>
      </c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</row>
    <row r="43" spans="1:18" ht="14.25" customHeight="1" x14ac:dyDescent="0.35">
      <c r="A43" s="12" t="s">
        <v>2145</v>
      </c>
      <c r="B43" s="12" t="s">
        <v>2115</v>
      </c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4.25" customHeight="1" x14ac:dyDescent="0.35">
      <c r="A44" s="12" t="s">
        <v>2146</v>
      </c>
      <c r="B44" s="12" t="s">
        <v>318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</row>
    <row r="45" spans="1:18" ht="14.25" customHeight="1" x14ac:dyDescent="0.35">
      <c r="A45" s="12" t="s">
        <v>2147</v>
      </c>
      <c r="B45" s="12" t="s">
        <v>104</v>
      </c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</row>
    <row r="46" spans="1:18" ht="14.25" customHeight="1" x14ac:dyDescent="0.35">
      <c r="A46" s="12" t="s">
        <v>2148</v>
      </c>
      <c r="B46" s="12" t="s">
        <v>2115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</row>
    <row r="47" spans="1:18" ht="14.25" customHeight="1" x14ac:dyDescent="0.35">
      <c r="A47" s="12" t="s">
        <v>2149</v>
      </c>
      <c r="B47" s="12" t="s">
        <v>2150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</row>
    <row r="48" spans="1:18" ht="14.25" customHeight="1" x14ac:dyDescent="0.35">
      <c r="A48" s="12" t="s">
        <v>2151</v>
      </c>
      <c r="B48" s="12" t="s">
        <v>2152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</row>
    <row r="49" spans="1:18" ht="14.25" customHeight="1" x14ac:dyDescent="0.35">
      <c r="A49" s="12" t="s">
        <v>2153</v>
      </c>
      <c r="B49" s="12" t="s">
        <v>2154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</row>
    <row r="50" spans="1:18" ht="14.25" customHeight="1" x14ac:dyDescent="0.35">
      <c r="A50" s="12" t="s">
        <v>2155</v>
      </c>
      <c r="B50" s="12" t="s">
        <v>2156</v>
      </c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spans="1:18" ht="14.25" customHeight="1" x14ac:dyDescent="0.35">
      <c r="A51" s="12" t="s">
        <v>2157</v>
      </c>
      <c r="B51" s="12" t="s">
        <v>2158</v>
      </c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</row>
    <row r="52" spans="1:18" ht="14.25" customHeight="1" x14ac:dyDescent="0.35">
      <c r="A52" s="12" t="s">
        <v>2159</v>
      </c>
      <c r="B52" s="12" t="s">
        <v>2160</v>
      </c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spans="1:18" ht="14.25" customHeight="1" x14ac:dyDescent="0.35">
      <c r="A53" s="12" t="s">
        <v>2161</v>
      </c>
      <c r="B53" s="12" t="s">
        <v>2162</v>
      </c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</row>
    <row r="54" spans="1:18" ht="14.25" customHeight="1" x14ac:dyDescent="0.35">
      <c r="A54" s="12" t="s">
        <v>2163</v>
      </c>
      <c r="B54" s="12" t="s">
        <v>2164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</row>
    <row r="55" spans="1:18" ht="14.25" customHeight="1" x14ac:dyDescent="0.35">
      <c r="A55" s="12" t="s">
        <v>2165</v>
      </c>
      <c r="B55" s="12" t="s">
        <v>2166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</row>
    <row r="56" spans="1:18" ht="14.25" customHeight="1" x14ac:dyDescent="0.35">
      <c r="A56" s="12" t="s">
        <v>2167</v>
      </c>
      <c r="B56" s="12" t="s">
        <v>2168</v>
      </c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</row>
    <row r="57" spans="1:18" ht="14.25" customHeight="1" x14ac:dyDescent="0.35">
      <c r="A57" s="12" t="s">
        <v>2169</v>
      </c>
      <c r="B57" s="12" t="s">
        <v>2170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</row>
    <row r="58" spans="1:18" ht="14.25" customHeight="1" x14ac:dyDescent="0.35">
      <c r="A58" s="12" t="s">
        <v>2171</v>
      </c>
      <c r="B58" s="12" t="s">
        <v>2172</v>
      </c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</row>
    <row r="59" spans="1:18" ht="14.25" customHeight="1" x14ac:dyDescent="0.35">
      <c r="A59" s="12" t="s">
        <v>2173</v>
      </c>
      <c r="B59" s="12" t="s">
        <v>2174</v>
      </c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</row>
    <row r="60" spans="1:18" ht="14.25" customHeight="1" x14ac:dyDescent="0.35">
      <c r="A60" s="12" t="s">
        <v>2175</v>
      </c>
      <c r="B60" s="12" t="s">
        <v>2174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</row>
    <row r="61" spans="1:18" ht="14.25" customHeight="1" x14ac:dyDescent="0.35">
      <c r="A61" s="12" t="s">
        <v>2176</v>
      </c>
      <c r="B61" s="12" t="s">
        <v>2174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</row>
    <row r="62" spans="1:18" ht="14.25" customHeight="1" x14ac:dyDescent="0.35">
      <c r="A62" s="12" t="s">
        <v>2177</v>
      </c>
      <c r="B62" s="12" t="s">
        <v>2178</v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</row>
    <row r="63" spans="1:18" ht="14.25" customHeight="1" x14ac:dyDescent="0.35">
      <c r="A63" s="12" t="s">
        <v>2179</v>
      </c>
      <c r="B63" s="12" t="s">
        <v>2180</v>
      </c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</row>
    <row r="64" spans="1:18" ht="14.25" customHeight="1" x14ac:dyDescent="0.35">
      <c r="A64" s="12" t="s">
        <v>2181</v>
      </c>
      <c r="B64" s="12" t="s">
        <v>2178</v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</row>
    <row r="65" spans="1:18" ht="14.25" customHeight="1" x14ac:dyDescent="0.35">
      <c r="A65" s="12" t="s">
        <v>2182</v>
      </c>
      <c r="B65" s="12" t="s">
        <v>2180</v>
      </c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</row>
    <row r="66" spans="1:18" ht="14.25" customHeight="1" x14ac:dyDescent="0.35">
      <c r="A66" s="12" t="s">
        <v>2183</v>
      </c>
      <c r="B66" s="12" t="s">
        <v>2184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</row>
    <row r="67" spans="1:18" ht="14.25" customHeight="1" x14ac:dyDescent="0.35">
      <c r="A67" s="12" t="s">
        <v>2185</v>
      </c>
      <c r="B67" s="12" t="s">
        <v>2186</v>
      </c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</row>
    <row r="68" spans="1:18" ht="14.25" customHeight="1" x14ac:dyDescent="0.35">
      <c r="A68" s="12" t="s">
        <v>2187</v>
      </c>
      <c r="B68" s="12" t="s">
        <v>2188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</row>
    <row r="69" spans="1:18" ht="14.25" customHeight="1" x14ac:dyDescent="0.35">
      <c r="A69" s="12" t="s">
        <v>2189</v>
      </c>
      <c r="B69" s="12" t="s">
        <v>2190</v>
      </c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</row>
    <row r="70" spans="1:18" ht="14.25" customHeight="1" x14ac:dyDescent="0.35">
      <c r="A70" s="12" t="s">
        <v>2191</v>
      </c>
      <c r="B70" s="12" t="s">
        <v>2192</v>
      </c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</row>
    <row r="71" spans="1:18" ht="14.25" customHeight="1" x14ac:dyDescent="0.35">
      <c r="A71" s="12" t="s">
        <v>2193</v>
      </c>
      <c r="B71" s="12" t="s">
        <v>2194</v>
      </c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</row>
    <row r="72" spans="1:18" ht="14.25" customHeight="1" x14ac:dyDescent="0.35">
      <c r="A72" s="12" t="s">
        <v>2195</v>
      </c>
      <c r="B72" s="12" t="s">
        <v>2196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</row>
    <row r="73" spans="1:18" ht="14.25" customHeight="1" x14ac:dyDescent="0.35">
      <c r="A73" s="12" t="s">
        <v>2197</v>
      </c>
      <c r="B73" s="12" t="s">
        <v>2198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</row>
    <row r="74" spans="1:18" ht="14.25" customHeight="1" x14ac:dyDescent="0.35">
      <c r="A74" s="12" t="s">
        <v>2199</v>
      </c>
      <c r="B74" s="12" t="s">
        <v>2196</v>
      </c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</row>
    <row r="75" spans="1:18" ht="14.25" customHeight="1" x14ac:dyDescent="0.35">
      <c r="A75" s="12" t="s">
        <v>2200</v>
      </c>
      <c r="B75" s="12" t="s">
        <v>2201</v>
      </c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</row>
    <row r="76" spans="1:18" ht="14.25" customHeight="1" x14ac:dyDescent="0.35">
      <c r="A76" s="12" t="s">
        <v>2202</v>
      </c>
      <c r="B76" s="12" t="s">
        <v>2196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</row>
    <row r="77" spans="1:18" ht="14.25" customHeight="1" x14ac:dyDescent="0.35">
      <c r="A77" s="12" t="s">
        <v>2203</v>
      </c>
      <c r="B77" s="12" t="s">
        <v>2204</v>
      </c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</row>
    <row r="78" spans="1:18" ht="14.25" customHeight="1" x14ac:dyDescent="0.35">
      <c r="A78" s="12" t="s">
        <v>2205</v>
      </c>
      <c r="B78" s="12" t="s">
        <v>2206</v>
      </c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</row>
    <row r="79" spans="1:18" ht="14.25" customHeight="1" x14ac:dyDescent="0.35">
      <c r="A79" s="12" t="s">
        <v>2207</v>
      </c>
      <c r="B79" s="12" t="s">
        <v>2208</v>
      </c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</row>
    <row r="80" spans="1:18" ht="14.25" customHeight="1" x14ac:dyDescent="0.35">
      <c r="A80" s="12" t="s">
        <v>2209</v>
      </c>
      <c r="B80" s="12" t="s">
        <v>2210</v>
      </c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</row>
    <row r="81" spans="1:18" ht="14.25" customHeight="1" x14ac:dyDescent="0.35">
      <c r="A81" s="12" t="s">
        <v>2211</v>
      </c>
      <c r="B81" s="12" t="s">
        <v>2212</v>
      </c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</row>
    <row r="82" spans="1:18" ht="14.25" customHeight="1" x14ac:dyDescent="0.35">
      <c r="A82" s="12" t="s">
        <v>2213</v>
      </c>
      <c r="B82" s="12" t="s">
        <v>2214</v>
      </c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</row>
    <row r="83" spans="1:18" ht="14.25" customHeight="1" x14ac:dyDescent="0.35">
      <c r="A83" s="12" t="s">
        <v>2215</v>
      </c>
      <c r="B83" s="12" t="s">
        <v>2216</v>
      </c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</row>
    <row r="84" spans="1:18" ht="14.25" customHeight="1" x14ac:dyDescent="0.35">
      <c r="A84" s="12" t="s">
        <v>2217</v>
      </c>
      <c r="B84" s="12" t="s">
        <v>2218</v>
      </c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</row>
    <row r="85" spans="1:18" ht="14.25" customHeight="1" x14ac:dyDescent="0.35">
      <c r="A85" s="12" t="s">
        <v>2219</v>
      </c>
      <c r="B85" s="12" t="s">
        <v>2220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</row>
    <row r="86" spans="1:18" ht="14.25" customHeight="1" x14ac:dyDescent="0.35">
      <c r="A86" s="12" t="s">
        <v>2221</v>
      </c>
      <c r="B86" s="12" t="s">
        <v>2222</v>
      </c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</row>
    <row r="87" spans="1:18" ht="14.25" customHeight="1" x14ac:dyDescent="0.35">
      <c r="B87" s="6" t="s">
        <v>2223</v>
      </c>
      <c r="C87" s="39">
        <f t="shared" ref="C87:R87" si="0">(C59+C59/12+C64)*IF(C71=0,0,C72/C71)</f>
        <v>0</v>
      </c>
      <c r="D87" s="39">
        <f t="shared" si="0"/>
        <v>0</v>
      </c>
      <c r="E87" s="39">
        <f t="shared" si="0"/>
        <v>0</v>
      </c>
      <c r="F87" s="39">
        <f t="shared" si="0"/>
        <v>0</v>
      </c>
      <c r="G87" s="39">
        <f t="shared" si="0"/>
        <v>0</v>
      </c>
      <c r="H87" s="39">
        <f t="shared" si="0"/>
        <v>0</v>
      </c>
      <c r="I87" s="39">
        <f t="shared" si="0"/>
        <v>0</v>
      </c>
      <c r="J87" s="39">
        <f t="shared" si="0"/>
        <v>0</v>
      </c>
      <c r="K87" s="39">
        <f t="shared" si="0"/>
        <v>0</v>
      </c>
      <c r="L87" s="39">
        <f t="shared" si="0"/>
        <v>0</v>
      </c>
      <c r="M87" s="39">
        <f t="shared" si="0"/>
        <v>0</v>
      </c>
      <c r="N87" s="39">
        <f t="shared" si="0"/>
        <v>0</v>
      </c>
      <c r="O87" s="39">
        <f t="shared" si="0"/>
        <v>0</v>
      </c>
      <c r="P87" s="39">
        <f t="shared" si="0"/>
        <v>0</v>
      </c>
      <c r="Q87" s="39">
        <f t="shared" si="0"/>
        <v>0</v>
      </c>
      <c r="R87" s="39">
        <f t="shared" si="0"/>
        <v>0</v>
      </c>
    </row>
    <row r="88" spans="1:18" ht="14.25" customHeight="1" x14ac:dyDescent="0.35">
      <c r="B88" s="6" t="s">
        <v>2224</v>
      </c>
      <c r="C88" s="39">
        <f t="shared" ref="C88:R88" si="1">(C60+C60/12+C61+C63+C65)*IF(C71=0,0,C72/C71)</f>
        <v>0</v>
      </c>
      <c r="D88" s="39">
        <f t="shared" si="1"/>
        <v>0</v>
      </c>
      <c r="E88" s="39">
        <f t="shared" si="1"/>
        <v>0</v>
      </c>
      <c r="F88" s="39">
        <f t="shared" si="1"/>
        <v>0</v>
      </c>
      <c r="G88" s="39">
        <f t="shared" si="1"/>
        <v>0</v>
      </c>
      <c r="H88" s="39">
        <f t="shared" si="1"/>
        <v>0</v>
      </c>
      <c r="I88" s="39">
        <f t="shared" si="1"/>
        <v>0</v>
      </c>
      <c r="J88" s="39">
        <f t="shared" si="1"/>
        <v>0</v>
      </c>
      <c r="K88" s="39">
        <f t="shared" si="1"/>
        <v>0</v>
      </c>
      <c r="L88" s="39">
        <f t="shared" si="1"/>
        <v>0</v>
      </c>
      <c r="M88" s="39">
        <f t="shared" si="1"/>
        <v>0</v>
      </c>
      <c r="N88" s="39">
        <f t="shared" si="1"/>
        <v>0</v>
      </c>
      <c r="O88" s="39">
        <f t="shared" si="1"/>
        <v>0</v>
      </c>
      <c r="P88" s="39">
        <f t="shared" si="1"/>
        <v>0</v>
      </c>
      <c r="Q88" s="39">
        <f t="shared" si="1"/>
        <v>0</v>
      </c>
      <c r="R88" s="39">
        <f t="shared" si="1"/>
        <v>0</v>
      </c>
    </row>
    <row r="89" spans="1:18" ht="14.25" customHeight="1" x14ac:dyDescent="0.35">
      <c r="B89" s="12" t="s">
        <v>2225</v>
      </c>
      <c r="C89" s="39">
        <f t="shared" ref="C89:R89" si="2">C87+C88-C54-C55</f>
        <v>0</v>
      </c>
      <c r="D89" s="39">
        <f t="shared" si="2"/>
        <v>0</v>
      </c>
      <c r="E89" s="39">
        <f t="shared" si="2"/>
        <v>0</v>
      </c>
      <c r="F89" s="39">
        <f t="shared" si="2"/>
        <v>0</v>
      </c>
      <c r="G89" s="39">
        <f t="shared" si="2"/>
        <v>0</v>
      </c>
      <c r="H89" s="39">
        <f t="shared" si="2"/>
        <v>0</v>
      </c>
      <c r="I89" s="39">
        <f t="shared" si="2"/>
        <v>0</v>
      </c>
      <c r="J89" s="39">
        <f t="shared" si="2"/>
        <v>0</v>
      </c>
      <c r="K89" s="39">
        <f t="shared" si="2"/>
        <v>0</v>
      </c>
      <c r="L89" s="39">
        <f t="shared" si="2"/>
        <v>0</v>
      </c>
      <c r="M89" s="39">
        <f t="shared" si="2"/>
        <v>0</v>
      </c>
      <c r="N89" s="39">
        <f t="shared" si="2"/>
        <v>0</v>
      </c>
      <c r="O89" s="39">
        <f t="shared" si="2"/>
        <v>0</v>
      </c>
      <c r="P89" s="39">
        <f t="shared" si="2"/>
        <v>0</v>
      </c>
      <c r="Q89" s="39">
        <f t="shared" si="2"/>
        <v>0</v>
      </c>
      <c r="R89" s="39">
        <f t="shared" si="2"/>
        <v>0</v>
      </c>
    </row>
    <row r="91" spans="1:18" ht="14.25" customHeight="1" x14ac:dyDescent="0.35">
      <c r="A91" s="9" t="s">
        <v>2226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4.25" customHeight="1" x14ac:dyDescent="0.35">
      <c r="A92" s="12" t="s">
        <v>2227</v>
      </c>
      <c r="B92" s="12" t="s">
        <v>2094</v>
      </c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spans="1:18" ht="14.25" customHeight="1" x14ac:dyDescent="0.35">
      <c r="A93" s="12" t="s">
        <v>2228</v>
      </c>
      <c r="B93" s="12" t="s">
        <v>251</v>
      </c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spans="1:18" ht="14.25" customHeight="1" x14ac:dyDescent="0.35">
      <c r="A94" s="12" t="s">
        <v>2229</v>
      </c>
      <c r="B94" s="12" t="s">
        <v>253</v>
      </c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spans="1:18" ht="14.25" customHeight="1" x14ac:dyDescent="0.35">
      <c r="A95" s="12" t="s">
        <v>2230</v>
      </c>
      <c r="B95" s="12" t="s">
        <v>2100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</row>
    <row r="96" spans="1:18" ht="14.25" customHeight="1" x14ac:dyDescent="0.35">
      <c r="A96" s="12" t="s">
        <v>2231</v>
      </c>
      <c r="B96" s="12" t="s">
        <v>251</v>
      </c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spans="1:18" ht="14.25" customHeight="1" x14ac:dyDescent="0.35">
      <c r="A97" s="12" t="s">
        <v>2232</v>
      </c>
      <c r="B97" s="12" t="s">
        <v>253</v>
      </c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spans="1:18" ht="14.25" customHeight="1" x14ac:dyDescent="0.35">
      <c r="A98" s="12" t="s">
        <v>2233</v>
      </c>
      <c r="B98" s="12" t="s">
        <v>2104</v>
      </c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spans="1:18" ht="14.25" customHeight="1" x14ac:dyDescent="0.35">
      <c r="A99" s="12" t="s">
        <v>2234</v>
      </c>
      <c r="B99" s="12" t="s">
        <v>2106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</row>
    <row r="100" spans="1:18" ht="14.25" customHeight="1" x14ac:dyDescent="0.35">
      <c r="A100" s="12" t="s">
        <v>2235</v>
      </c>
      <c r="B100" s="12" t="s">
        <v>2127</v>
      </c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spans="1:18" ht="14.25" customHeight="1" x14ac:dyDescent="0.35">
      <c r="A101" s="12" t="s">
        <v>2236</v>
      </c>
      <c r="B101" s="12" t="s">
        <v>104</v>
      </c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</row>
    <row r="102" spans="1:18" ht="14.25" customHeight="1" x14ac:dyDescent="0.35">
      <c r="A102" s="12" t="s">
        <v>2237</v>
      </c>
      <c r="B102" s="12" t="s">
        <v>2238</v>
      </c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</row>
    <row r="103" spans="1:18" ht="14.25" customHeight="1" x14ac:dyDescent="0.35">
      <c r="A103" s="12" t="s">
        <v>2239</v>
      </c>
      <c r="B103" s="12" t="s">
        <v>104</v>
      </c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</row>
    <row r="104" spans="1:18" ht="14.25" customHeight="1" x14ac:dyDescent="0.35">
      <c r="A104" s="12" t="s">
        <v>2240</v>
      </c>
      <c r="B104" s="12" t="s">
        <v>105</v>
      </c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</row>
    <row r="105" spans="1:18" ht="14.25" customHeight="1" x14ac:dyDescent="0.35">
      <c r="A105" s="12" t="s">
        <v>2241</v>
      </c>
      <c r="B105" s="12" t="s">
        <v>104</v>
      </c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spans="1:18" ht="14.25" customHeight="1" x14ac:dyDescent="0.35">
      <c r="A106" s="12" t="s">
        <v>2242</v>
      </c>
      <c r="B106" s="12" t="s">
        <v>106</v>
      </c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</row>
    <row r="107" spans="1:18" ht="14.25" customHeight="1" x14ac:dyDescent="0.35">
      <c r="A107" s="12" t="s">
        <v>2243</v>
      </c>
      <c r="B107" s="12" t="s">
        <v>104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spans="1:18" ht="14.25" customHeight="1" x14ac:dyDescent="0.35">
      <c r="A108" s="12" t="s">
        <v>2244</v>
      </c>
      <c r="B108" s="12" t="s">
        <v>2137</v>
      </c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spans="1:18" ht="14.25" customHeight="1" x14ac:dyDescent="0.35">
      <c r="A109" s="12" t="s">
        <v>2245</v>
      </c>
      <c r="B109" s="12" t="s">
        <v>104</v>
      </c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spans="1:18" ht="14.25" customHeight="1" x14ac:dyDescent="0.35">
      <c r="A110" s="12" t="s">
        <v>2246</v>
      </c>
      <c r="B110" s="12" t="s">
        <v>312</v>
      </c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</row>
    <row r="111" spans="1:18" ht="14.25" customHeight="1" x14ac:dyDescent="0.35">
      <c r="A111" s="12" t="s">
        <v>2247</v>
      </c>
      <c r="B111" s="12" t="s">
        <v>104</v>
      </c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spans="1:18" ht="14.25" customHeight="1" x14ac:dyDescent="0.35">
      <c r="A112" s="12" t="s">
        <v>2248</v>
      </c>
      <c r="B112" s="12" t="s">
        <v>2249</v>
      </c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spans="1:18" ht="14.25" customHeight="1" x14ac:dyDescent="0.35">
      <c r="A113" s="12" t="s">
        <v>2250</v>
      </c>
      <c r="B113" s="12" t="s">
        <v>104</v>
      </c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spans="1:18" ht="14.25" customHeight="1" x14ac:dyDescent="0.35">
      <c r="A114" s="12" t="s">
        <v>2251</v>
      </c>
      <c r="B114" s="12" t="s">
        <v>318</v>
      </c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</row>
    <row r="115" spans="1:18" ht="14.25" customHeight="1" x14ac:dyDescent="0.35">
      <c r="A115" s="12" t="s">
        <v>2252</v>
      </c>
      <c r="B115" s="12" t="s">
        <v>104</v>
      </c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spans="1:18" ht="14.25" customHeight="1" x14ac:dyDescent="0.35">
      <c r="A116" s="12" t="s">
        <v>2253</v>
      </c>
      <c r="B116" s="12" t="s">
        <v>2150</v>
      </c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spans="1:18" ht="14.25" customHeight="1" x14ac:dyDescent="0.35">
      <c r="A117" s="12" t="s">
        <v>2254</v>
      </c>
      <c r="B117" s="12" t="s">
        <v>2152</v>
      </c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spans="1:18" ht="14.25" customHeight="1" x14ac:dyDescent="0.35">
      <c r="A118" s="12" t="s">
        <v>2255</v>
      </c>
      <c r="B118" s="12" t="s">
        <v>2158</v>
      </c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spans="1:18" ht="14.25" customHeight="1" x14ac:dyDescent="0.35">
      <c r="A119" s="12" t="s">
        <v>2256</v>
      </c>
      <c r="B119" s="12" t="s">
        <v>2257</v>
      </c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spans="1:18" ht="14.25" customHeight="1" x14ac:dyDescent="0.35">
      <c r="A120" s="12" t="s">
        <v>2258</v>
      </c>
      <c r="B120" s="12" t="s">
        <v>2164</v>
      </c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</row>
    <row r="121" spans="1:18" ht="14.25" customHeight="1" x14ac:dyDescent="0.35">
      <c r="A121" s="12" t="s">
        <v>2259</v>
      </c>
      <c r="B121" s="12" t="s">
        <v>2166</v>
      </c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</row>
    <row r="122" spans="1:18" ht="14.25" customHeight="1" x14ac:dyDescent="0.35">
      <c r="A122" s="12" t="s">
        <v>2260</v>
      </c>
      <c r="B122" s="12" t="s">
        <v>2168</v>
      </c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</row>
    <row r="123" spans="1:18" ht="14.25" customHeight="1" x14ac:dyDescent="0.35">
      <c r="A123" s="12" t="s">
        <v>2261</v>
      </c>
      <c r="B123" s="12" t="s">
        <v>2170</v>
      </c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</row>
    <row r="124" spans="1:18" ht="14.25" customHeight="1" x14ac:dyDescent="0.35">
      <c r="A124" s="12" t="s">
        <v>2262</v>
      </c>
      <c r="B124" s="12" t="s">
        <v>2172</v>
      </c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</row>
    <row r="125" spans="1:18" ht="14.25" customHeight="1" x14ac:dyDescent="0.35">
      <c r="A125" s="12" t="s">
        <v>2263</v>
      </c>
      <c r="B125" s="12" t="s">
        <v>2204</v>
      </c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</row>
    <row r="126" spans="1:18" ht="14.25" customHeight="1" x14ac:dyDescent="0.35">
      <c r="A126" s="12" t="s">
        <v>2264</v>
      </c>
      <c r="B126" s="12" t="s">
        <v>2265</v>
      </c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</row>
    <row r="127" spans="1:18" ht="14.25" customHeight="1" x14ac:dyDescent="0.35">
      <c r="A127" s="12" t="s">
        <v>2266</v>
      </c>
      <c r="B127" s="12" t="s">
        <v>2267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</row>
    <row r="128" spans="1:18" ht="14.25" customHeight="1" x14ac:dyDescent="0.35">
      <c r="A128" s="12" t="s">
        <v>2268</v>
      </c>
      <c r="B128" s="12" t="s">
        <v>2218</v>
      </c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</row>
    <row r="129" spans="1:18" ht="14.25" customHeight="1" x14ac:dyDescent="0.35">
      <c r="A129" s="12" t="s">
        <v>2173</v>
      </c>
      <c r="B129" s="12" t="s">
        <v>2174</v>
      </c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</row>
    <row r="130" spans="1:18" ht="14.25" customHeight="1" x14ac:dyDescent="0.35">
      <c r="A130" s="12" t="s">
        <v>2175</v>
      </c>
      <c r="B130" s="12" t="s">
        <v>2174</v>
      </c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</row>
    <row r="131" spans="1:18" ht="14.25" customHeight="1" x14ac:dyDescent="0.35">
      <c r="A131" s="12" t="s">
        <v>2176</v>
      </c>
      <c r="B131" s="12" t="s">
        <v>2174</v>
      </c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</row>
    <row r="132" spans="1:18" ht="14.25" customHeight="1" x14ac:dyDescent="0.35">
      <c r="A132" s="12" t="s">
        <v>2177</v>
      </c>
      <c r="B132" s="12" t="s">
        <v>2178</v>
      </c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</row>
    <row r="133" spans="1:18" ht="14.25" customHeight="1" x14ac:dyDescent="0.35">
      <c r="A133" s="12" t="s">
        <v>2179</v>
      </c>
      <c r="B133" s="12" t="s">
        <v>2180</v>
      </c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</row>
    <row r="134" spans="1:18" ht="14.25" customHeight="1" x14ac:dyDescent="0.35">
      <c r="A134" s="12" t="s">
        <v>2181</v>
      </c>
      <c r="B134" s="12" t="s">
        <v>2178</v>
      </c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</row>
    <row r="135" spans="1:18" ht="14.25" customHeight="1" x14ac:dyDescent="0.35">
      <c r="A135" s="12" t="s">
        <v>2182</v>
      </c>
      <c r="B135" s="12" t="s">
        <v>2180</v>
      </c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</row>
    <row r="136" spans="1:18" ht="14.25" customHeight="1" x14ac:dyDescent="0.35">
      <c r="A136" s="12" t="s">
        <v>2193</v>
      </c>
      <c r="B136" s="12" t="s">
        <v>2194</v>
      </c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</row>
    <row r="137" spans="1:18" ht="14.25" customHeight="1" x14ac:dyDescent="0.35">
      <c r="A137" s="12" t="s">
        <v>2195</v>
      </c>
      <c r="B137" s="12" t="s">
        <v>2196</v>
      </c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</row>
    <row r="138" spans="1:18" ht="14.25" customHeight="1" x14ac:dyDescent="0.35">
      <c r="A138" s="12" t="s">
        <v>2219</v>
      </c>
      <c r="B138" s="12" t="s">
        <v>2220</v>
      </c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</row>
    <row r="139" spans="1:18" ht="14.25" customHeight="1" x14ac:dyDescent="0.35">
      <c r="A139" s="12" t="s">
        <v>2221</v>
      </c>
      <c r="B139" s="12" t="s">
        <v>2222</v>
      </c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</row>
    <row r="140" spans="1:18" ht="14.25" customHeight="1" x14ac:dyDescent="0.35">
      <c r="B140" s="6" t="s">
        <v>2223</v>
      </c>
      <c r="C140" s="39">
        <f t="shared" ref="C140:R140" si="3">(C129+C129/12+C134)*IF(C136=0,0,C138/C136)</f>
        <v>0</v>
      </c>
      <c r="D140" s="39">
        <f t="shared" si="3"/>
        <v>0</v>
      </c>
      <c r="E140" s="39">
        <f t="shared" si="3"/>
        <v>0</v>
      </c>
      <c r="F140" s="39">
        <f t="shared" si="3"/>
        <v>0</v>
      </c>
      <c r="G140" s="39">
        <f t="shared" si="3"/>
        <v>0</v>
      </c>
      <c r="H140" s="39">
        <f t="shared" si="3"/>
        <v>0</v>
      </c>
      <c r="I140" s="39">
        <f t="shared" si="3"/>
        <v>0</v>
      </c>
      <c r="J140" s="39">
        <f t="shared" si="3"/>
        <v>0</v>
      </c>
      <c r="K140" s="39">
        <f t="shared" si="3"/>
        <v>0</v>
      </c>
      <c r="L140" s="39">
        <f t="shared" si="3"/>
        <v>0</v>
      </c>
      <c r="M140" s="39">
        <f t="shared" si="3"/>
        <v>0</v>
      </c>
      <c r="N140" s="39">
        <f t="shared" si="3"/>
        <v>0</v>
      </c>
      <c r="O140" s="39">
        <f t="shared" si="3"/>
        <v>0</v>
      </c>
      <c r="P140" s="39">
        <f t="shared" si="3"/>
        <v>0</v>
      </c>
      <c r="Q140" s="39">
        <f t="shared" si="3"/>
        <v>0</v>
      </c>
      <c r="R140" s="39">
        <f t="shared" si="3"/>
        <v>0</v>
      </c>
    </row>
    <row r="141" spans="1:18" ht="14.25" customHeight="1" x14ac:dyDescent="0.35">
      <c r="B141" s="6" t="s">
        <v>2224</v>
      </c>
      <c r="C141" s="39">
        <f t="shared" ref="C141:R141" si="4">(C130+C130/12+C131+C133+C135)*IF(C136=0,0,C138/C136)</f>
        <v>0</v>
      </c>
      <c r="D141" s="39">
        <f t="shared" si="4"/>
        <v>0</v>
      </c>
      <c r="E141" s="39">
        <f t="shared" si="4"/>
        <v>0</v>
      </c>
      <c r="F141" s="39">
        <f t="shared" si="4"/>
        <v>0</v>
      </c>
      <c r="G141" s="39">
        <f t="shared" si="4"/>
        <v>0</v>
      </c>
      <c r="H141" s="39">
        <f t="shared" si="4"/>
        <v>0</v>
      </c>
      <c r="I141" s="39">
        <f t="shared" si="4"/>
        <v>0</v>
      </c>
      <c r="J141" s="39">
        <f t="shared" si="4"/>
        <v>0</v>
      </c>
      <c r="K141" s="39">
        <f t="shared" si="4"/>
        <v>0</v>
      </c>
      <c r="L141" s="39">
        <f t="shared" si="4"/>
        <v>0</v>
      </c>
      <c r="M141" s="39">
        <f t="shared" si="4"/>
        <v>0</v>
      </c>
      <c r="N141" s="39">
        <f t="shared" si="4"/>
        <v>0</v>
      </c>
      <c r="O141" s="39">
        <f t="shared" si="4"/>
        <v>0</v>
      </c>
      <c r="P141" s="39">
        <f t="shared" si="4"/>
        <v>0</v>
      </c>
      <c r="Q141" s="39">
        <f t="shared" si="4"/>
        <v>0</v>
      </c>
      <c r="R141" s="39">
        <f t="shared" si="4"/>
        <v>0</v>
      </c>
    </row>
    <row r="142" spans="1:18" ht="14.25" customHeight="1" x14ac:dyDescent="0.35">
      <c r="B142" s="12" t="s">
        <v>2225</v>
      </c>
      <c r="C142" s="39">
        <f t="shared" ref="C142:R142" si="5">C140+C141-C120-C121</f>
        <v>0</v>
      </c>
      <c r="D142" s="39">
        <f t="shared" si="5"/>
        <v>0</v>
      </c>
      <c r="E142" s="39">
        <f t="shared" si="5"/>
        <v>0</v>
      </c>
      <c r="F142" s="39">
        <f t="shared" si="5"/>
        <v>0</v>
      </c>
      <c r="G142" s="39">
        <f t="shared" si="5"/>
        <v>0</v>
      </c>
      <c r="H142" s="39">
        <f t="shared" si="5"/>
        <v>0</v>
      </c>
      <c r="I142" s="39">
        <f t="shared" si="5"/>
        <v>0</v>
      </c>
      <c r="J142" s="39">
        <f t="shared" si="5"/>
        <v>0</v>
      </c>
      <c r="K142" s="39">
        <f t="shared" si="5"/>
        <v>0</v>
      </c>
      <c r="L142" s="39">
        <f t="shared" si="5"/>
        <v>0</v>
      </c>
      <c r="M142" s="39">
        <f t="shared" si="5"/>
        <v>0</v>
      </c>
      <c r="N142" s="39">
        <f t="shared" si="5"/>
        <v>0</v>
      </c>
      <c r="O142" s="39">
        <f t="shared" si="5"/>
        <v>0</v>
      </c>
      <c r="P142" s="39">
        <f t="shared" si="5"/>
        <v>0</v>
      </c>
      <c r="Q142" s="39">
        <f t="shared" si="5"/>
        <v>0</v>
      </c>
      <c r="R142" s="39">
        <f t="shared" si="5"/>
        <v>0</v>
      </c>
    </row>
    <row r="144" spans="1:18" ht="14.25" customHeight="1" x14ac:dyDescent="0.35">
      <c r="A144" s="9" t="s">
        <v>2269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4.25" customHeight="1" x14ac:dyDescent="0.35">
      <c r="A145" s="12" t="s">
        <v>2270</v>
      </c>
      <c r="B145" s="12" t="s">
        <v>2094</v>
      </c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spans="1:18" ht="14.25" customHeight="1" x14ac:dyDescent="0.35">
      <c r="A146" s="12" t="s">
        <v>2271</v>
      </c>
      <c r="B146" s="12" t="s">
        <v>251</v>
      </c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spans="1:18" ht="14.25" customHeight="1" x14ac:dyDescent="0.35">
      <c r="A147" s="12" t="s">
        <v>2272</v>
      </c>
      <c r="B147" s="12" t="s">
        <v>253</v>
      </c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spans="1:18" ht="14.25" customHeight="1" x14ac:dyDescent="0.35">
      <c r="A148" s="12" t="s">
        <v>2273</v>
      </c>
      <c r="B148" s="12" t="s">
        <v>2274</v>
      </c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</row>
    <row r="149" spans="1:18" ht="14.25" customHeight="1" x14ac:dyDescent="0.35">
      <c r="A149" s="12" t="s">
        <v>2275</v>
      </c>
      <c r="B149" s="12" t="s">
        <v>251</v>
      </c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spans="1:18" ht="14.25" customHeight="1" x14ac:dyDescent="0.35">
      <c r="A150" s="12" t="s">
        <v>2276</v>
      </c>
      <c r="B150" s="12" t="s">
        <v>253</v>
      </c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spans="1:18" ht="14.25" customHeight="1" x14ac:dyDescent="0.35">
      <c r="A151" s="12" t="s">
        <v>2277</v>
      </c>
      <c r="B151" s="12" t="s">
        <v>2104</v>
      </c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spans="1:18" ht="14.25" customHeight="1" x14ac:dyDescent="0.35">
      <c r="A152" s="12" t="s">
        <v>2278</v>
      </c>
      <c r="B152" s="12" t="s">
        <v>2106</v>
      </c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</row>
    <row r="153" spans="1:18" ht="14.25" customHeight="1" x14ac:dyDescent="0.35">
      <c r="A153" s="12" t="s">
        <v>2279</v>
      </c>
      <c r="B153" s="12" t="s">
        <v>2127</v>
      </c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spans="1:18" ht="14.25" customHeight="1" x14ac:dyDescent="0.35">
      <c r="A154" s="12" t="s">
        <v>2280</v>
      </c>
      <c r="B154" s="12" t="s">
        <v>104</v>
      </c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</row>
    <row r="155" spans="1:18" ht="14.25" customHeight="1" x14ac:dyDescent="0.35">
      <c r="A155" s="12" t="s">
        <v>2281</v>
      </c>
      <c r="B155" s="12" t="s">
        <v>2282</v>
      </c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</row>
    <row r="156" spans="1:18" ht="14.25" customHeight="1" x14ac:dyDescent="0.35">
      <c r="A156" s="12" t="s">
        <v>2283</v>
      </c>
      <c r="B156" s="12" t="s">
        <v>104</v>
      </c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</row>
    <row r="157" spans="1:18" ht="14.25" customHeight="1" x14ac:dyDescent="0.35">
      <c r="A157" s="12" t="s">
        <v>2284</v>
      </c>
      <c r="B157" s="12" t="s">
        <v>105</v>
      </c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</row>
    <row r="158" spans="1:18" ht="14.25" customHeight="1" x14ac:dyDescent="0.35">
      <c r="A158" s="12" t="s">
        <v>2285</v>
      </c>
      <c r="B158" s="12" t="s">
        <v>104</v>
      </c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spans="1:18" ht="14.25" customHeight="1" x14ac:dyDescent="0.35">
      <c r="A159" s="12" t="s">
        <v>2286</v>
      </c>
      <c r="B159" s="12" t="s">
        <v>106</v>
      </c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</row>
    <row r="160" spans="1:18" ht="14.25" customHeight="1" x14ac:dyDescent="0.35">
      <c r="A160" s="12" t="s">
        <v>2287</v>
      </c>
      <c r="B160" s="12" t="s">
        <v>104</v>
      </c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spans="1:18" ht="14.25" customHeight="1" x14ac:dyDescent="0.35">
      <c r="A161" s="12" t="s">
        <v>2288</v>
      </c>
      <c r="B161" s="12" t="s">
        <v>2137</v>
      </c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spans="1:18" ht="14.25" customHeight="1" x14ac:dyDescent="0.35">
      <c r="A162" s="12" t="s">
        <v>2289</v>
      </c>
      <c r="B162" s="12" t="s">
        <v>104</v>
      </c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spans="1:18" ht="14.25" customHeight="1" x14ac:dyDescent="0.35">
      <c r="A163" s="12" t="s">
        <v>2290</v>
      </c>
      <c r="B163" s="12" t="s">
        <v>312</v>
      </c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</row>
    <row r="164" spans="1:18" ht="14.25" customHeight="1" x14ac:dyDescent="0.35">
      <c r="A164" s="12" t="s">
        <v>2291</v>
      </c>
      <c r="B164" s="12" t="s">
        <v>104</v>
      </c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spans="1:18" ht="14.25" customHeight="1" x14ac:dyDescent="0.35">
      <c r="A165" s="12" t="s">
        <v>2292</v>
      </c>
      <c r="B165" s="12" t="s">
        <v>315</v>
      </c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spans="1:18" ht="14.25" customHeight="1" x14ac:dyDescent="0.35">
      <c r="A166" s="12" t="s">
        <v>2293</v>
      </c>
      <c r="B166" s="12" t="s">
        <v>104</v>
      </c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spans="1:18" ht="14.25" customHeight="1" x14ac:dyDescent="0.35">
      <c r="A167" s="12" t="s">
        <v>2294</v>
      </c>
      <c r="B167" s="12" t="s">
        <v>318</v>
      </c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</row>
    <row r="168" spans="1:18" ht="14.25" customHeight="1" x14ac:dyDescent="0.35">
      <c r="A168" s="12" t="s">
        <v>2295</v>
      </c>
      <c r="B168" s="12" t="s">
        <v>104</v>
      </c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spans="1:18" ht="14.25" customHeight="1" x14ac:dyDescent="0.35">
      <c r="A169" s="12" t="s">
        <v>2296</v>
      </c>
      <c r="B169" s="12" t="s">
        <v>2150</v>
      </c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spans="1:18" ht="14.25" customHeight="1" x14ac:dyDescent="0.35">
      <c r="A170" s="12" t="s">
        <v>2297</v>
      </c>
      <c r="B170" s="12" t="s">
        <v>2152</v>
      </c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</row>
    <row r="171" spans="1:18" ht="14.25" customHeight="1" x14ac:dyDescent="0.35">
      <c r="A171" s="12" t="s">
        <v>2298</v>
      </c>
      <c r="B171" s="12" t="s">
        <v>2158</v>
      </c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</row>
    <row r="172" spans="1:18" ht="14.25" customHeight="1" x14ac:dyDescent="0.35">
      <c r="A172" s="12" t="s">
        <v>2299</v>
      </c>
      <c r="B172" s="12" t="s">
        <v>2257</v>
      </c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spans="1:18" ht="14.25" customHeight="1" x14ac:dyDescent="0.35">
      <c r="A173" s="12" t="s">
        <v>2300</v>
      </c>
      <c r="B173" s="12" t="s">
        <v>2164</v>
      </c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</row>
    <row r="174" spans="1:18" ht="14.25" customHeight="1" x14ac:dyDescent="0.35">
      <c r="A174" s="12" t="s">
        <v>2301</v>
      </c>
      <c r="B174" s="12" t="s">
        <v>2166</v>
      </c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</row>
    <row r="175" spans="1:18" ht="14.25" customHeight="1" x14ac:dyDescent="0.35">
      <c r="A175" s="12" t="s">
        <v>2302</v>
      </c>
      <c r="B175" s="12" t="s">
        <v>2168</v>
      </c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</row>
    <row r="176" spans="1:18" ht="14.25" customHeight="1" x14ac:dyDescent="0.35">
      <c r="A176" s="12" t="s">
        <v>2303</v>
      </c>
      <c r="B176" s="12" t="s">
        <v>2170</v>
      </c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</row>
    <row r="177" spans="1:18" ht="14.25" customHeight="1" x14ac:dyDescent="0.35">
      <c r="A177" s="12" t="s">
        <v>2304</v>
      </c>
      <c r="B177" s="12" t="s">
        <v>2172</v>
      </c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</row>
    <row r="178" spans="1:18" ht="14.25" customHeight="1" x14ac:dyDescent="0.35">
      <c r="A178" s="12" t="s">
        <v>2305</v>
      </c>
      <c r="B178" s="12" t="s">
        <v>2204</v>
      </c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</row>
    <row r="179" spans="1:18" ht="14.25" customHeight="1" x14ac:dyDescent="0.35">
      <c r="A179" s="12" t="s">
        <v>2306</v>
      </c>
      <c r="B179" s="12" t="s">
        <v>2307</v>
      </c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</row>
    <row r="180" spans="1:18" ht="14.25" customHeight="1" x14ac:dyDescent="0.35">
      <c r="A180" s="12" t="s">
        <v>2308</v>
      </c>
      <c r="B180" s="12" t="s">
        <v>2309</v>
      </c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</row>
    <row r="181" spans="1:18" ht="14.25" customHeight="1" x14ac:dyDescent="0.35">
      <c r="A181" s="12" t="s">
        <v>2310</v>
      </c>
      <c r="B181" s="12" t="s">
        <v>2218</v>
      </c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</row>
    <row r="182" spans="1:18" ht="14.25" customHeight="1" x14ac:dyDescent="0.35">
      <c r="A182" s="12" t="s">
        <v>2173</v>
      </c>
      <c r="B182" s="12" t="s">
        <v>2174</v>
      </c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</row>
    <row r="183" spans="1:18" ht="14.25" customHeight="1" x14ac:dyDescent="0.35">
      <c r="A183" s="12" t="s">
        <v>2175</v>
      </c>
      <c r="B183" s="12" t="s">
        <v>2174</v>
      </c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</row>
    <row r="184" spans="1:18" ht="14.25" customHeight="1" x14ac:dyDescent="0.35">
      <c r="A184" s="12" t="s">
        <v>2176</v>
      </c>
      <c r="B184" s="12" t="s">
        <v>2174</v>
      </c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</row>
    <row r="185" spans="1:18" ht="14.25" customHeight="1" x14ac:dyDescent="0.35">
      <c r="A185" s="12" t="s">
        <v>2177</v>
      </c>
      <c r="B185" s="12" t="s">
        <v>2178</v>
      </c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</row>
    <row r="186" spans="1:18" ht="14.25" customHeight="1" x14ac:dyDescent="0.35">
      <c r="A186" s="12" t="s">
        <v>2179</v>
      </c>
      <c r="B186" s="12" t="s">
        <v>2180</v>
      </c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</row>
    <row r="187" spans="1:18" ht="14.25" customHeight="1" x14ac:dyDescent="0.35">
      <c r="A187" s="12" t="s">
        <v>2181</v>
      </c>
      <c r="B187" s="12" t="s">
        <v>2178</v>
      </c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</row>
    <row r="188" spans="1:18" ht="14.25" customHeight="1" x14ac:dyDescent="0.35">
      <c r="A188" s="12" t="s">
        <v>2182</v>
      </c>
      <c r="B188" s="12" t="s">
        <v>2180</v>
      </c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</row>
    <row r="189" spans="1:18" ht="14.25" customHeight="1" x14ac:dyDescent="0.35">
      <c r="A189" s="12" t="s">
        <v>2193</v>
      </c>
      <c r="B189" s="12" t="s">
        <v>2194</v>
      </c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</row>
    <row r="190" spans="1:18" ht="14.25" customHeight="1" x14ac:dyDescent="0.35">
      <c r="A190" s="12" t="s">
        <v>2195</v>
      </c>
      <c r="B190" s="12" t="s">
        <v>2196</v>
      </c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</row>
    <row r="191" spans="1:18" ht="14.25" customHeight="1" x14ac:dyDescent="0.35">
      <c r="A191" s="12" t="s">
        <v>2219</v>
      </c>
      <c r="B191" s="12" t="s">
        <v>2220</v>
      </c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</row>
    <row r="192" spans="1:18" ht="14.25" customHeight="1" x14ac:dyDescent="0.35">
      <c r="A192" s="12" t="s">
        <v>2221</v>
      </c>
      <c r="B192" s="12" t="s">
        <v>2222</v>
      </c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</row>
    <row r="193" spans="1:18" ht="14.25" customHeight="1" x14ac:dyDescent="0.35">
      <c r="B193" s="6" t="s">
        <v>2223</v>
      </c>
      <c r="C193" s="39">
        <f t="shared" ref="C193:R193" si="6">(C182+C182/12+C187)*IF(C189=0,0,C192/C189)</f>
        <v>0</v>
      </c>
      <c r="D193" s="39">
        <f t="shared" si="6"/>
        <v>0</v>
      </c>
      <c r="E193" s="39">
        <f t="shared" si="6"/>
        <v>0</v>
      </c>
      <c r="F193" s="39">
        <f t="shared" si="6"/>
        <v>0</v>
      </c>
      <c r="G193" s="39">
        <f t="shared" si="6"/>
        <v>0</v>
      </c>
      <c r="H193" s="39">
        <f t="shared" si="6"/>
        <v>0</v>
      </c>
      <c r="I193" s="39">
        <f t="shared" si="6"/>
        <v>0</v>
      </c>
      <c r="J193" s="39">
        <f t="shared" si="6"/>
        <v>0</v>
      </c>
      <c r="K193" s="39">
        <f t="shared" si="6"/>
        <v>0</v>
      </c>
      <c r="L193" s="39">
        <f t="shared" si="6"/>
        <v>0</v>
      </c>
      <c r="M193" s="39">
        <f t="shared" si="6"/>
        <v>0</v>
      </c>
      <c r="N193" s="39">
        <f t="shared" si="6"/>
        <v>0</v>
      </c>
      <c r="O193" s="39">
        <f t="shared" si="6"/>
        <v>0</v>
      </c>
      <c r="P193" s="39">
        <f t="shared" si="6"/>
        <v>0</v>
      </c>
      <c r="Q193" s="39">
        <f t="shared" si="6"/>
        <v>0</v>
      </c>
      <c r="R193" s="39">
        <f t="shared" si="6"/>
        <v>0</v>
      </c>
    </row>
    <row r="194" spans="1:18" ht="14.25" customHeight="1" x14ac:dyDescent="0.35">
      <c r="B194" s="6" t="s">
        <v>2224</v>
      </c>
      <c r="C194" s="39">
        <f t="shared" ref="C194:R194" si="7">(C183+C183/12+C184+C186+C188)*IF(C189=0,0,C192/C189)</f>
        <v>0</v>
      </c>
      <c r="D194" s="39">
        <f t="shared" si="7"/>
        <v>0</v>
      </c>
      <c r="E194" s="39">
        <f t="shared" si="7"/>
        <v>0</v>
      </c>
      <c r="F194" s="39">
        <f t="shared" si="7"/>
        <v>0</v>
      </c>
      <c r="G194" s="39">
        <f t="shared" si="7"/>
        <v>0</v>
      </c>
      <c r="H194" s="39">
        <f t="shared" si="7"/>
        <v>0</v>
      </c>
      <c r="I194" s="39">
        <f t="shared" si="7"/>
        <v>0</v>
      </c>
      <c r="J194" s="39">
        <f t="shared" si="7"/>
        <v>0</v>
      </c>
      <c r="K194" s="39">
        <f t="shared" si="7"/>
        <v>0</v>
      </c>
      <c r="L194" s="39">
        <f t="shared" si="7"/>
        <v>0</v>
      </c>
      <c r="M194" s="39">
        <f t="shared" si="7"/>
        <v>0</v>
      </c>
      <c r="N194" s="39">
        <f t="shared" si="7"/>
        <v>0</v>
      </c>
      <c r="O194" s="39">
        <f t="shared" si="7"/>
        <v>0</v>
      </c>
      <c r="P194" s="39">
        <f t="shared" si="7"/>
        <v>0</v>
      </c>
      <c r="Q194" s="39">
        <f t="shared" si="7"/>
        <v>0</v>
      </c>
      <c r="R194" s="39">
        <f t="shared" si="7"/>
        <v>0</v>
      </c>
    </row>
    <row r="195" spans="1:18" ht="14.25" customHeight="1" x14ac:dyDescent="0.35">
      <c r="B195" s="12" t="s">
        <v>2225</v>
      </c>
      <c r="C195" s="39">
        <f t="shared" ref="C195:R195" si="8">C193+C194-C173-C174</f>
        <v>0</v>
      </c>
      <c r="D195" s="39">
        <f t="shared" si="8"/>
        <v>0</v>
      </c>
      <c r="E195" s="39">
        <f t="shared" si="8"/>
        <v>0</v>
      </c>
      <c r="F195" s="39">
        <f t="shared" si="8"/>
        <v>0</v>
      </c>
      <c r="G195" s="39">
        <f t="shared" si="8"/>
        <v>0</v>
      </c>
      <c r="H195" s="39">
        <f t="shared" si="8"/>
        <v>0</v>
      </c>
      <c r="I195" s="39">
        <f t="shared" si="8"/>
        <v>0</v>
      </c>
      <c r="J195" s="39">
        <f t="shared" si="8"/>
        <v>0</v>
      </c>
      <c r="K195" s="39">
        <f t="shared" si="8"/>
        <v>0</v>
      </c>
      <c r="L195" s="39">
        <f t="shared" si="8"/>
        <v>0</v>
      </c>
      <c r="M195" s="39">
        <f t="shared" si="8"/>
        <v>0</v>
      </c>
      <c r="N195" s="39">
        <f t="shared" si="8"/>
        <v>0</v>
      </c>
      <c r="O195" s="39">
        <f t="shared" si="8"/>
        <v>0</v>
      </c>
      <c r="P195" s="39">
        <f t="shared" si="8"/>
        <v>0</v>
      </c>
      <c r="Q195" s="39">
        <f t="shared" si="8"/>
        <v>0</v>
      </c>
      <c r="R195" s="39">
        <f t="shared" si="8"/>
        <v>0</v>
      </c>
    </row>
    <row r="197" spans="1:18" ht="14.25" customHeight="1" x14ac:dyDescent="0.35">
      <c r="A197" s="9" t="s">
        <v>8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4.25" customHeight="1" x14ac:dyDescent="0.35">
      <c r="A198" s="12" t="s">
        <v>2311</v>
      </c>
      <c r="B198" s="12" t="s">
        <v>2312</v>
      </c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</row>
    <row r="199" spans="1:18" ht="14.25" customHeight="1" x14ac:dyDescent="0.35">
      <c r="A199" s="12" t="s">
        <v>2313</v>
      </c>
      <c r="B199" s="12" t="s">
        <v>2314</v>
      </c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5</vt:i4>
      </vt:variant>
    </vt:vector>
  </HeadingPairs>
  <TitlesOfParts>
    <vt:vector size="27" baseType="lpstr">
      <vt:lpstr>RINGKASAN</vt:lpstr>
      <vt:lpstr>FCC</vt:lpstr>
      <vt:lpstr>UU</vt:lpstr>
      <vt:lpstr>UO</vt:lpstr>
      <vt:lpstr>LAIN-LAIN</vt:lpstr>
      <vt:lpstr>CEM-CEM ORI</vt:lpstr>
      <vt:lpstr>CEM-CEM BBQ</vt:lpstr>
      <vt:lpstr>KOPERASI</vt:lpstr>
      <vt:lpstr>MCH BASRENG L0</vt:lpstr>
      <vt:lpstr>MCH BASRENG L5</vt:lpstr>
      <vt:lpstr>MCH BASRENG L10</vt:lpstr>
      <vt:lpstr>MCH KERIPIK LV3</vt:lpstr>
      <vt:lpstr>MCH KERIPIK LV10</vt:lpstr>
      <vt:lpstr>MCH KERIPIK LV5</vt:lpstr>
      <vt:lpstr>UBI PUTIH ACE</vt:lpstr>
      <vt:lpstr>BIAYA BERSAMA</vt:lpstr>
      <vt:lpstr>REKON &amp; KONTROL</vt:lpstr>
      <vt:lpstr>CEK KEWAJARAN</vt:lpstr>
      <vt:lpstr>BRIDGE GP</vt:lpstr>
      <vt:lpstr>REKON MATERIAL</vt:lpstr>
      <vt:lpstr>REKON PERSEDIAAN</vt:lpstr>
      <vt:lpstr>BUDGET</vt:lpstr>
      <vt:lpstr>FCC!Print_Area</vt:lpstr>
      <vt:lpstr>'LAIN-LAIN'!Print_Area</vt:lpstr>
      <vt:lpstr>UO!Print_Area</vt:lpstr>
      <vt:lpstr>UU!Print_Area</vt:lpstr>
      <vt:lpstr>BUDGET!Print_Titles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Dika Gustiana</cp:lastModifiedBy>
  <cp:revision>2</cp:revision>
  <dcterms:created xsi:type="dcterms:W3CDTF">2026-09-28T03:08:51Z</dcterms:created>
  <dcterms:modified xsi:type="dcterms:W3CDTF">2026-10-14T09:54:49Z</dcterms:modified>
  <dc:language>en-US</dc:language>
</cp:coreProperties>
</file>