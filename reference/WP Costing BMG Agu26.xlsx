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E17548D-5ACC-4FA8-AD0B-29F1AC2922ED}" xr6:coauthVersionLast="47" xr6:coauthVersionMax="47" xr10:uidLastSave="{00000000-0000-0000-0000-000000000000}"/>
  <bookViews>
    <workbookView xWindow="-110" yWindow="-110" windowWidth="25820" windowHeight="16220" tabRatio="500" activeTab="2" xr2:uid="{00000000-000D-0000-FFFF-FFFF00000000}"/>
  </bookViews>
  <sheets>
    <sheet name="RINGKASAN" sheetId="1" r:id="rId1"/>
    <sheet name="FCC" sheetId="2" r:id="rId2"/>
    <sheet name="UU" sheetId="3" r:id="rId3"/>
    <sheet name="UO" sheetId="4" r:id="rId4"/>
    <sheet name="LAIN-LAIN" sheetId="5" r:id="rId5"/>
    <sheet name="BIAYA BERSAMA" sheetId="6" r:id="rId6"/>
    <sheet name="REKON &amp; KONTROL" sheetId="7" r:id="rId7"/>
    <sheet name="ASUMSI" sheetId="8" r:id="rId8"/>
    <sheet name="BUDGET" sheetId="9" r:id="rId9"/>
  </sheets>
  <definedNames>
    <definedName name="_xlnm.Print_Area" localSheetId="1">FCC!$A$1:$M$169</definedName>
    <definedName name="_xlnm.Print_Area" localSheetId="4">'LAIN-LAIN'!$A$1:$L$77</definedName>
    <definedName name="_xlnm.Print_Area" localSheetId="3">UO!$A$1:$M$160</definedName>
    <definedName name="_xlnm.Print_Area" localSheetId="2">UU!$A$1:$M$159</definedName>
    <definedName name="_xlnm.Print_Titles" localSheetId="7">ASUMSI!$4:$4</definedName>
    <definedName name="_xlnm.Print_Titles" localSheetId="8">BUDGET!$4:$4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8" i="2" l="1"/>
  <c r="E148" i="2"/>
  <c r="D152" i="2"/>
  <c r="K195" i="9"/>
  <c r="I195" i="9"/>
  <c r="R194" i="9"/>
  <c r="Q194" i="9"/>
  <c r="P194" i="9"/>
  <c r="O194" i="9"/>
  <c r="N194" i="9"/>
  <c r="M194" i="9"/>
  <c r="L194" i="9"/>
  <c r="K194" i="9"/>
  <c r="J194" i="9"/>
  <c r="I194" i="9"/>
  <c r="H194" i="9"/>
  <c r="G194" i="9"/>
  <c r="F194" i="9"/>
  <c r="E194" i="9"/>
  <c r="D194" i="9"/>
  <c r="C194" i="9"/>
  <c r="R193" i="9"/>
  <c r="R195" i="9" s="1"/>
  <c r="Q193" i="9"/>
  <c r="Q195" i="9" s="1"/>
  <c r="P193" i="9"/>
  <c r="P195" i="9" s="1"/>
  <c r="O193" i="9"/>
  <c r="O195" i="9" s="1"/>
  <c r="N193" i="9"/>
  <c r="N195" i="9" s="1"/>
  <c r="M193" i="9"/>
  <c r="M195" i="9" s="1"/>
  <c r="L193" i="9"/>
  <c r="L195" i="9" s="1"/>
  <c r="K193" i="9"/>
  <c r="J193" i="9"/>
  <c r="J195" i="9" s="1"/>
  <c r="I193" i="9"/>
  <c r="H193" i="9"/>
  <c r="H195" i="9" s="1"/>
  <c r="G193" i="9"/>
  <c r="G195" i="9" s="1"/>
  <c r="F193" i="9"/>
  <c r="F195" i="9" s="1"/>
  <c r="E193" i="9"/>
  <c r="E195" i="9" s="1"/>
  <c r="D193" i="9"/>
  <c r="D195" i="9" s="1"/>
  <c r="C193" i="9"/>
  <c r="C195" i="9" s="1"/>
  <c r="L142" i="9"/>
  <c r="K142" i="9"/>
  <c r="J142" i="9"/>
  <c r="I142" i="9"/>
  <c r="H142" i="9"/>
  <c r="G142" i="9"/>
  <c r="D142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R140" i="9"/>
  <c r="R142" i="9" s="1"/>
  <c r="Q140" i="9"/>
  <c r="Q142" i="9" s="1"/>
  <c r="P140" i="9"/>
  <c r="P142" i="9" s="1"/>
  <c r="O140" i="9"/>
  <c r="O142" i="9" s="1"/>
  <c r="N140" i="9"/>
  <c r="N142" i="9" s="1"/>
  <c r="M140" i="9"/>
  <c r="M142" i="9" s="1"/>
  <c r="L140" i="9"/>
  <c r="K140" i="9"/>
  <c r="J140" i="9"/>
  <c r="I140" i="9"/>
  <c r="H140" i="9"/>
  <c r="G140" i="9"/>
  <c r="F140" i="9"/>
  <c r="F142" i="9" s="1"/>
  <c r="E140" i="9"/>
  <c r="E142" i="9" s="1"/>
  <c r="D140" i="9"/>
  <c r="C140" i="9"/>
  <c r="C142" i="9" s="1"/>
  <c r="L89" i="9"/>
  <c r="I89" i="9"/>
  <c r="H89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R87" i="9"/>
  <c r="R89" i="9" s="1"/>
  <c r="Q87" i="9"/>
  <c r="Q89" i="9" s="1"/>
  <c r="P87" i="9"/>
  <c r="P89" i="9" s="1"/>
  <c r="O87" i="9"/>
  <c r="O89" i="9" s="1"/>
  <c r="N87" i="9"/>
  <c r="N89" i="9" s="1"/>
  <c r="M87" i="9"/>
  <c r="M89" i="9" s="1"/>
  <c r="L87" i="9"/>
  <c r="K87" i="9"/>
  <c r="K89" i="9" s="1"/>
  <c r="J87" i="9"/>
  <c r="J89" i="9" s="1"/>
  <c r="I87" i="9"/>
  <c r="H87" i="9"/>
  <c r="G87" i="9"/>
  <c r="G89" i="9" s="1"/>
  <c r="F87" i="9"/>
  <c r="F89" i="9" s="1"/>
  <c r="E87" i="9"/>
  <c r="E89" i="9" s="1"/>
  <c r="D87" i="9"/>
  <c r="D89" i="9" s="1"/>
  <c r="C87" i="9"/>
  <c r="C89" i="9" s="1"/>
  <c r="C53" i="7"/>
  <c r="C54" i="7" s="1"/>
  <c r="D52" i="7"/>
  <c r="C40" i="7"/>
  <c r="B27" i="7"/>
  <c r="C61" i="7" s="1"/>
  <c r="D61" i="7" s="1"/>
  <c r="B26" i="7"/>
  <c r="B25" i="7"/>
  <c r="E15" i="7"/>
  <c r="D15" i="7"/>
  <c r="C15" i="7"/>
  <c r="C11" i="1" s="1"/>
  <c r="B15" i="7"/>
  <c r="B11" i="1" s="1"/>
  <c r="E6" i="7"/>
  <c r="C136" i="6"/>
  <c r="D136" i="6" s="1"/>
  <c r="F93" i="6"/>
  <c r="E93" i="6"/>
  <c r="D93" i="6"/>
  <c r="C93" i="6"/>
  <c r="E92" i="6"/>
  <c r="D92" i="6"/>
  <c r="C92" i="6"/>
  <c r="G92" i="6" s="1"/>
  <c r="G98" i="6" s="1"/>
  <c r="E91" i="6"/>
  <c r="D91" i="6"/>
  <c r="C91" i="6"/>
  <c r="D84" i="6"/>
  <c r="C78" i="6"/>
  <c r="C77" i="6"/>
  <c r="C76" i="6"/>
  <c r="C75" i="6"/>
  <c r="C74" i="6"/>
  <c r="C73" i="6"/>
  <c r="C72" i="6"/>
  <c r="C71" i="6"/>
  <c r="C70" i="6"/>
  <c r="C69" i="6"/>
  <c r="C68" i="6"/>
  <c r="C84" i="6" s="1"/>
  <c r="C67" i="6"/>
  <c r="C64" i="6"/>
  <c r="C63" i="6"/>
  <c r="C61" i="6"/>
  <c r="C59" i="6"/>
  <c r="C56" i="6"/>
  <c r="C52" i="6"/>
  <c r="D51" i="6" s="1"/>
  <c r="C51" i="6"/>
  <c r="C50" i="6"/>
  <c r="C49" i="6"/>
  <c r="C48" i="6"/>
  <c r="C43" i="6"/>
  <c r="C44" i="6" s="1"/>
  <c r="C60" i="6" s="1"/>
  <c r="C42" i="6"/>
  <c r="C23" i="6"/>
  <c r="C72" i="5"/>
  <c r="D72" i="5" s="1"/>
  <c r="H67" i="5"/>
  <c r="D67" i="5"/>
  <c r="C67" i="5"/>
  <c r="A67" i="5"/>
  <c r="H66" i="5"/>
  <c r="D66" i="5"/>
  <c r="C66" i="5"/>
  <c r="A66" i="5"/>
  <c r="H65" i="5"/>
  <c r="D65" i="5"/>
  <c r="C65" i="5"/>
  <c r="A65" i="5"/>
  <c r="H64" i="5"/>
  <c r="D64" i="5"/>
  <c r="C64" i="5"/>
  <c r="A64" i="5"/>
  <c r="H63" i="5"/>
  <c r="D63" i="5"/>
  <c r="C63" i="5"/>
  <c r="A63" i="5"/>
  <c r="H62" i="5"/>
  <c r="D62" i="5"/>
  <c r="C62" i="5"/>
  <c r="A62" i="5"/>
  <c r="H61" i="5"/>
  <c r="D61" i="5"/>
  <c r="C61" i="5"/>
  <c r="A61" i="5"/>
  <c r="H60" i="5"/>
  <c r="D60" i="5"/>
  <c r="C60" i="5"/>
  <c r="A60" i="5"/>
  <c r="H59" i="5"/>
  <c r="D59" i="5"/>
  <c r="C59" i="5"/>
  <c r="A59" i="5"/>
  <c r="H58" i="5"/>
  <c r="D58" i="5"/>
  <c r="C58" i="5"/>
  <c r="A58" i="5"/>
  <c r="H57" i="5"/>
  <c r="D57" i="5"/>
  <c r="C57" i="5"/>
  <c r="A57" i="5"/>
  <c r="H56" i="5"/>
  <c r="D56" i="5"/>
  <c r="C56" i="5"/>
  <c r="A56" i="5"/>
  <c r="H55" i="5"/>
  <c r="D55" i="5"/>
  <c r="C55" i="5"/>
  <c r="A55" i="5"/>
  <c r="H54" i="5"/>
  <c r="D54" i="5"/>
  <c r="C54" i="5"/>
  <c r="A54" i="5"/>
  <c r="H53" i="5"/>
  <c r="D53" i="5"/>
  <c r="C53" i="5"/>
  <c r="A53" i="5"/>
  <c r="H52" i="5"/>
  <c r="D52" i="5"/>
  <c r="C52" i="5"/>
  <c r="A52" i="5"/>
  <c r="D51" i="5"/>
  <c r="C51" i="5"/>
  <c r="A51" i="5"/>
  <c r="D50" i="5"/>
  <c r="C50" i="5"/>
  <c r="A50" i="5"/>
  <c r="D49" i="5"/>
  <c r="C49" i="5"/>
  <c r="A49" i="5"/>
  <c r="D48" i="5"/>
  <c r="C48" i="5"/>
  <c r="A48" i="5"/>
  <c r="D47" i="5"/>
  <c r="C47" i="5"/>
  <c r="A47" i="5"/>
  <c r="I43" i="5"/>
  <c r="H43" i="5"/>
  <c r="F91" i="6" s="1"/>
  <c r="G43" i="5"/>
  <c r="F94" i="6" s="1"/>
  <c r="F43" i="5"/>
  <c r="E43" i="5"/>
  <c r="C52" i="7" s="1"/>
  <c r="D43" i="5"/>
  <c r="C43" i="5"/>
  <c r="B17" i="5"/>
  <c r="B15" i="5"/>
  <c r="C14" i="5"/>
  <c r="C11" i="5"/>
  <c r="E5" i="5"/>
  <c r="C227" i="4"/>
  <c r="C153" i="4" s="1"/>
  <c r="G218" i="4"/>
  <c r="G217" i="4"/>
  <c r="E54" i="4" s="1"/>
  <c r="G216" i="4"/>
  <c r="G215" i="4"/>
  <c r="G214" i="4"/>
  <c r="G213" i="4"/>
  <c r="E46" i="4" s="1"/>
  <c r="G212" i="4"/>
  <c r="C156" i="4"/>
  <c r="D156" i="4" s="1"/>
  <c r="D153" i="4"/>
  <c r="D144" i="4"/>
  <c r="E142" i="4"/>
  <c r="C142" i="4"/>
  <c r="C140" i="4"/>
  <c r="E140" i="4" s="1"/>
  <c r="C139" i="4"/>
  <c r="E139" i="4" s="1"/>
  <c r="C134" i="4"/>
  <c r="E134" i="4" s="1"/>
  <c r="C133" i="4"/>
  <c r="E133" i="4" s="1"/>
  <c r="J125" i="4"/>
  <c r="J120" i="4"/>
  <c r="L118" i="4"/>
  <c r="I14" i="4" s="1"/>
  <c r="K118" i="4"/>
  <c r="L116" i="4"/>
  <c r="I13" i="4" s="1"/>
  <c r="K116" i="4"/>
  <c r="D114" i="4"/>
  <c r="E112" i="4"/>
  <c r="D112" i="4"/>
  <c r="D111" i="4"/>
  <c r="E110" i="4"/>
  <c r="D110" i="4"/>
  <c r="L109" i="4"/>
  <c r="I12" i="4" s="1"/>
  <c r="K109" i="4"/>
  <c r="L107" i="4"/>
  <c r="I11" i="4" s="1"/>
  <c r="K107" i="4"/>
  <c r="H11" i="4" s="1"/>
  <c r="L105" i="4"/>
  <c r="K105" i="4"/>
  <c r="D104" i="4"/>
  <c r="E92" i="4"/>
  <c r="E91" i="4"/>
  <c r="B89" i="4"/>
  <c r="B88" i="4"/>
  <c r="F87" i="4"/>
  <c r="E84" i="4"/>
  <c r="B84" i="4"/>
  <c r="E80" i="4"/>
  <c r="B77" i="4"/>
  <c r="B76" i="4"/>
  <c r="B72" i="4"/>
  <c r="E70" i="4"/>
  <c r="B58" i="4"/>
  <c r="D58" i="4" s="1"/>
  <c r="D117" i="4" s="1"/>
  <c r="E52" i="4"/>
  <c r="D52" i="4"/>
  <c r="D113" i="4" s="1"/>
  <c r="B52" i="4"/>
  <c r="E47" i="4"/>
  <c r="B47" i="4"/>
  <c r="F46" i="4"/>
  <c r="D46" i="4"/>
  <c r="D106" i="4" s="1"/>
  <c r="B46" i="4"/>
  <c r="E43" i="4"/>
  <c r="E44" i="4" s="1"/>
  <c r="D43" i="4"/>
  <c r="B43" i="4"/>
  <c r="D37" i="4"/>
  <c r="B37" i="4"/>
  <c r="B36" i="4"/>
  <c r="B35" i="4"/>
  <c r="B32" i="4"/>
  <c r="B31" i="4"/>
  <c r="B24" i="4"/>
  <c r="D24" i="1" s="1"/>
  <c r="B21" i="4"/>
  <c r="G16" i="4"/>
  <c r="G15" i="4"/>
  <c r="H14" i="4"/>
  <c r="H13" i="4"/>
  <c r="H12" i="4"/>
  <c r="B11" i="4"/>
  <c r="I10" i="4"/>
  <c r="H10" i="4"/>
  <c r="E5" i="4"/>
  <c r="C226" i="3"/>
  <c r="C152" i="3" s="1"/>
  <c r="D152" i="3" s="1"/>
  <c r="G217" i="3"/>
  <c r="G216" i="3"/>
  <c r="G215" i="3"/>
  <c r="E54" i="3" s="1"/>
  <c r="G214" i="3"/>
  <c r="G213" i="3"/>
  <c r="E47" i="3" s="1"/>
  <c r="G212" i="3"/>
  <c r="E46" i="3" s="1"/>
  <c r="B11" i="3" s="1"/>
  <c r="G211" i="3"/>
  <c r="D144" i="3"/>
  <c r="E139" i="3"/>
  <c r="C139" i="3"/>
  <c r="J125" i="3"/>
  <c r="G16" i="3" s="1"/>
  <c r="J120" i="3"/>
  <c r="G15" i="3" s="1"/>
  <c r="L118" i="3"/>
  <c r="I14" i="3" s="1"/>
  <c r="K118" i="3"/>
  <c r="H14" i="3" s="1"/>
  <c r="L116" i="3"/>
  <c r="I13" i="3" s="1"/>
  <c r="K116" i="3"/>
  <c r="H13" i="3" s="1"/>
  <c r="D114" i="3"/>
  <c r="D112" i="3"/>
  <c r="D111" i="3"/>
  <c r="D110" i="3"/>
  <c r="L109" i="3"/>
  <c r="K109" i="3"/>
  <c r="L107" i="3"/>
  <c r="I11" i="3" s="1"/>
  <c r="K107" i="3"/>
  <c r="H11" i="3" s="1"/>
  <c r="D106" i="3"/>
  <c r="L105" i="3"/>
  <c r="K105" i="3"/>
  <c r="E91" i="3"/>
  <c r="B89" i="3"/>
  <c r="B88" i="3"/>
  <c r="E84" i="3"/>
  <c r="B84" i="3"/>
  <c r="E80" i="3"/>
  <c r="E70" i="3"/>
  <c r="B58" i="3"/>
  <c r="D58" i="3" s="1"/>
  <c r="D117" i="3" s="1"/>
  <c r="E52" i="3"/>
  <c r="E55" i="3" s="1"/>
  <c r="D52" i="3"/>
  <c r="D113" i="3" s="1"/>
  <c r="B52" i="3"/>
  <c r="B113" i="3" s="1"/>
  <c r="B47" i="3"/>
  <c r="D46" i="3"/>
  <c r="B46" i="3"/>
  <c r="D43" i="3"/>
  <c r="D104" i="3" s="1"/>
  <c r="B43" i="3"/>
  <c r="B37" i="3"/>
  <c r="B77" i="3" s="1"/>
  <c r="B36" i="3"/>
  <c r="B76" i="3" s="1"/>
  <c r="B35" i="3"/>
  <c r="B72" i="3" s="1"/>
  <c r="B32" i="3"/>
  <c r="B112" i="3" s="1"/>
  <c r="B31" i="3"/>
  <c r="B70" i="3" s="1"/>
  <c r="B24" i="3"/>
  <c r="B21" i="3"/>
  <c r="I12" i="3"/>
  <c r="H12" i="3"/>
  <c r="E5" i="3"/>
  <c r="D36" i="3" s="1"/>
  <c r="C237" i="2"/>
  <c r="C162" i="2" s="1"/>
  <c r="D162" i="2" s="1"/>
  <c r="D229" i="2"/>
  <c r="G227" i="2"/>
  <c r="G226" i="2"/>
  <c r="G225" i="2"/>
  <c r="G224" i="2"/>
  <c r="G223" i="2"/>
  <c r="G222" i="2"/>
  <c r="E52" i="2" s="1"/>
  <c r="G221" i="2"/>
  <c r="E51" i="2" s="1"/>
  <c r="G220" i="2"/>
  <c r="E50" i="2" s="1"/>
  <c r="G219" i="2"/>
  <c r="E49" i="2" s="1"/>
  <c r="G218" i="2"/>
  <c r="E48" i="2" s="1"/>
  <c r="G217" i="2"/>
  <c r="E46" i="2" s="1"/>
  <c r="C140" i="2" s="1"/>
  <c r="E140" i="2" s="1"/>
  <c r="G216" i="2"/>
  <c r="E45" i="2" s="1"/>
  <c r="C139" i="2" s="1"/>
  <c r="E139" i="2" s="1"/>
  <c r="G215" i="2"/>
  <c r="E42" i="2" s="1"/>
  <c r="G214" i="2"/>
  <c r="E41" i="2" s="1"/>
  <c r="E43" i="2" s="1"/>
  <c r="C138" i="2" s="1"/>
  <c r="J131" i="2"/>
  <c r="G16" i="2" s="1"/>
  <c r="J126" i="2"/>
  <c r="G15" i="2" s="1"/>
  <c r="L124" i="2"/>
  <c r="I14" i="2" s="1"/>
  <c r="K124" i="2"/>
  <c r="H14" i="2" s="1"/>
  <c r="L122" i="2"/>
  <c r="I13" i="2" s="1"/>
  <c r="K122" i="2"/>
  <c r="H13" i="2" s="1"/>
  <c r="L115" i="2"/>
  <c r="I12" i="2" s="1"/>
  <c r="K115" i="2"/>
  <c r="H12" i="2" s="1"/>
  <c r="L113" i="2"/>
  <c r="I11" i="2" s="1"/>
  <c r="K113" i="2"/>
  <c r="H11" i="2" s="1"/>
  <c r="L111" i="2"/>
  <c r="I10" i="2" s="1"/>
  <c r="K111" i="2"/>
  <c r="H10" i="2" s="1"/>
  <c r="D109" i="2"/>
  <c r="D102" i="2"/>
  <c r="B102" i="2"/>
  <c r="E102" i="2" s="1"/>
  <c r="C146" i="2" s="1"/>
  <c r="E146" i="2" s="1"/>
  <c r="E93" i="2"/>
  <c r="B91" i="2"/>
  <c r="B90" i="2"/>
  <c r="B96" i="2" s="1"/>
  <c r="B89" i="2"/>
  <c r="E85" i="2"/>
  <c r="E94" i="2" s="1"/>
  <c r="B85" i="2"/>
  <c r="D73" i="2"/>
  <c r="E71" i="2"/>
  <c r="B57" i="2"/>
  <c r="D52" i="2"/>
  <c r="D120" i="2" s="1"/>
  <c r="B52" i="2"/>
  <c r="D51" i="2"/>
  <c r="D119" i="2" s="1"/>
  <c r="B51" i="2"/>
  <c r="D50" i="2"/>
  <c r="D118" i="2" s="1"/>
  <c r="B50" i="2"/>
  <c r="D49" i="2"/>
  <c r="D117" i="2" s="1"/>
  <c r="B49" i="2"/>
  <c r="D48" i="2"/>
  <c r="D116" i="2" s="1"/>
  <c r="B48" i="2"/>
  <c r="B46" i="2"/>
  <c r="D45" i="2"/>
  <c r="D112" i="2" s="1"/>
  <c r="B45" i="2"/>
  <c r="D42" i="2"/>
  <c r="D110" i="2" s="1"/>
  <c r="B42" i="2"/>
  <c r="D41" i="2"/>
  <c r="B41" i="2"/>
  <c r="B35" i="2"/>
  <c r="B78" i="2" s="1"/>
  <c r="B34" i="2"/>
  <c r="B77" i="2" s="1"/>
  <c r="B33" i="2"/>
  <c r="C51" i="7" s="1"/>
  <c r="B30" i="2"/>
  <c r="B29" i="2"/>
  <c r="B71" i="2" s="1"/>
  <c r="B21" i="2"/>
  <c r="C18" i="2"/>
  <c r="E5" i="2"/>
  <c r="D35" i="2" s="1"/>
  <c r="B34" i="1"/>
  <c r="C24" i="1"/>
  <c r="I18" i="1"/>
  <c r="I17" i="1"/>
  <c r="I16" i="1"/>
  <c r="E11" i="1"/>
  <c r="D11" i="1"/>
  <c r="E7" i="1"/>
  <c r="B33" i="3" l="1"/>
  <c r="B106" i="3"/>
  <c r="C35" i="3"/>
  <c r="F53" i="3"/>
  <c r="F114" i="3" s="1"/>
  <c r="D95" i="6"/>
  <c r="B114" i="3"/>
  <c r="F54" i="3"/>
  <c r="F115" i="3" s="1"/>
  <c r="B108" i="3"/>
  <c r="B117" i="3"/>
  <c r="B104" i="3"/>
  <c r="B71" i="3"/>
  <c r="B73" i="3" s="1"/>
  <c r="B111" i="3"/>
  <c r="F52" i="3"/>
  <c r="F113" i="3" s="1"/>
  <c r="C18" i="3"/>
  <c r="F49" i="3"/>
  <c r="F110" i="3" s="1"/>
  <c r="F116" i="3" s="1"/>
  <c r="B110" i="3"/>
  <c r="F50" i="3"/>
  <c r="F111" i="3" s="1"/>
  <c r="F51" i="3"/>
  <c r="F112" i="3" s="1"/>
  <c r="E138" i="2"/>
  <c r="E66" i="2"/>
  <c r="C150" i="2"/>
  <c r="E150" i="2" s="1"/>
  <c r="F51" i="2"/>
  <c r="F119" i="2" s="1"/>
  <c r="G93" i="6"/>
  <c r="E99" i="6" s="1"/>
  <c r="E118" i="6" s="1"/>
  <c r="E61" i="4" s="1"/>
  <c r="E53" i="2"/>
  <c r="F53" i="2" s="1"/>
  <c r="F121" i="2" s="1"/>
  <c r="E109" i="2"/>
  <c r="E117" i="2"/>
  <c r="B112" i="2"/>
  <c r="E118" i="2"/>
  <c r="E67" i="2"/>
  <c r="D32" i="2"/>
  <c r="E120" i="2"/>
  <c r="B10" i="2"/>
  <c r="F50" i="2"/>
  <c r="F118" i="2" s="1"/>
  <c r="B110" i="2"/>
  <c r="B116" i="2"/>
  <c r="E73" i="2"/>
  <c r="C145" i="2" s="1"/>
  <c r="E145" i="2" s="1"/>
  <c r="C35" i="2"/>
  <c r="B31" i="2"/>
  <c r="B32" i="2" s="1"/>
  <c r="C32" i="2" s="1"/>
  <c r="B73" i="2"/>
  <c r="B109" i="2"/>
  <c r="E98" i="6"/>
  <c r="F41" i="2"/>
  <c r="F109" i="2" s="1"/>
  <c r="B72" i="2"/>
  <c r="B120" i="2"/>
  <c r="G91" i="6"/>
  <c r="D97" i="6" s="1"/>
  <c r="F51" i="6"/>
  <c r="E51" i="6"/>
  <c r="B13" i="3"/>
  <c r="C135" i="3"/>
  <c r="E135" i="3" s="1"/>
  <c r="F55" i="3"/>
  <c r="C13" i="3" s="1"/>
  <c r="B10" i="4"/>
  <c r="C132" i="4"/>
  <c r="B11" i="2"/>
  <c r="E114" i="3"/>
  <c r="I114" i="3" s="1"/>
  <c r="E112" i="3"/>
  <c r="F74" i="3"/>
  <c r="E111" i="3"/>
  <c r="D37" i="3"/>
  <c r="D35" i="3"/>
  <c r="C155" i="3"/>
  <c r="D155" i="3" s="1"/>
  <c r="F87" i="3"/>
  <c r="E117" i="3"/>
  <c r="I117" i="3" s="1"/>
  <c r="I118" i="3" s="1"/>
  <c r="F14" i="3" s="1"/>
  <c r="D34" i="3"/>
  <c r="D32" i="3"/>
  <c r="E108" i="3"/>
  <c r="E104" i="3"/>
  <c r="E113" i="3"/>
  <c r="I113" i="3" s="1"/>
  <c r="E100" i="3"/>
  <c r="E110" i="3"/>
  <c r="F99" i="3"/>
  <c r="D20" i="3" s="1"/>
  <c r="B70" i="4"/>
  <c r="B73" i="4" s="1"/>
  <c r="B33" i="4"/>
  <c r="F45" i="2"/>
  <c r="D53" i="7"/>
  <c r="D6" i="7"/>
  <c r="B112" i="4"/>
  <c r="F53" i="4"/>
  <c r="F114" i="4" s="1"/>
  <c r="F44" i="4"/>
  <c r="C10" i="4" s="1"/>
  <c r="B110" i="4"/>
  <c r="I110" i="4" s="1"/>
  <c r="E95" i="6"/>
  <c r="B71" i="4"/>
  <c r="C36" i="4"/>
  <c r="B106" i="4"/>
  <c r="C18" i="4"/>
  <c r="B104" i="4"/>
  <c r="F54" i="4"/>
  <c r="F115" i="4" s="1"/>
  <c r="F43" i="4"/>
  <c r="F104" i="4" s="1"/>
  <c r="B117" i="4"/>
  <c r="B114" i="4"/>
  <c r="F52" i="4"/>
  <c r="F113" i="4" s="1"/>
  <c r="B111" i="4"/>
  <c r="C37" i="4"/>
  <c r="F51" i="4"/>
  <c r="F112" i="4" s="1"/>
  <c r="F50" i="4"/>
  <c r="F111" i="4" s="1"/>
  <c r="F49" i="4"/>
  <c r="F110" i="4" s="1"/>
  <c r="F47" i="4"/>
  <c r="B113" i="4"/>
  <c r="D46" i="2"/>
  <c r="D114" i="2" s="1"/>
  <c r="C68" i="5"/>
  <c r="C11" i="4"/>
  <c r="F106" i="4"/>
  <c r="D47" i="4"/>
  <c r="D108" i="4" s="1"/>
  <c r="B12" i="4"/>
  <c r="C140" i="3"/>
  <c r="E140" i="3" s="1"/>
  <c r="E43" i="3"/>
  <c r="G218" i="3"/>
  <c r="C35" i="4"/>
  <c r="D68" i="5"/>
  <c r="D50" i="6"/>
  <c r="D85" i="6"/>
  <c r="C85" i="6"/>
  <c r="D99" i="6"/>
  <c r="D118" i="6" s="1"/>
  <c r="E61" i="3" s="1"/>
  <c r="B12" i="2"/>
  <c r="F46" i="2"/>
  <c r="B114" i="2"/>
  <c r="I106" i="3"/>
  <c r="I107" i="3" s="1"/>
  <c r="F11" i="3" s="1"/>
  <c r="C133" i="3"/>
  <c r="E133" i="3" s="1"/>
  <c r="F46" i="3"/>
  <c r="B108" i="4"/>
  <c r="D86" i="6"/>
  <c r="C86" i="6"/>
  <c r="E106" i="3"/>
  <c r="B12" i="3"/>
  <c r="F47" i="3"/>
  <c r="D47" i="3"/>
  <c r="D108" i="3" s="1"/>
  <c r="I108" i="3" s="1"/>
  <c r="I109" i="3" s="1"/>
  <c r="F12" i="3" s="1"/>
  <c r="C134" i="3"/>
  <c r="E134" i="3" s="1"/>
  <c r="D48" i="6"/>
  <c r="D49" i="6"/>
  <c r="D35" i="4"/>
  <c r="D34" i="4"/>
  <c r="D36" i="4"/>
  <c r="E113" i="4"/>
  <c r="E100" i="4"/>
  <c r="E108" i="4"/>
  <c r="F99" i="4"/>
  <c r="D20" i="4" s="1"/>
  <c r="E104" i="4"/>
  <c r="I104" i="4" s="1"/>
  <c r="I105" i="4" s="1"/>
  <c r="E114" i="4"/>
  <c r="I114" i="4" s="1"/>
  <c r="E117" i="4"/>
  <c r="I117" i="4" s="1"/>
  <c r="I118" i="4" s="1"/>
  <c r="F14" i="4" s="1"/>
  <c r="E106" i="4"/>
  <c r="I106" i="4" s="1"/>
  <c r="I107" i="4" s="1"/>
  <c r="F11" i="4" s="1"/>
  <c r="D32" i="4"/>
  <c r="E111" i="4"/>
  <c r="I111" i="4" s="1"/>
  <c r="H128" i="6"/>
  <c r="H118" i="6"/>
  <c r="E84" i="6"/>
  <c r="C41" i="7"/>
  <c r="B32" i="1" s="1"/>
  <c r="G228" i="2"/>
  <c r="E55" i="4"/>
  <c r="E56" i="4" s="1"/>
  <c r="F74" i="4"/>
  <c r="F15" i="7"/>
  <c r="C95" i="6"/>
  <c r="B6" i="7"/>
  <c r="B118" i="2"/>
  <c r="F52" i="2"/>
  <c r="F120" i="2" s="1"/>
  <c r="F48" i="2"/>
  <c r="F116" i="2" s="1"/>
  <c r="C33" i="2"/>
  <c r="B66" i="2"/>
  <c r="B67" i="2" s="1"/>
  <c r="B119" i="2"/>
  <c r="F43" i="2"/>
  <c r="C10" i="2" s="1"/>
  <c r="B117" i="2"/>
  <c r="I117" i="2" s="1"/>
  <c r="C34" i="2"/>
  <c r="F49" i="2"/>
  <c r="F117" i="2" s="1"/>
  <c r="F42" i="2"/>
  <c r="F110" i="2" s="1"/>
  <c r="B123" i="2"/>
  <c r="H10" i="3"/>
  <c r="C165" i="2"/>
  <c r="D165" i="2" s="1"/>
  <c r="E119" i="2"/>
  <c r="E114" i="2"/>
  <c r="E116" i="2"/>
  <c r="F104" i="2"/>
  <c r="D20" i="2" s="1"/>
  <c r="D33" i="2"/>
  <c r="E112" i="2"/>
  <c r="I112" i="2" s="1"/>
  <c r="I113" i="2" s="1"/>
  <c r="F11" i="2" s="1"/>
  <c r="E105" i="2"/>
  <c r="H14" i="7" s="1"/>
  <c r="D34" i="2"/>
  <c r="F88" i="2"/>
  <c r="E110" i="2"/>
  <c r="F75" i="2"/>
  <c r="E123" i="2"/>
  <c r="D30" i="2"/>
  <c r="E92" i="3"/>
  <c r="C142" i="3"/>
  <c r="E142" i="3" s="1"/>
  <c r="I10" i="3"/>
  <c r="B34" i="3"/>
  <c r="I112" i="3"/>
  <c r="C73" i="5"/>
  <c r="D73" i="5" s="1"/>
  <c r="F98" i="6"/>
  <c r="D98" i="6"/>
  <c r="C98" i="6"/>
  <c r="G219" i="4"/>
  <c r="C36" i="3"/>
  <c r="C6" i="7"/>
  <c r="C37" i="3"/>
  <c r="I111" i="3" l="1"/>
  <c r="I110" i="3"/>
  <c r="I116" i="3" s="1"/>
  <c r="F13" i="3" s="1"/>
  <c r="F99" i="6"/>
  <c r="F118" i="6" s="1"/>
  <c r="G99" i="6"/>
  <c r="C99" i="6"/>
  <c r="C118" i="6" s="1"/>
  <c r="I104" i="3"/>
  <c r="I105" i="3" s="1"/>
  <c r="D51" i="7"/>
  <c r="I120" i="2"/>
  <c r="C97" i="6"/>
  <c r="F97" i="6"/>
  <c r="G97" i="6"/>
  <c r="I109" i="2"/>
  <c r="C106" i="6"/>
  <c r="C107" i="6" s="1"/>
  <c r="D107" i="6" s="1"/>
  <c r="C26" i="1" s="1"/>
  <c r="E97" i="6"/>
  <c r="I110" i="2"/>
  <c r="I111" i="2" s="1"/>
  <c r="B76" i="2"/>
  <c r="B86" i="2" s="1"/>
  <c r="B36" i="2"/>
  <c r="C158" i="2" s="1"/>
  <c r="D158" i="2" s="1"/>
  <c r="I116" i="2"/>
  <c r="B74" i="2"/>
  <c r="E54" i="2"/>
  <c r="I114" i="2"/>
  <c r="I115" i="2" s="1"/>
  <c r="F12" i="2" s="1"/>
  <c r="B24" i="2"/>
  <c r="B24" i="1" s="1"/>
  <c r="I119" i="2"/>
  <c r="F10" i="3"/>
  <c r="D223" i="4"/>
  <c r="F56" i="4"/>
  <c r="F10" i="4"/>
  <c r="F61" i="4"/>
  <c r="F122" i="4" s="1"/>
  <c r="H122" i="4" s="1"/>
  <c r="F111" i="2"/>
  <c r="J117" i="4"/>
  <c r="J118" i="4" s="1"/>
  <c r="G14" i="4" s="1"/>
  <c r="G117" i="4"/>
  <c r="G118" i="4" s="1"/>
  <c r="C117" i="4"/>
  <c r="G124" i="4"/>
  <c r="K124" i="4" s="1"/>
  <c r="G121" i="4"/>
  <c r="G108" i="4"/>
  <c r="G109" i="4" s="1"/>
  <c r="D12" i="4" s="1"/>
  <c r="G106" i="4"/>
  <c r="G107" i="4" s="1"/>
  <c r="D11" i="4" s="1"/>
  <c r="G123" i="4"/>
  <c r="K123" i="4" s="1"/>
  <c r="C106" i="4"/>
  <c r="J106" i="4" s="1"/>
  <c r="J107" i="4" s="1"/>
  <c r="G11" i="4" s="1"/>
  <c r="G114" i="4"/>
  <c r="C112" i="4"/>
  <c r="D18" i="4"/>
  <c r="E34" i="4"/>
  <c r="C104" i="4"/>
  <c r="J104" i="4" s="1"/>
  <c r="J105" i="4" s="1"/>
  <c r="C114" i="4"/>
  <c r="G111" i="4"/>
  <c r="E37" i="4"/>
  <c r="C111" i="4"/>
  <c r="G119" i="4"/>
  <c r="G115" i="4"/>
  <c r="G110" i="4"/>
  <c r="E36" i="4"/>
  <c r="C110" i="4"/>
  <c r="E35" i="4"/>
  <c r="C108" i="4"/>
  <c r="J108" i="4" s="1"/>
  <c r="J109" i="4" s="1"/>
  <c r="G12" i="4" s="1"/>
  <c r="G113" i="4"/>
  <c r="H113" i="4" s="1"/>
  <c r="M113" i="4" s="1"/>
  <c r="G122" i="4"/>
  <c r="K122" i="4" s="1"/>
  <c r="G112" i="4"/>
  <c r="H112" i="4" s="1"/>
  <c r="M112" i="4" s="1"/>
  <c r="C113" i="4"/>
  <c r="G104" i="4"/>
  <c r="G105" i="4" s="1"/>
  <c r="C129" i="6"/>
  <c r="D119" i="6"/>
  <c r="E62" i="3" s="1"/>
  <c r="C119" i="6"/>
  <c r="F119" i="6"/>
  <c r="H129" i="6"/>
  <c r="H119" i="6"/>
  <c r="F129" i="6"/>
  <c r="E119" i="6"/>
  <c r="E62" i="4" s="1"/>
  <c r="E85" i="6"/>
  <c r="E129" i="6"/>
  <c r="I123" i="4" s="1"/>
  <c r="D129" i="6"/>
  <c r="I123" i="3" s="1"/>
  <c r="J113" i="4"/>
  <c r="H130" i="6"/>
  <c r="H120" i="6"/>
  <c r="E86" i="6"/>
  <c r="F108" i="4"/>
  <c r="C12" i="4"/>
  <c r="F105" i="4"/>
  <c r="H104" i="4"/>
  <c r="E132" i="4"/>
  <c r="E49" i="6"/>
  <c r="C65" i="6" s="1"/>
  <c r="F49" i="6"/>
  <c r="E7" i="7"/>
  <c r="H110" i="4"/>
  <c r="F116" i="4"/>
  <c r="B34" i="4"/>
  <c r="H111" i="4"/>
  <c r="M111" i="4" s="1"/>
  <c r="G95" i="6"/>
  <c r="D94" i="6"/>
  <c r="B23" i="7" s="1"/>
  <c r="C7" i="7"/>
  <c r="C151" i="3"/>
  <c r="D151" i="3" s="1"/>
  <c r="J111" i="4"/>
  <c r="G118" i="6"/>
  <c r="I118" i="6" s="1"/>
  <c r="E60" i="2"/>
  <c r="I113" i="4"/>
  <c r="F114" i="2"/>
  <c r="C12" i="2"/>
  <c r="H114" i="4"/>
  <c r="M114" i="4" s="1"/>
  <c r="F112" i="2"/>
  <c r="C11" i="2"/>
  <c r="B7" i="1"/>
  <c r="F6" i="7"/>
  <c r="C7" i="1"/>
  <c r="G127" i="2"/>
  <c r="C116" i="2"/>
  <c r="J116" i="2" s="1"/>
  <c r="G112" i="2"/>
  <c r="G113" i="2" s="1"/>
  <c r="D11" i="2" s="1"/>
  <c r="C109" i="2"/>
  <c r="J109" i="2" s="1"/>
  <c r="G110" i="2"/>
  <c r="H110" i="2" s="1"/>
  <c r="G128" i="2"/>
  <c r="K128" i="2" s="1"/>
  <c r="G121" i="2"/>
  <c r="H121" i="2" s="1"/>
  <c r="C119" i="2"/>
  <c r="J119" i="2" s="1"/>
  <c r="E34" i="2"/>
  <c r="C117" i="2"/>
  <c r="J117" i="2" s="1"/>
  <c r="G123" i="2"/>
  <c r="G124" i="2" s="1"/>
  <c r="E33" i="2"/>
  <c r="C123" i="2"/>
  <c r="J123" i="2" s="1"/>
  <c r="J124" i="2" s="1"/>
  <c r="G14" i="2" s="1"/>
  <c r="G120" i="2"/>
  <c r="H120" i="2" s="1"/>
  <c r="C110" i="2"/>
  <c r="J110" i="2" s="1"/>
  <c r="G116" i="2"/>
  <c r="H116" i="2" s="1"/>
  <c r="G119" i="2"/>
  <c r="H119" i="2" s="1"/>
  <c r="C112" i="2"/>
  <c r="J112" i="2" s="1"/>
  <c r="J113" i="2" s="1"/>
  <c r="G11" i="2" s="1"/>
  <c r="G109" i="2"/>
  <c r="G118" i="2"/>
  <c r="H118" i="2" s="1"/>
  <c r="E35" i="2"/>
  <c r="G130" i="2"/>
  <c r="K130" i="2" s="1"/>
  <c r="G125" i="2"/>
  <c r="G129" i="2"/>
  <c r="K129" i="2" s="1"/>
  <c r="G114" i="2"/>
  <c r="G115" i="2" s="1"/>
  <c r="D12" i="2" s="1"/>
  <c r="C120" i="2"/>
  <c r="J120" i="2" s="1"/>
  <c r="C114" i="2"/>
  <c r="J114" i="2" s="1"/>
  <c r="J115" i="2" s="1"/>
  <c r="G12" i="2" s="1"/>
  <c r="E32" i="2"/>
  <c r="G117" i="2"/>
  <c r="H117" i="2" s="1"/>
  <c r="C118" i="2"/>
  <c r="J118" i="2" s="1"/>
  <c r="D18" i="2"/>
  <c r="F11" i="1"/>
  <c r="C62" i="7"/>
  <c r="D62" i="7" s="1"/>
  <c r="F43" i="3"/>
  <c r="F104" i="3" s="1"/>
  <c r="E44" i="3"/>
  <c r="I108" i="4"/>
  <c r="I109" i="4" s="1"/>
  <c r="F12" i="4" s="1"/>
  <c r="B75" i="3"/>
  <c r="B38" i="3"/>
  <c r="C148" i="3" s="1"/>
  <c r="D148" i="3" s="1"/>
  <c r="C34" i="3"/>
  <c r="C62" i="6"/>
  <c r="E94" i="6"/>
  <c r="B24" i="7" s="1"/>
  <c r="C152" i="4"/>
  <c r="D152" i="4" s="1"/>
  <c r="D7" i="7"/>
  <c r="C135" i="4"/>
  <c r="E135" i="4" s="1"/>
  <c r="B13" i="4"/>
  <c r="J112" i="4"/>
  <c r="I112" i="4"/>
  <c r="I116" i="4" s="1"/>
  <c r="H115" i="4"/>
  <c r="F107" i="4"/>
  <c r="H106" i="4"/>
  <c r="F50" i="6"/>
  <c r="E50" i="6"/>
  <c r="J110" i="4"/>
  <c r="C161" i="2"/>
  <c r="D161" i="2" s="1"/>
  <c r="C94" i="6"/>
  <c r="B7" i="7"/>
  <c r="I118" i="2"/>
  <c r="C111" i="3"/>
  <c r="J111" i="3" s="1"/>
  <c r="C104" i="3"/>
  <c r="J104" i="3" s="1"/>
  <c r="J105" i="3" s="1"/>
  <c r="G122" i="3"/>
  <c r="K122" i="3" s="1"/>
  <c r="C113" i="3"/>
  <c r="J113" i="3" s="1"/>
  <c r="E36" i="3"/>
  <c r="G124" i="3"/>
  <c r="K124" i="3" s="1"/>
  <c r="D18" i="3"/>
  <c r="E35" i="3"/>
  <c r="C110" i="3"/>
  <c r="J110" i="3" s="1"/>
  <c r="G114" i="3"/>
  <c r="H114" i="3" s="1"/>
  <c r="M114" i="3" s="1"/>
  <c r="C112" i="3"/>
  <c r="J112" i="3" s="1"/>
  <c r="G117" i="3"/>
  <c r="G118" i="3" s="1"/>
  <c r="G123" i="3"/>
  <c r="K123" i="3" s="1"/>
  <c r="G104" i="3"/>
  <c r="G105" i="3" s="1"/>
  <c r="E34" i="3"/>
  <c r="C117" i="3"/>
  <c r="J117" i="3" s="1"/>
  <c r="J118" i="3" s="1"/>
  <c r="G14" i="3" s="1"/>
  <c r="C114" i="3"/>
  <c r="J114" i="3" s="1"/>
  <c r="G108" i="3"/>
  <c r="G109" i="3" s="1"/>
  <c r="D12" i="3" s="1"/>
  <c r="G113" i="3"/>
  <c r="H113" i="3" s="1"/>
  <c r="G110" i="3"/>
  <c r="C108" i="3"/>
  <c r="J108" i="3" s="1"/>
  <c r="J109" i="3" s="1"/>
  <c r="G12" i="3" s="1"/>
  <c r="G121" i="3"/>
  <c r="G106" i="3"/>
  <c r="G107" i="3" s="1"/>
  <c r="D11" i="3" s="1"/>
  <c r="C106" i="3"/>
  <c r="J106" i="3" s="1"/>
  <c r="J107" i="3" s="1"/>
  <c r="G11" i="3" s="1"/>
  <c r="G119" i="3"/>
  <c r="E37" i="3"/>
  <c r="G112" i="3"/>
  <c r="H112" i="3" s="1"/>
  <c r="G115" i="3"/>
  <c r="H115" i="3" s="1"/>
  <c r="G111" i="3"/>
  <c r="H111" i="3" s="1"/>
  <c r="D7" i="1"/>
  <c r="B79" i="2"/>
  <c r="B80" i="2" s="1"/>
  <c r="C160" i="2" s="1"/>
  <c r="D160" i="2" s="1"/>
  <c r="F61" i="3"/>
  <c r="F122" i="3" s="1"/>
  <c r="H122" i="3" s="1"/>
  <c r="F48" i="6"/>
  <c r="D52" i="6"/>
  <c r="E48" i="6"/>
  <c r="C11" i="3"/>
  <c r="F106" i="3"/>
  <c r="F10" i="2"/>
  <c r="F122" i="2"/>
  <c r="D54" i="7"/>
  <c r="F108" i="3"/>
  <c r="C12" i="3"/>
  <c r="J114" i="4"/>
  <c r="F55" i="4"/>
  <c r="C13" i="4" s="1"/>
  <c r="M112" i="3" l="1"/>
  <c r="F54" i="2"/>
  <c r="C13" i="2" s="1"/>
  <c r="C141" i="2"/>
  <c r="E55" i="2"/>
  <c r="B13" i="2"/>
  <c r="M110" i="2"/>
  <c r="I122" i="2"/>
  <c r="M120" i="2"/>
  <c r="M117" i="2"/>
  <c r="F13" i="2"/>
  <c r="F13" i="4"/>
  <c r="G10" i="4"/>
  <c r="D10" i="3"/>
  <c r="L123" i="3"/>
  <c r="F62" i="3"/>
  <c r="F123" i="3" s="1"/>
  <c r="H123" i="3" s="1"/>
  <c r="M111" i="3"/>
  <c r="F7" i="1"/>
  <c r="C66" i="6"/>
  <c r="G129" i="6"/>
  <c r="I129" i="6" s="1"/>
  <c r="I129" i="2"/>
  <c r="G94" i="6"/>
  <c r="B22" i="7"/>
  <c r="B28" i="7" s="1"/>
  <c r="J115" i="3"/>
  <c r="M115" i="3" s="1"/>
  <c r="D14" i="3"/>
  <c r="J116" i="4"/>
  <c r="G13" i="4" s="1"/>
  <c r="D82" i="6"/>
  <c r="C82" i="6"/>
  <c r="C83" i="6"/>
  <c r="D83" i="6"/>
  <c r="D10" i="4"/>
  <c r="G126" i="4"/>
  <c r="G101" i="6"/>
  <c r="F101" i="6"/>
  <c r="F128" i="6" s="1"/>
  <c r="C101" i="6"/>
  <c r="C128" i="6" s="1"/>
  <c r="L128" i="2" s="1"/>
  <c r="E101" i="6"/>
  <c r="E128" i="6" s="1"/>
  <c r="D101" i="6"/>
  <c r="D128" i="6" s="1"/>
  <c r="F107" i="3"/>
  <c r="H106" i="3"/>
  <c r="D14" i="2"/>
  <c r="K119" i="3"/>
  <c r="K120" i="3" s="1"/>
  <c r="G120" i="3"/>
  <c r="D15" i="3" s="1"/>
  <c r="J116" i="3"/>
  <c r="G13" i="3" s="1"/>
  <c r="D233" i="2"/>
  <c r="F55" i="2"/>
  <c r="F113" i="2"/>
  <c r="H112" i="2"/>
  <c r="F52" i="6"/>
  <c r="C58" i="6"/>
  <c r="K121" i="3"/>
  <c r="K125" i="3" s="1"/>
  <c r="H16" i="3" s="1"/>
  <c r="G125" i="3"/>
  <c r="D16" i="3" s="1"/>
  <c r="J115" i="4"/>
  <c r="M115" i="4"/>
  <c r="B78" i="3"/>
  <c r="B79" i="3" s="1"/>
  <c r="C150" i="3" s="1"/>
  <c r="D150" i="3" s="1"/>
  <c r="B85" i="3"/>
  <c r="B86" i="3" s="1"/>
  <c r="G126" i="2"/>
  <c r="D15" i="2" s="1"/>
  <c r="K125" i="2"/>
  <c r="K126" i="2" s="1"/>
  <c r="J121" i="2"/>
  <c r="M121" i="2" s="1"/>
  <c r="F115" i="2"/>
  <c r="H114" i="2"/>
  <c r="B75" i="4"/>
  <c r="B38" i="4"/>
  <c r="C149" i="4" s="1"/>
  <c r="D149" i="4" s="1"/>
  <c r="C34" i="4"/>
  <c r="H105" i="4"/>
  <c r="M104" i="4"/>
  <c r="H108" i="4"/>
  <c r="F109" i="4"/>
  <c r="E223" i="4"/>
  <c r="C57" i="6"/>
  <c r="E52" i="6"/>
  <c r="M106" i="4"/>
  <c r="M107" i="4" s="1"/>
  <c r="H107" i="4"/>
  <c r="E11" i="4" s="1"/>
  <c r="H110" i="3"/>
  <c r="G116" i="3"/>
  <c r="D13" i="3" s="1"/>
  <c r="C132" i="3"/>
  <c r="B10" i="3"/>
  <c r="F44" i="3"/>
  <c r="C10" i="3" s="1"/>
  <c r="E56" i="3"/>
  <c r="L123" i="4"/>
  <c r="F62" i="4"/>
  <c r="F123" i="4" s="1"/>
  <c r="H123" i="4" s="1"/>
  <c r="B95" i="2"/>
  <c r="B87" i="2"/>
  <c r="M113" i="3"/>
  <c r="F105" i="3"/>
  <c r="H104" i="3"/>
  <c r="M118" i="2"/>
  <c r="J111" i="2"/>
  <c r="M110" i="4"/>
  <c r="M116" i="4" s="1"/>
  <c r="H116" i="4"/>
  <c r="E13" i="4" s="1"/>
  <c r="G116" i="4"/>
  <c r="D13" i="4" s="1"/>
  <c r="G125" i="4"/>
  <c r="D16" i="4" s="1"/>
  <c r="K121" i="4"/>
  <c r="K125" i="4" s="1"/>
  <c r="H16" i="4" s="1"/>
  <c r="F109" i="3"/>
  <c r="H108" i="3"/>
  <c r="G10" i="3"/>
  <c r="H109" i="2"/>
  <c r="G111" i="2"/>
  <c r="F60" i="2"/>
  <c r="F128" i="2" s="1"/>
  <c r="H128" i="2" s="1"/>
  <c r="G120" i="4"/>
  <c r="D15" i="4" s="1"/>
  <c r="K119" i="4"/>
  <c r="K120" i="4" s="1"/>
  <c r="M119" i="2"/>
  <c r="G131" i="2"/>
  <c r="D16" i="2" s="1"/>
  <c r="K127" i="2"/>
  <c r="K131" i="2" s="1"/>
  <c r="H16" i="2" s="1"/>
  <c r="D14" i="4"/>
  <c r="D19" i="4"/>
  <c r="M116" i="2"/>
  <c r="H122" i="2"/>
  <c r="E13" i="2" s="1"/>
  <c r="F7" i="7"/>
  <c r="G122" i="2"/>
  <c r="D13" i="2" s="1"/>
  <c r="G119" i="6"/>
  <c r="I119" i="6" s="1"/>
  <c r="E61" i="2"/>
  <c r="J122" i="2" l="1"/>
  <c r="G13" i="2" s="1"/>
  <c r="E141" i="2"/>
  <c r="M123" i="3"/>
  <c r="F61" i="2"/>
  <c r="F129" i="2" s="1"/>
  <c r="H129" i="2" s="1"/>
  <c r="L129" i="2"/>
  <c r="H105" i="3"/>
  <c r="M104" i="3"/>
  <c r="H15" i="2"/>
  <c r="K132" i="2"/>
  <c r="D81" i="6"/>
  <c r="D87" i="6" s="1"/>
  <c r="C81" i="6"/>
  <c r="E233" i="2"/>
  <c r="B90" i="3"/>
  <c r="G127" i="4"/>
  <c r="C155" i="4" s="1"/>
  <c r="D155" i="4" s="1"/>
  <c r="C18" i="1"/>
  <c r="D17" i="4"/>
  <c r="M109" i="2"/>
  <c r="H111" i="2"/>
  <c r="B92" i="2"/>
  <c r="J126" i="3"/>
  <c r="M108" i="4"/>
  <c r="M109" i="4" s="1"/>
  <c r="H109" i="4"/>
  <c r="E12" i="4" s="1"/>
  <c r="H15" i="3"/>
  <c r="K126" i="3"/>
  <c r="E83" i="6"/>
  <c r="H117" i="6"/>
  <c r="F127" i="6"/>
  <c r="F117" i="6"/>
  <c r="E117" i="6"/>
  <c r="E60" i="4" s="1"/>
  <c r="D117" i="6"/>
  <c r="E60" i="3" s="1"/>
  <c r="C117" i="6"/>
  <c r="H127" i="6"/>
  <c r="E127" i="6"/>
  <c r="I121" i="4" s="1"/>
  <c r="D127" i="6"/>
  <c r="I121" i="3" s="1"/>
  <c r="C127" i="6"/>
  <c r="M123" i="4"/>
  <c r="H126" i="6"/>
  <c r="H116" i="6"/>
  <c r="F126" i="6"/>
  <c r="D126" i="6"/>
  <c r="E116" i="6"/>
  <c r="E58" i="4" s="1"/>
  <c r="C116" i="6"/>
  <c r="E82" i="6"/>
  <c r="E126" i="6"/>
  <c r="F116" i="6"/>
  <c r="C126" i="6"/>
  <c r="D116" i="6"/>
  <c r="E58" i="3" s="1"/>
  <c r="F56" i="3"/>
  <c r="D222" i="3"/>
  <c r="D19" i="2"/>
  <c r="J126" i="4"/>
  <c r="H107" i="3"/>
  <c r="E11" i="3" s="1"/>
  <c r="M106" i="3"/>
  <c r="M107" i="3" s="1"/>
  <c r="D19" i="3"/>
  <c r="M108" i="3"/>
  <c r="M109" i="3" s="1"/>
  <c r="H109" i="3"/>
  <c r="E12" i="3" s="1"/>
  <c r="M105" i="4"/>
  <c r="G126" i="3"/>
  <c r="M122" i="2"/>
  <c r="E10" i="4"/>
  <c r="E132" i="3"/>
  <c r="B85" i="4"/>
  <c r="B86" i="4" s="1"/>
  <c r="B78" i="4"/>
  <c r="B79" i="4" s="1"/>
  <c r="C151" i="4" s="1"/>
  <c r="D151" i="4" s="1"/>
  <c r="M114" i="2"/>
  <c r="M115" i="2" s="1"/>
  <c r="H115" i="2"/>
  <c r="E12" i="2" s="1"/>
  <c r="I122" i="3"/>
  <c r="L122" i="3"/>
  <c r="D10" i="2"/>
  <c r="G132" i="2"/>
  <c r="H116" i="3"/>
  <c r="E13" i="3" s="1"/>
  <c r="M110" i="3"/>
  <c r="M116" i="3" s="1"/>
  <c r="I122" i="4"/>
  <c r="L122" i="4"/>
  <c r="C26" i="7"/>
  <c r="C27" i="7"/>
  <c r="C24" i="7"/>
  <c r="C22" i="7"/>
  <c r="B30" i="7"/>
  <c r="C25" i="7"/>
  <c r="C23" i="7"/>
  <c r="H15" i="4"/>
  <c r="K126" i="4"/>
  <c r="G10" i="2"/>
  <c r="M112" i="2"/>
  <c r="M113" i="2" s="1"/>
  <c r="H113" i="2"/>
  <c r="E11" i="2" s="1"/>
  <c r="G128" i="6"/>
  <c r="I128" i="6" s="1"/>
  <c r="I128" i="2"/>
  <c r="M128" i="2" s="1"/>
  <c r="F100" i="6"/>
  <c r="D100" i="6"/>
  <c r="G100" i="6"/>
  <c r="E100" i="6"/>
  <c r="C100" i="6"/>
  <c r="J132" i="2" l="1"/>
  <c r="F16" i="1" s="1"/>
  <c r="M122" i="3"/>
  <c r="M122" i="4"/>
  <c r="H17" i="4"/>
  <c r="G18" i="1"/>
  <c r="D9" i="7"/>
  <c r="C136" i="4"/>
  <c r="D224" i="4"/>
  <c r="B14" i="4"/>
  <c r="F58" i="4"/>
  <c r="G17" i="1"/>
  <c r="H17" i="3"/>
  <c r="C108" i="6"/>
  <c r="C109" i="6" s="1"/>
  <c r="C87" i="6"/>
  <c r="C135" i="6" s="1"/>
  <c r="D135" i="6" s="1"/>
  <c r="E81" i="6"/>
  <c r="E87" i="6" s="1"/>
  <c r="D25" i="7"/>
  <c r="C38" i="7"/>
  <c r="B30" i="1" s="1"/>
  <c r="D26" i="7"/>
  <c r="D23" i="7"/>
  <c r="D22" i="7"/>
  <c r="D27" i="7"/>
  <c r="D24" i="7"/>
  <c r="C130" i="6"/>
  <c r="C120" i="6"/>
  <c r="B90" i="4"/>
  <c r="F18" i="1"/>
  <c r="G17" i="4"/>
  <c r="G17" i="3"/>
  <c r="F17" i="1"/>
  <c r="E120" i="6"/>
  <c r="E63" i="4" s="1"/>
  <c r="E130" i="6"/>
  <c r="I124" i="4" s="1"/>
  <c r="I125" i="4" s="1"/>
  <c r="F16" i="4" s="1"/>
  <c r="G127" i="6"/>
  <c r="I127" i="6" s="1"/>
  <c r="I127" i="2"/>
  <c r="C59" i="7"/>
  <c r="D59" i="7" s="1"/>
  <c r="H17" i="2"/>
  <c r="G16" i="1"/>
  <c r="D130" i="6"/>
  <c r="I124" i="3" s="1"/>
  <c r="I125" i="3" s="1"/>
  <c r="F16" i="3" s="1"/>
  <c r="D120" i="6"/>
  <c r="E63" i="3" s="1"/>
  <c r="E64" i="3" s="1"/>
  <c r="E222" i="3"/>
  <c r="F120" i="6"/>
  <c r="F58" i="5" s="1"/>
  <c r="F130" i="6"/>
  <c r="M105" i="3"/>
  <c r="B14" i="3"/>
  <c r="D223" i="3"/>
  <c r="E223" i="3" s="1"/>
  <c r="C9" i="7"/>
  <c r="F58" i="3"/>
  <c r="C136" i="3"/>
  <c r="G117" i="6"/>
  <c r="I117" i="6" s="1"/>
  <c r="E59" i="2"/>
  <c r="E10" i="2"/>
  <c r="E10" i="3"/>
  <c r="G127" i="3"/>
  <c r="C154" i="3" s="1"/>
  <c r="D154" i="3" s="1"/>
  <c r="C17" i="1"/>
  <c r="D17" i="3"/>
  <c r="G126" i="6"/>
  <c r="I126" i="6" s="1"/>
  <c r="L121" i="3"/>
  <c r="F60" i="3"/>
  <c r="F121" i="3" s="1"/>
  <c r="M111" i="2"/>
  <c r="F60" i="4"/>
  <c r="F121" i="4" s="1"/>
  <c r="L121" i="4"/>
  <c r="M129" i="2"/>
  <c r="D17" i="2"/>
  <c r="C16" i="1"/>
  <c r="C164" i="2"/>
  <c r="D164" i="2" s="1"/>
  <c r="G116" i="6"/>
  <c r="I116" i="6" s="1"/>
  <c r="E57" i="2"/>
  <c r="C142" i="2" s="1"/>
  <c r="F50" i="5" l="1"/>
  <c r="F64" i="5"/>
  <c r="F67" i="5"/>
  <c r="G17" i="2"/>
  <c r="E142" i="2"/>
  <c r="F47" i="5"/>
  <c r="F62" i="5"/>
  <c r="F65" i="5"/>
  <c r="F49" i="5"/>
  <c r="F66" i="5"/>
  <c r="F59" i="5"/>
  <c r="F54" i="5"/>
  <c r="F56" i="5"/>
  <c r="F61" i="5"/>
  <c r="D32" i="7"/>
  <c r="L124" i="4"/>
  <c r="L125" i="4" s="1"/>
  <c r="I16" i="4" s="1"/>
  <c r="F63" i="4"/>
  <c r="F124" i="4" s="1"/>
  <c r="H124" i="4" s="1"/>
  <c r="F117" i="4"/>
  <c r="C14" i="4"/>
  <c r="F57" i="5"/>
  <c r="E224" i="4"/>
  <c r="F60" i="5"/>
  <c r="F63" i="5"/>
  <c r="E136" i="4"/>
  <c r="F48" i="5"/>
  <c r="F59" i="2"/>
  <c r="F127" i="2" s="1"/>
  <c r="L127" i="2"/>
  <c r="F51" i="5"/>
  <c r="H121" i="4"/>
  <c r="L124" i="3"/>
  <c r="L125" i="3" s="1"/>
  <c r="I16" i="3" s="1"/>
  <c r="F63" i="3"/>
  <c r="F124" i="3" s="1"/>
  <c r="H124" i="3" s="1"/>
  <c r="F52" i="5"/>
  <c r="E64" i="4"/>
  <c r="E136" i="3"/>
  <c r="E62" i="2"/>
  <c r="G120" i="6"/>
  <c r="I120" i="6" s="1"/>
  <c r="C111" i="6"/>
  <c r="B26" i="1"/>
  <c r="D234" i="2"/>
  <c r="B9" i="7"/>
  <c r="D57" i="2"/>
  <c r="D123" i="2" s="1"/>
  <c r="I123" i="2" s="1"/>
  <c r="I124" i="2" s="1"/>
  <c r="B14" i="2"/>
  <c r="F57" i="2"/>
  <c r="F55" i="5"/>
  <c r="F117" i="3"/>
  <c r="C14" i="3"/>
  <c r="G130" i="6"/>
  <c r="I130" i="6" s="1"/>
  <c r="I130" i="2"/>
  <c r="I131" i="2" s="1"/>
  <c r="F16" i="2" s="1"/>
  <c r="F53" i="5"/>
  <c r="D33" i="7"/>
  <c r="H121" i="3"/>
  <c r="D225" i="3"/>
  <c r="E225" i="3" s="1"/>
  <c r="B16" i="3"/>
  <c r="C11" i="7"/>
  <c r="F64" i="3"/>
  <c r="C16" i="3" s="1"/>
  <c r="C138" i="3"/>
  <c r="E138" i="3" s="1"/>
  <c r="D31" i="7"/>
  <c r="D28" i="7"/>
  <c r="F125" i="4" l="1"/>
  <c r="F68" i="5"/>
  <c r="E11" i="7" s="1"/>
  <c r="M124" i="3"/>
  <c r="M124" i="4"/>
  <c r="F62" i="2"/>
  <c r="F130" i="2" s="1"/>
  <c r="H130" i="2" s="1"/>
  <c r="L130" i="2"/>
  <c r="L131" i="2" s="1"/>
  <c r="I16" i="2" s="1"/>
  <c r="F123" i="2"/>
  <c r="C14" i="2"/>
  <c r="F125" i="3"/>
  <c r="M121" i="3"/>
  <c r="M125" i="3" s="1"/>
  <c r="H125" i="3"/>
  <c r="E16" i="3" s="1"/>
  <c r="H125" i="4"/>
  <c r="E16" i="4" s="1"/>
  <c r="M121" i="4"/>
  <c r="M125" i="4" s="1"/>
  <c r="H117" i="3"/>
  <c r="F118" i="3"/>
  <c r="F14" i="2"/>
  <c r="F9" i="7"/>
  <c r="E234" i="2"/>
  <c r="H117" i="4"/>
  <c r="F118" i="4"/>
  <c r="C138" i="4"/>
  <c r="E138" i="4" s="1"/>
  <c r="D11" i="7"/>
  <c r="D226" i="4"/>
  <c r="E226" i="4" s="1"/>
  <c r="B16" i="4"/>
  <c r="F64" i="4"/>
  <c r="C16" i="4" s="1"/>
  <c r="C42" i="7"/>
  <c r="B33" i="1" s="1"/>
  <c r="E125" i="6"/>
  <c r="C125" i="6"/>
  <c r="H115" i="6"/>
  <c r="H121" i="6" s="1"/>
  <c r="D125" i="6"/>
  <c r="D115" i="6"/>
  <c r="H125" i="6"/>
  <c r="H131" i="6" s="1"/>
  <c r="F125" i="6"/>
  <c r="F131" i="6" s="1"/>
  <c r="E115" i="6"/>
  <c r="C115" i="6"/>
  <c r="F115" i="6"/>
  <c r="H127" i="2"/>
  <c r="E63" i="2"/>
  <c r="C144" i="2" s="1"/>
  <c r="E144" i="2" s="1"/>
  <c r="M130" i="2" l="1"/>
  <c r="C131" i="6"/>
  <c r="G125" i="6"/>
  <c r="I125" i="2"/>
  <c r="I126" i="2" s="1"/>
  <c r="E131" i="6"/>
  <c r="I119" i="4"/>
  <c r="I120" i="4" s="1"/>
  <c r="H118" i="3"/>
  <c r="M117" i="3"/>
  <c r="B11" i="7"/>
  <c r="F11" i="7" s="1"/>
  <c r="B16" i="2"/>
  <c r="D236" i="2"/>
  <c r="E236" i="2" s="1"/>
  <c r="F63" i="2"/>
  <c r="C16" i="2" s="1"/>
  <c r="F131" i="2"/>
  <c r="F121" i="6"/>
  <c r="E66" i="5"/>
  <c r="E64" i="5"/>
  <c r="E62" i="5"/>
  <c r="E60" i="5"/>
  <c r="E58" i="5"/>
  <c r="E56" i="5"/>
  <c r="E54" i="5"/>
  <c r="E52" i="5"/>
  <c r="E50" i="5"/>
  <c r="E48" i="5"/>
  <c r="E61" i="5"/>
  <c r="E49" i="5"/>
  <c r="E63" i="5"/>
  <c r="E51" i="5"/>
  <c r="E55" i="5"/>
  <c r="E57" i="5"/>
  <c r="E59" i="5"/>
  <c r="E65" i="5"/>
  <c r="E67" i="5"/>
  <c r="E47" i="5"/>
  <c r="E53" i="5"/>
  <c r="H131" i="2"/>
  <c r="E16" i="2" s="1"/>
  <c r="M127" i="2"/>
  <c r="C121" i="6"/>
  <c r="E58" i="2"/>
  <c r="C143" i="2" s="1"/>
  <c r="G115" i="6"/>
  <c r="M117" i="4"/>
  <c r="H118" i="4"/>
  <c r="E121" i="6"/>
  <c r="E59" i="4"/>
  <c r="H123" i="2"/>
  <c r="F124" i="2"/>
  <c r="D121" i="6"/>
  <c r="E59" i="3"/>
  <c r="D131" i="6"/>
  <c r="I119" i="3"/>
  <c r="I120" i="3" s="1"/>
  <c r="E143" i="2" l="1"/>
  <c r="M131" i="2"/>
  <c r="M123" i="2"/>
  <c r="H124" i="2"/>
  <c r="D10" i="7"/>
  <c r="D12" i="7" s="1"/>
  <c r="C137" i="4"/>
  <c r="B15" i="4"/>
  <c r="D225" i="4"/>
  <c r="L119" i="4"/>
  <c r="L120" i="4" s="1"/>
  <c r="F59" i="4"/>
  <c r="E65" i="4"/>
  <c r="G121" i="6"/>
  <c r="I115" i="6"/>
  <c r="I121" i="6" s="1"/>
  <c r="C137" i="6" s="1"/>
  <c r="D137" i="6" s="1"/>
  <c r="B10" i="7"/>
  <c r="B15" i="2"/>
  <c r="D235" i="2"/>
  <c r="F58" i="2"/>
  <c r="L125" i="2"/>
  <c r="L126" i="2" s="1"/>
  <c r="E64" i="2"/>
  <c r="M118" i="3"/>
  <c r="M118" i="4"/>
  <c r="E14" i="3"/>
  <c r="F15" i="3"/>
  <c r="I126" i="3"/>
  <c r="F15" i="4"/>
  <c r="I126" i="4"/>
  <c r="E14" i="4"/>
  <c r="E68" i="5"/>
  <c r="C10" i="7"/>
  <c r="C12" i="7" s="1"/>
  <c r="C137" i="3"/>
  <c r="F59" i="3"/>
  <c r="D224" i="3"/>
  <c r="L119" i="3"/>
  <c r="L120" i="3" s="1"/>
  <c r="B15" i="3"/>
  <c r="E65" i="3"/>
  <c r="F15" i="2"/>
  <c r="I132" i="2"/>
  <c r="G131" i="6"/>
  <c r="I125" i="6"/>
  <c r="I131" i="6" s="1"/>
  <c r="C138" i="6" s="1"/>
  <c r="D138" i="6" s="1"/>
  <c r="C8" i="1" l="1"/>
  <c r="C13" i="7"/>
  <c r="C9" i="1" s="1"/>
  <c r="C74" i="5"/>
  <c r="D74" i="5" s="1"/>
  <c r="E10" i="7"/>
  <c r="F10" i="7" s="1"/>
  <c r="C58" i="7" s="1"/>
  <c r="D58" i="7" s="1"/>
  <c r="B13" i="5"/>
  <c r="B11" i="5"/>
  <c r="F125" i="2"/>
  <c r="C15" i="2"/>
  <c r="E235" i="2"/>
  <c r="D237" i="2"/>
  <c r="E237" i="2" s="1"/>
  <c r="B12" i="7"/>
  <c r="D139" i="6"/>
  <c r="F17" i="3"/>
  <c r="E17" i="1"/>
  <c r="F65" i="4"/>
  <c r="C19" i="4" s="1"/>
  <c r="E66" i="4"/>
  <c r="E16" i="1"/>
  <c r="F17" i="2"/>
  <c r="C15" i="4"/>
  <c r="F119" i="4"/>
  <c r="I15" i="4"/>
  <c r="L126" i="4"/>
  <c r="F65" i="3"/>
  <c r="C19" i="3" s="1"/>
  <c r="E66" i="3"/>
  <c r="E225" i="4"/>
  <c r="D227" i="4"/>
  <c r="E227" i="4" s="1"/>
  <c r="F17" i="4"/>
  <c r="E18" i="1"/>
  <c r="I15" i="3"/>
  <c r="L126" i="3"/>
  <c r="E137" i="4"/>
  <c r="E224" i="3"/>
  <c r="D226" i="3"/>
  <c r="E226" i="3" s="1"/>
  <c r="D8" i="1"/>
  <c r="D13" i="7"/>
  <c r="D9" i="1" s="1"/>
  <c r="C15" i="3"/>
  <c r="F119" i="3"/>
  <c r="F64" i="2"/>
  <c r="C19" i="2" s="1"/>
  <c r="E65" i="2"/>
  <c r="E14" i="2"/>
  <c r="E137" i="3"/>
  <c r="I15" i="2"/>
  <c r="L132" i="2"/>
  <c r="M124" i="2"/>
  <c r="C63" i="7" l="1"/>
  <c r="D63" i="7" s="1"/>
  <c r="D168" i="2"/>
  <c r="D159" i="4"/>
  <c r="D158" i="3"/>
  <c r="B8" i="1"/>
  <c r="B13" i="7"/>
  <c r="B9" i="1" s="1"/>
  <c r="B17" i="2"/>
  <c r="E72" i="2"/>
  <c r="E74" i="2" s="1"/>
  <c r="F65" i="2"/>
  <c r="C17" i="2" s="1"/>
  <c r="I17" i="4"/>
  <c r="H18" i="1"/>
  <c r="F126" i="2"/>
  <c r="F132" i="2" s="1"/>
  <c r="B16" i="1" s="1"/>
  <c r="H125" i="2"/>
  <c r="E71" i="3"/>
  <c r="E73" i="3" s="1"/>
  <c r="B17" i="3"/>
  <c r="F66" i="3"/>
  <c r="C17" i="3" s="1"/>
  <c r="H119" i="3"/>
  <c r="F120" i="3"/>
  <c r="F126" i="3" s="1"/>
  <c r="B17" i="1" s="1"/>
  <c r="F120" i="4"/>
  <c r="F126" i="4" s="1"/>
  <c r="B18" i="1" s="1"/>
  <c r="H119" i="4"/>
  <c r="D11" i="5"/>
  <c r="I17" i="3"/>
  <c r="H17" i="1"/>
  <c r="H16" i="1"/>
  <c r="I17" i="2"/>
  <c r="B17" i="4"/>
  <c r="E71" i="4"/>
  <c r="E73" i="4" s="1"/>
  <c r="F66" i="4"/>
  <c r="C17" i="4" s="1"/>
  <c r="M119" i="4" l="1"/>
  <c r="H120" i="4"/>
  <c r="M119" i="3"/>
  <c r="H120" i="3"/>
  <c r="D74" i="4"/>
  <c r="D75" i="2"/>
  <c r="D74" i="3"/>
  <c r="M125" i="2"/>
  <c r="M126" i="2" s="1"/>
  <c r="M132" i="2" s="1"/>
  <c r="C163" i="2" s="1"/>
  <c r="D163" i="2" s="1"/>
  <c r="H126" i="2"/>
  <c r="M120" i="3" l="1"/>
  <c r="M126" i="3" s="1"/>
  <c r="C153" i="3" s="1"/>
  <c r="D153" i="3" s="1"/>
  <c r="E15" i="2"/>
  <c r="H132" i="2"/>
  <c r="E15" i="3"/>
  <c r="H126" i="3"/>
  <c r="E77" i="2"/>
  <c r="E78" i="2"/>
  <c r="C149" i="2" s="1"/>
  <c r="E149" i="2" s="1"/>
  <c r="E76" i="2"/>
  <c r="E76" i="3"/>
  <c r="E77" i="3"/>
  <c r="E75" i="3"/>
  <c r="E76" i="4"/>
  <c r="E77" i="4"/>
  <c r="E75" i="4"/>
  <c r="E15" i="4"/>
  <c r="H126" i="4"/>
  <c r="M120" i="4"/>
  <c r="M126" i="4" s="1"/>
  <c r="C154" i="4" l="1"/>
  <c r="D154" i="4" s="1"/>
  <c r="C141" i="3"/>
  <c r="E85" i="4"/>
  <c r="E86" i="4" s="1"/>
  <c r="D87" i="4" s="1"/>
  <c r="E78" i="4"/>
  <c r="E79" i="4" s="1"/>
  <c r="C150" i="4" s="1"/>
  <c r="D150" i="4" s="1"/>
  <c r="C141" i="4"/>
  <c r="E96" i="4"/>
  <c r="B23" i="4"/>
  <c r="D23" i="1" s="1"/>
  <c r="C23" i="4"/>
  <c r="E78" i="3"/>
  <c r="E79" i="3" s="1"/>
  <c r="C149" i="3" s="1"/>
  <c r="D149" i="3" s="1"/>
  <c r="E85" i="3"/>
  <c r="E86" i="3" s="1"/>
  <c r="D87" i="3" s="1"/>
  <c r="B23" i="2"/>
  <c r="B23" i="1" s="1"/>
  <c r="E100" i="2"/>
  <c r="C23" i="2"/>
  <c r="D17" i="1"/>
  <c r="E17" i="3"/>
  <c r="D16" i="1"/>
  <c r="E17" i="2"/>
  <c r="E96" i="3"/>
  <c r="B23" i="3"/>
  <c r="C23" i="1" s="1"/>
  <c r="C23" i="3"/>
  <c r="E86" i="2"/>
  <c r="E87" i="2" s="1"/>
  <c r="D88" i="2" s="1"/>
  <c r="E79" i="2"/>
  <c r="E80" i="2" s="1"/>
  <c r="C159" i="2" s="1"/>
  <c r="D159" i="2" s="1"/>
  <c r="D18" i="1"/>
  <c r="E17" i="4"/>
  <c r="E88" i="3" l="1"/>
  <c r="E95" i="3" s="1"/>
  <c r="E89" i="3"/>
  <c r="E90" i="3"/>
  <c r="E97" i="3" s="1"/>
  <c r="B64" i="5"/>
  <c r="G64" i="5" s="1"/>
  <c r="B55" i="5"/>
  <c r="G55" i="5" s="1"/>
  <c r="B48" i="5"/>
  <c r="G48" i="5" s="1"/>
  <c r="H48" i="5" s="1"/>
  <c r="B66" i="5"/>
  <c r="G66" i="5" s="1"/>
  <c r="B57" i="5"/>
  <c r="G57" i="5" s="1"/>
  <c r="B50" i="5"/>
  <c r="G50" i="5" s="1"/>
  <c r="H50" i="5" s="1"/>
  <c r="B59" i="5"/>
  <c r="G59" i="5" s="1"/>
  <c r="B54" i="5"/>
  <c r="G54" i="5" s="1"/>
  <c r="B61" i="5"/>
  <c r="G61" i="5" s="1"/>
  <c r="B56" i="5"/>
  <c r="G56" i="5" s="1"/>
  <c r="B49" i="5"/>
  <c r="G49" i="5" s="1"/>
  <c r="H49" i="5" s="1"/>
  <c r="E90" i="2"/>
  <c r="C147" i="2" s="1"/>
  <c r="B67" i="5"/>
  <c r="G67" i="5" s="1"/>
  <c r="E89" i="2"/>
  <c r="E99" i="2" s="1"/>
  <c r="B58" i="5"/>
  <c r="G58" i="5" s="1"/>
  <c r="B60" i="5"/>
  <c r="G60" i="5" s="1"/>
  <c r="B52" i="5"/>
  <c r="G52" i="5" s="1"/>
  <c r="B63" i="5"/>
  <c r="G63" i="5" s="1"/>
  <c r="B53" i="5"/>
  <c r="G53" i="5" s="1"/>
  <c r="B62" i="5"/>
  <c r="G62" i="5" s="1"/>
  <c r="B65" i="5"/>
  <c r="G65" i="5" s="1"/>
  <c r="B51" i="5"/>
  <c r="G51" i="5" s="1"/>
  <c r="H51" i="5" s="1"/>
  <c r="B47" i="5"/>
  <c r="E91" i="2"/>
  <c r="C151" i="2" s="1"/>
  <c r="E151" i="2" s="1"/>
  <c r="E92" i="2"/>
  <c r="E101" i="2" s="1"/>
  <c r="E141" i="4"/>
  <c r="E89" i="4"/>
  <c r="E88" i="4"/>
  <c r="E95" i="4" s="1"/>
  <c r="E90" i="4"/>
  <c r="E97" i="4" s="1"/>
  <c r="E141" i="3"/>
  <c r="E147" i="2" l="1"/>
  <c r="E152" i="2" s="1"/>
  <c r="C152" i="2"/>
  <c r="E98" i="3"/>
  <c r="D99" i="3"/>
  <c r="C20" i="3" s="1"/>
  <c r="C39" i="7"/>
  <c r="C46" i="7" s="1"/>
  <c r="B31" i="1" s="1"/>
  <c r="G47" i="5"/>
  <c r="B68" i="5"/>
  <c r="E98" i="4"/>
  <c r="D99" i="4"/>
  <c r="C20" i="4" s="1"/>
  <c r="C143" i="4"/>
  <c r="B25" i="4"/>
  <c r="E103" i="2"/>
  <c r="D104" i="2"/>
  <c r="C20" i="2" s="1"/>
  <c r="C143" i="3"/>
  <c r="B25" i="3"/>
  <c r="E143" i="3" l="1"/>
  <c r="E144" i="3" s="1"/>
  <c r="C144" i="3"/>
  <c r="C156" i="3" s="1"/>
  <c r="D156" i="3" s="1"/>
  <c r="B14" i="7"/>
  <c r="B20" i="2"/>
  <c r="B22" i="2" s="1"/>
  <c r="C22" i="2" s="1"/>
  <c r="D25" i="1"/>
  <c r="C25" i="4"/>
  <c r="E143" i="4"/>
  <c r="E144" i="4" s="1"/>
  <c r="C144" i="4"/>
  <c r="C157" i="4" s="1"/>
  <c r="D157" i="4" s="1"/>
  <c r="C25" i="1"/>
  <c r="C25" i="3"/>
  <c r="B20" i="3"/>
  <c r="B22" i="3" s="1"/>
  <c r="C22" i="3" s="1"/>
  <c r="C14" i="7"/>
  <c r="D14" i="7"/>
  <c r="B20" i="4"/>
  <c r="B22" i="4" s="1"/>
  <c r="C22" i="4" s="1"/>
  <c r="B12" i="5"/>
  <c r="E8" i="7"/>
  <c r="G68" i="5"/>
  <c r="H47" i="5"/>
  <c r="B25" i="1"/>
  <c r="C167" i="2"/>
  <c r="D167" i="2" s="1"/>
  <c r="C166" i="2"/>
  <c r="D166" i="2" s="1"/>
  <c r="C157" i="3" l="1"/>
  <c r="D157" i="3" s="1"/>
  <c r="C6" i="3" s="1"/>
  <c r="C65" i="7" s="1"/>
  <c r="D65" i="7" s="1"/>
  <c r="C10" i="1"/>
  <c r="C16" i="7"/>
  <c r="C12" i="1" s="1"/>
  <c r="E14" i="7"/>
  <c r="F14" i="7" s="1"/>
  <c r="B14" i="5"/>
  <c r="H68" i="5"/>
  <c r="B16" i="5" s="1"/>
  <c r="D10" i="1"/>
  <c r="D16" i="7"/>
  <c r="D12" i="1" s="1"/>
  <c r="C158" i="4"/>
  <c r="D158" i="4" s="1"/>
  <c r="C6" i="4" s="1"/>
  <c r="C66" i="7" s="1"/>
  <c r="D66" i="7" s="1"/>
  <c r="C6" i="2"/>
  <c r="C64" i="7" s="1"/>
  <c r="D64" i="7" s="1"/>
  <c r="B10" i="1"/>
  <c r="B16" i="7"/>
  <c r="B12" i="1" s="1"/>
  <c r="F8" i="7"/>
  <c r="F12" i="7" s="1"/>
  <c r="E12" i="7"/>
  <c r="C37" i="7" l="1"/>
  <c r="F10" i="1"/>
  <c r="I14" i="7"/>
  <c r="F16" i="7"/>
  <c r="F12" i="1" s="1"/>
  <c r="E8" i="1"/>
  <c r="E13" i="7"/>
  <c r="E9" i="1" s="1"/>
  <c r="F8" i="1"/>
  <c r="F13" i="7"/>
  <c r="F9" i="1" s="1"/>
  <c r="D14" i="5"/>
  <c r="B18" i="5"/>
  <c r="C18" i="5" s="1"/>
  <c r="E16" i="7"/>
  <c r="E12" i="1" s="1"/>
  <c r="E10" i="1"/>
  <c r="C75" i="5" l="1"/>
  <c r="D75" i="5" s="1"/>
  <c r="C6" i="5" s="1"/>
  <c r="C67" i="7" s="1"/>
  <c r="D67" i="7" s="1"/>
  <c r="C43" i="7"/>
  <c r="C45" i="7" s="1"/>
  <c r="B29" i="1"/>
  <c r="C60" i="7" l="1"/>
  <c r="D60" i="7" s="1"/>
  <c r="D68" i="7" s="1"/>
  <c r="C3" i="1" s="1"/>
  <c r="B35" i="1"/>
</calcChain>
</file>

<file path=xl/sharedStrings.xml><?xml version="1.0" encoding="utf-8"?>
<sst xmlns="http://schemas.openxmlformats.org/spreadsheetml/2006/main" count="2275" uniqueCount="1018">
  <si>
    <t>Status kontrol semua sheet</t>
  </si>
  <si>
    <t>1. Biaya produksi dan HPP per produk (Rp juta; Rp/kg per kg produksi)</t>
  </si>
  <si>
    <t>Pos</t>
  </si>
  <si>
    <t>FCC</t>
  </si>
  <si>
    <t>Ubi Ungu</t>
  </si>
  <si>
    <t>Ubi Orange</t>
  </si>
  <si>
    <t>Lain-lain</t>
  </si>
  <si>
    <t>Total</t>
  </si>
  <si>
    <t>Produksi (kg)</t>
  </si>
  <si>
    <t>Total biaya produksi</t>
  </si>
  <si>
    <t>Biaya produksi per kg (Rp)</t>
  </si>
  <si>
    <t>HPP</t>
  </si>
  <si>
    <t>Pendapatan (total = GL)</t>
  </si>
  <si>
    <t>Margin kotor (%)</t>
  </si>
  <si>
    <t>2. FCC, UU, UO: Rp/kg aktual vs budget dan penyebab selisih (Rp/kg)</t>
  </si>
  <si>
    <t>Produk</t>
  </si>
  <si>
    <t>Rp/kg aktual</t>
  </si>
  <si>
    <t>Rp/kg budget</t>
  </si>
  <si>
    <t>Selisih</t>
  </si>
  <si>
    <t>Harga / belanja</t>
  </si>
  <si>
    <t>Pemakaian / yield</t>
  </si>
  <si>
    <t>Volume</t>
  </si>
  <si>
    <t>Metode alokasi</t>
  </si>
  <si>
    <t>Bulan budget</t>
  </si>
  <si>
    <t>UU</t>
  </si>
  <si>
    <t>UO</t>
  </si>
  <si>
    <t>3. Biaya yang tidak terlihat di margin (memo)</t>
  </si>
  <si>
    <t>Catatan</t>
  </si>
  <si>
    <t>Biaya waste (kerugian normal) yang terserap ke HPP (Rp jt)</t>
  </si>
  <si>
    <t>KW 2 dikreditkan pada NRV (Rp jt)</t>
  </si>
  <si>
    <t>Kenaikan WIP + FG (Rp jt)</t>
  </si>
  <si>
    <t>Biaya jam operator tidak terpakai untuk produk (Rp jt; % jam)</t>
  </si>
  <si>
    <t>4. Rekonsiliasi ke GL (Rp juta)</t>
  </si>
  <si>
    <t>Total HPP kartu baru</t>
  </si>
  <si>
    <t>Varian material (GL − kartu)</t>
  </si>
  <si>
    <t>Selisih kenaikan persediaan kartu baru vs GL</t>
  </si>
  <si>
    <t>Kenaikan persediaan KW 2 pada NRV</t>
  </si>
  <si>
    <t>Jam menganggur dibebankan ke periode</t>
  </si>
  <si>
    <t>HPP menurut GL</t>
  </si>
  <si>
    <t>Cek (harus nol)</t>
  </si>
  <si>
    <t>Sistem biaya: biaya aktual, penyerapan penuh. Material ditelusuri per produk dari laporan produksi; biaya konversi dialokasikan dari BIAYA BERSAMA dengan driver aktual bulan berjalan. WIP/FG dinilai rata-rata tertimbang; KW 2 pada NRV.</t>
  </si>
  <si>
    <t>Biru = input (lampiran), hijau = tautan antarsheet, hitam = rumus. Ringkasan dalam Rp juta; rincian dalam Rp.</t>
  </si>
  <si>
    <t>Bulan budget pembanding</t>
  </si>
  <si>
    <t>Okt-26</t>
  </si>
  <si>
    <t>posisi:</t>
  </si>
  <si>
    <t>Status kontrol (bagian 6)</t>
  </si>
  <si>
    <t>1. Ringkasan (Rp juta; Rp/kg per kg produksi bulan ini)</t>
  </si>
  <si>
    <t>Komponen</t>
  </si>
  <si>
    <t>Aktual (Rp jt)</t>
  </si>
  <si>
    <t>Aktual Rp/kg</t>
  </si>
  <si>
    <t>Budget Rp/kg</t>
  </si>
  <si>
    <t>Selisih Rp/kg</t>
  </si>
  <si>
    <t>Raw materials</t>
  </si>
  <si>
    <t>Oil</t>
  </si>
  <si>
    <t>CNG</t>
  </si>
  <si>
    <t>Material - others</t>
  </si>
  <si>
    <t>Upah kupas</t>
  </si>
  <si>
    <t>Direct labour (Grup A)</t>
  </si>
  <si>
    <t>Factory overhead (Grup B–E)</t>
  </si>
  <si>
    <t>Produksi bulan ini (kg; aktual, budget)</t>
  </si>
  <si>
    <t>Biaya konversi per kg (aktual, budget)</t>
  </si>
  <si>
    <t>HPP (Rp jt) dan HPP per kg terjual (aktual, budget)</t>
  </si>
  <si>
    <t>Pendapatan (Rp jt; aktual)</t>
  </si>
  <si>
    <t>Sumber: Lampiran A. Pendapatan dikelompokkan sejalan dengan biayanya</t>
  </si>
  <si>
    <t>Margin kotor (Rp jt; %)</t>
  </si>
  <si>
    <t>Memo: biaya waste (kerugian normal) yang masuk HPP (Rp jt; % biaya produksi)</t>
  </si>
  <si>
    <t>Memo: KW 2 dikreditkan pada NRV (Rp jt)</t>
  </si>
  <si>
    <t>Memo: kenaikan WIP + FG (Rp jt) dan porsi biaya konversi di dalamnya</t>
  </si>
  <si>
    <t>Biaya konversi yang tertahan di neraca bila produksi &gt; penjualan</t>
  </si>
  <si>
    <t>Pemilik efek: harga → Purchasing; pemakaian/yield → Produksi; volume → PPIC; belanja pool → pemilik pool (Produksi/Engineering/HR); metode alokasi → Finance (costing).</t>
  </si>
  <si>
    <t>2. Laporan biaya produksi</t>
  </si>
  <si>
    <t>2a. Kuantitas (kg)</t>
  </si>
  <si>
    <t>Aktual kg</t>
  </si>
  <si>
    <t>% dari produksi</t>
  </si>
  <si>
    <t>Budget kg</t>
  </si>
  <si>
    <t>% budget</t>
  </si>
  <si>
    <t>WIP awal</t>
  </si>
  <si>
    <t>Produksi bulan ini (masuk proses)</t>
  </si>
  <si>
    <t>Total untuk dipertanggungjawabkan</t>
  </si>
  <si>
    <t xml:space="preserve">  Premium ke barang jadi</t>
  </si>
  <si>
    <t xml:space="preserve">  KW 2 (produk sampingan)</t>
  </si>
  <si>
    <t xml:space="preserve">  Keripik waste (kerugian normal)</t>
  </si>
  <si>
    <t xml:space="preserve">  WIP akhir</t>
  </si>
  <si>
    <t>Total dipertanggungjawabkan</t>
  </si>
  <si>
    <t>2b. Biaya produksi bulan ini (aktual)</t>
  </si>
  <si>
    <t>Qty</t>
  </si>
  <si>
    <t>Satuan</t>
  </si>
  <si>
    <t>Harga</t>
  </si>
  <si>
    <t>Nilai (Rp)</t>
  </si>
  <si>
    <t>Rp/kg</t>
  </si>
  <si>
    <t xml:space="preserve">  Singkong kulit premium</t>
  </si>
  <si>
    <t>kg</t>
  </si>
  <si>
    <t xml:space="preserve">  Singkong daging premium</t>
  </si>
  <si>
    <t>Subtotal raw materials</t>
  </si>
  <si>
    <t>Oil &amp; CNG</t>
  </si>
  <si>
    <t xml:space="preserve">  Minyak olein</t>
  </si>
  <si>
    <t xml:space="preserve">  CNG</t>
  </si>
  <si>
    <t>MMBTU</t>
  </si>
  <si>
    <t xml:space="preserve">  Amonium bicarbonate</t>
  </si>
  <si>
    <t xml:space="preserve">  HDPE 0,03</t>
  </si>
  <si>
    <t xml:space="preserve">  HDPE 0,05</t>
  </si>
  <si>
    <t xml:space="preserve">  HDPE 0,07</t>
  </si>
  <si>
    <t xml:space="preserve">  Packaging IFM (karton)</t>
  </si>
  <si>
    <t>pcs</t>
  </si>
  <si>
    <t xml:space="preserve">  Other cost (plakban, tali, label, plastik)</t>
  </si>
  <si>
    <t>Rp</t>
  </si>
  <si>
    <t>Subtotal material - others</t>
  </si>
  <si>
    <t>Total material</t>
  </si>
  <si>
    <t>Konversi (dari BIAYA BERSAMA)</t>
  </si>
  <si>
    <t xml:space="preserve">  Upah borongan kupas</t>
  </si>
  <si>
    <t>kg dikupas</t>
  </si>
  <si>
    <t xml:space="preserve">  Grup A – DL operator</t>
  </si>
  <si>
    <t xml:space="preserve">  Grup B – IDL (support, staf, THR, BPJS)</t>
  </si>
  <si>
    <t xml:space="preserve">  Grup C – energi &amp; utilitas</t>
  </si>
  <si>
    <t xml:space="preserve">  Grup D – pemeliharaan &amp; penyusutan mesin</t>
  </si>
  <si>
    <t xml:space="preserve">  Grup E – pabrik umum &amp; penyusutan inventaris</t>
  </si>
  <si>
    <t>Subtotal factory overhead (Grup B–E)</t>
  </si>
  <si>
    <t>Total konversi</t>
  </si>
  <si>
    <t>TOTAL BIAYA PRODUKSI BULAN INI</t>
  </si>
  <si>
    <t xml:space="preserve">  Memo: kebutuhan ekuivalen singkong kulit per kg produksi</t>
  </si>
  <si>
    <t>kg/kg</t>
  </si>
  <si>
    <t>budget:</t>
  </si>
  <si>
    <t xml:space="preserve">  Memo: porsi singkong daging (ekuivalen kulit)</t>
  </si>
  <si>
    <t>2c. Penilaian hasil (biaya dipertanggungjawabkan = biaya dibebankan)</t>
  </si>
  <si>
    <t>Kg</t>
  </si>
  <si>
    <t>Biaya produksi bulan ini</t>
  </si>
  <si>
    <t>Dikurangi: KW 2 dinilai NRV (ke persediaan KW 2)</t>
  </si>
  <si>
    <t>Biaya untuk premium, waste, dan WIP akhir</t>
  </si>
  <si>
    <t>Biaya rata-rata tertimbang per kg</t>
  </si>
  <si>
    <t xml:space="preserve">  Keripik waste ke HPP (kerugian normal)</t>
  </si>
  <si>
    <t>Total dibebankan</t>
  </si>
  <si>
    <t>Cek: dipertanggungjawabkan − dibebankan (harus nol)</t>
  </si>
  <si>
    <t xml:space="preserve">  Memo: nilai WIP akhir menurut Accurate</t>
  </si>
  <si>
    <t>3. Barang jadi (FG-001 Keripik Singkong Tanpa Bumbu) dan HPP</t>
  </si>
  <si>
    <t>Saldo awal</t>
  </si>
  <si>
    <t>Masuk dari produksi</t>
  </si>
  <si>
    <t>Tersedia</t>
  </si>
  <si>
    <t>Keluar: penjualan ke IFM</t>
  </si>
  <si>
    <t>Keluar: transfer ke Lain-lain (FCC premium untuk cem-cem)</t>
  </si>
  <si>
    <t>Saldo akhir (kg menurut Accurate)</t>
  </si>
  <si>
    <t>Selisih kuantitas (tersedia − keluar − saldo akhir)</t>
  </si>
  <si>
    <t xml:space="preserve">  Memo: nilai saldo akhir menurut Accurate</t>
  </si>
  <si>
    <t xml:space="preserve">  Memo: residu nilai saldo awal tanpa kuantitas (tidak ikut rata-rata)</t>
  </si>
  <si>
    <t xml:space="preserve">  HPP penjualan ke IFM</t>
  </si>
  <si>
    <t xml:space="preserve">  HPP keripik waste</t>
  </si>
  <si>
    <t xml:space="preserve">  HPP selisih kuantitas FG</t>
  </si>
  <si>
    <t xml:space="preserve">  HPP KW 2 tawar terjual ke KGS (pada NRV)</t>
  </si>
  <si>
    <t>Total HPP</t>
  </si>
  <si>
    <t>HPP (IFM + waste) per kg terjual ke IFM</t>
  </si>
  <si>
    <t xml:space="preserve">  Budget total HPP (volume budget)</t>
  </si>
  <si>
    <t>4. Selisih vs budget per komponen (Rp/kg produksi)</t>
  </si>
  <si>
    <t>Qty/kg aktual</t>
  </si>
  <si>
    <t>Qty/kg budget</t>
  </si>
  <si>
    <t>Harga aktual</t>
  </si>
  <si>
    <t>Harga budget</t>
  </si>
  <si>
    <t>Cek</t>
  </si>
  <si>
    <t xml:space="preserve">  CNG (MMBTU)</t>
  </si>
  <si>
    <t xml:space="preserve">  Other cost</t>
  </si>
  <si>
    <t xml:space="preserve">  Upah kupas (kg dikupas)</t>
  </si>
  <si>
    <t>Direct labour</t>
  </si>
  <si>
    <t xml:space="preserve">  Grup B – IDL</t>
  </si>
  <si>
    <t xml:space="preserve">  Grup D – mesin</t>
  </si>
  <si>
    <t xml:space="preserve">  Grup E – pabrik umum</t>
  </si>
  <si>
    <t>Factory overhead</t>
  </si>
  <si>
    <t>TOTAL</t>
  </si>
  <si>
    <t xml:space="preserve">  Cek budget: total Rp/kg budget × kg budget − MD total biaya produksi (harus nol)</t>
  </si>
  <si>
    <t>Harga/belanja: selisih harga material, atau selisih belanja pool setelah disetarakan metode. Pemakaian/yield: selisih qty per kg. Volume: pengaruh volume aktual terhadap biaya tetap per kg. Metode: alokasi aktual (man-hour/kWh) vs metode budget (volume).</t>
  </si>
  <si>
    <t>Baris BP</t>
  </si>
  <si>
    <t>Kartu baru</t>
  </si>
  <si>
    <t>BP sekarang (kolom S)</t>
  </si>
  <si>
    <t xml:space="preserve">  Raw Materials</t>
  </si>
  <si>
    <t xml:space="preserve">  OIL</t>
  </si>
  <si>
    <t xml:space="preserve">  Material - Others</t>
  </si>
  <si>
    <t xml:space="preserve">  Upah Kupas</t>
  </si>
  <si>
    <t xml:space="preserve">  Direct Labour</t>
  </si>
  <si>
    <t xml:space="preserve">  Factory overhead</t>
  </si>
  <si>
    <t xml:space="preserve">  KW 2 (NRV produksi)</t>
  </si>
  <si>
    <t xml:space="preserve">  KW 2 tawar terjual (NRV)</t>
  </si>
  <si>
    <t xml:space="preserve">  Transfer ke Lain-lain (BP belum punya baris)</t>
  </si>
  <si>
    <t xml:space="preserve">  WIP - Beginnig Balance</t>
  </si>
  <si>
    <t xml:space="preserve">  WIP - Ending Balance</t>
  </si>
  <si>
    <t xml:space="preserve">  FG - Beginnig Balance</t>
  </si>
  <si>
    <t xml:space="preserve">  FG - Ending Balance</t>
  </si>
  <si>
    <t>COGS FCC</t>
  </si>
  <si>
    <t>6. Kontrol (toleransi Rp 1; 0,01 kg)</t>
  </si>
  <si>
    <t>Nilai</t>
  </si>
  <si>
    <t>Status</t>
  </si>
  <si>
    <t>Kuantitas: untuk dipertanggungjawabkan = dipertanggungjawabkan (kg)</t>
  </si>
  <si>
    <t>Biaya: dipertanggungjawabkan = dibebankan (Rp)</t>
  </si>
  <si>
    <t>Kg penilaian = kg kuantitas</t>
  </si>
  <si>
    <t>Material kartu baru = kartu lama (Lampiran C)</t>
  </si>
  <si>
    <t>Kartu lama tersusun ulang = total kartu lama</t>
  </si>
  <si>
    <t>Dekomposisi selisih per baris (bagian 4)</t>
  </si>
  <si>
    <t>Budget: Rp/kg × kg = total biaya produksi budget</t>
  </si>
  <si>
    <t>Budget: Grup A + B diselaraskan = pool budget</t>
  </si>
  <si>
    <t>Nilai untuk BP: COGS = − total HPP</t>
  </si>
  <si>
    <t>Tidak ada sel error</t>
  </si>
  <si>
    <t>Kontrol BIAYA BERSAMA</t>
  </si>
  <si>
    <t>LAMPIRAN A. Input bulan ini</t>
  </si>
  <si>
    <t>Status angka</t>
  </si>
  <si>
    <t>Sumber</t>
  </si>
  <si>
    <t>WIP awal (curah)</t>
  </si>
  <si>
    <t>Aktual</t>
  </si>
  <si>
    <t>Kartu lama FCC0826 D6</t>
  </si>
  <si>
    <t>Kartu lama FCC0826 D7</t>
  </si>
  <si>
    <t>WIP akhir (curah)</t>
  </si>
  <si>
    <t>Kartu lama FCC0826 D9</t>
  </si>
  <si>
    <t>KW 2</t>
  </si>
  <si>
    <t>Kartu lama FCC0826 D11</t>
  </si>
  <si>
    <t>Keripik waste</t>
  </si>
  <si>
    <t>Kartu lama FCC0826 D12</t>
  </si>
  <si>
    <t>Nilai WIP awal</t>
  </si>
  <si>
    <t>Estimasi</t>
  </si>
  <si>
    <t>Kartu lama FCC0826 F17 (penyerapan parsial; bulan berikutnya = WIP akhir kartu ini)</t>
  </si>
  <si>
    <t>Nilai WIP akhir WIP-067 menurut Accurate</t>
  </si>
  <si>
    <t>BP Data Aktual P192</t>
  </si>
  <si>
    <t>Kg singkong kulit yang dikupas</t>
  </si>
  <si>
    <t>WP CoGM Agu, Labor!I6</t>
  </si>
  <si>
    <t>Man-hour</t>
  </si>
  <si>
    <t>jam</t>
  </si>
  <si>
    <t>WP CoGM Agu, Labor!D30</t>
  </si>
  <si>
    <t>Pemakaian listrik</t>
  </si>
  <si>
    <t>kWh</t>
  </si>
  <si>
    <t>WP CoGM Agu, Overhead Allocation!D6</t>
  </si>
  <si>
    <t>FG awal FG-001</t>
  </si>
  <si>
    <t>BP Data Aktual O193 (modul persediaan Accurate)</t>
  </si>
  <si>
    <t>Nilai FG awal FG-001</t>
  </si>
  <si>
    <t>BP Data Aktual O194</t>
  </si>
  <si>
    <t>Penjualan FCC premium ke IFM</t>
  </si>
  <si>
    <t>BP Data Aktual P54 (Sales by Item, net retur)</t>
  </si>
  <si>
    <t>FG akhir FG-001 menurut Accurate</t>
  </si>
  <si>
    <t>BP Data Aktual P193</t>
  </si>
  <si>
    <t>Nilai FG akhir menurut Accurate</t>
  </si>
  <si>
    <t>BP Data Aktual P194</t>
  </si>
  <si>
    <t>FG-001 masuk menurut Accurate</t>
  </si>
  <si>
    <t>BP Data Aktual P207</t>
  </si>
  <si>
    <t>FG-001 transfer ke item lain menurut Accurate</t>
  </si>
  <si>
    <t>BP Data Aktual P209</t>
  </si>
  <si>
    <t>KW 2 tawar terjual ke KGS</t>
  </si>
  <si>
    <t>BP Data Aktual P55</t>
  </si>
  <si>
    <t>NRV KW 2</t>
  </si>
  <si>
    <t>BP Data Aktual Q76 (harga KW2 KGS tertimbang Jan–Agu); ASUMSI no. 5</t>
  </si>
  <si>
    <t>Konversi CNG</t>
  </si>
  <si>
    <t>m3 per MMBTU</t>
  </si>
  <si>
    <t>Uji 12 invoice; ASUMSI no. 6</t>
  </si>
  <si>
    <t>Pendapatan FCC premium IFM + KW 2 tawar</t>
  </si>
  <si>
    <t>BP Data Aktual P63 + P64 (KW 2 berbumbu masuk Lain-lain)</t>
  </si>
  <si>
    <t>LAMPIRAN B. Pemakaian material (qty dari laporan produksi, harga rata-rata)</t>
  </si>
  <si>
    <t>Material</t>
  </si>
  <si>
    <t>Kelompok BP</t>
  </si>
  <si>
    <t>Sub-kelompok</t>
  </si>
  <si>
    <t>Harga (Rp/satuan)</t>
  </si>
  <si>
    <t>Singkong Kulit Premium</t>
  </si>
  <si>
    <t>Singkong kulit</t>
  </si>
  <si>
    <t>Kartu lama FCC0826 baris 25; harga: sheet Average Price</t>
  </si>
  <si>
    <t>Singkong Daging Premium</t>
  </si>
  <si>
    <t>Singkong daging</t>
  </si>
  <si>
    <t>Kartu lama FCC0826 baris 26; harga: sheet Average Price</t>
  </si>
  <si>
    <t>Minyak Olein</t>
  </si>
  <si>
    <t>Minyak</t>
  </si>
  <si>
    <t>Kartu lama FCC0826 baris 28; harga: sheet Average Price</t>
  </si>
  <si>
    <t>m3</t>
  </si>
  <si>
    <t>Kartu lama FCC0826 baris 44; harga: sheet Average Price</t>
  </si>
  <si>
    <t>Ammonium Bicarbonate (TI)</t>
  </si>
  <si>
    <t>Material-others</t>
  </si>
  <si>
    <t>Amonium</t>
  </si>
  <si>
    <t>Kartu lama FCC0826 baris 29; harga: sheet Average Price</t>
  </si>
  <si>
    <t>HDPE IFL Putih Tipis 0,03</t>
  </si>
  <si>
    <t>HDPE 0,03</t>
  </si>
  <si>
    <t>Kartu lama FCC0826 baris 30; harga: sheet Average Price</t>
  </si>
  <si>
    <t>HDPE IFL Putih Tebal 0,05</t>
  </si>
  <si>
    <t>HDPE 0,05</t>
  </si>
  <si>
    <t>Kartu lama FCC0826 baris 31; harga: sheet Average Price</t>
  </si>
  <si>
    <t>HDPE IFL Putih Tebal 0,07</t>
  </si>
  <si>
    <t>HDPE 0,07</t>
  </si>
  <si>
    <t>Kartu lama FCC0826 baris 32; harga: sheet Average Price</t>
  </si>
  <si>
    <t>Karton Polos IFL</t>
  </si>
  <si>
    <t>Packaging IFM</t>
  </si>
  <si>
    <t>Kartu lama FCC0826 baris 37; harga: sheet Average Price</t>
  </si>
  <si>
    <t>Plastik Singkong HD 60*100*0,07</t>
  </si>
  <si>
    <t>Other cost</t>
  </si>
  <si>
    <t>Kartu lama FCC0826 baris 33; harga: sheet Average Price</t>
  </si>
  <si>
    <t>Tali Rafia 1 kg</t>
  </si>
  <si>
    <t>roll</t>
  </si>
  <si>
    <t>Kartu lama FCC0826 baris 34; harga: sheet Average Price</t>
  </si>
  <si>
    <t>Plakban 100 Yard</t>
  </si>
  <si>
    <t>Kartu lama FCC0826 baris 35; harga: sheet Average Price</t>
  </si>
  <si>
    <t>Plakban 90 Yard</t>
  </si>
  <si>
    <t>Kartu lama FCC0826 baris 36; harga: sheet Average Price</t>
  </si>
  <si>
    <t>Label FCC</t>
  </si>
  <si>
    <t>rim</t>
  </si>
  <si>
    <t>Kartu lama FCC0826 baris 38; harga: sheet Average Price</t>
  </si>
  <si>
    <t>Total material (tanpa upah kupas)</t>
  </si>
  <si>
    <t>Rendemen kupas aktual (kg dikupas ÷ kg singkong kulit)</t>
  </si>
  <si>
    <t>LAMPIRAN C. Pembanding kartu lama (WP CoGM Agustus, sebelum restrukturisasi)</t>
  </si>
  <si>
    <t>Kartu lama (Rp)</t>
  </si>
  <si>
    <t>Kartu baru (Rp)</t>
  </si>
  <si>
    <t>Selisih (Rp)</t>
  </si>
  <si>
    <t>Keterangan</t>
  </si>
  <si>
    <t>Material tanpa kupas (termasuk CNG)</t>
  </si>
  <si>
    <t>Sama; CNG di kartu lama masuk overhead</t>
  </si>
  <si>
    <t>Sekarang dari pool payroll</t>
  </si>
  <si>
    <t>Lama: upah operator per man-hour. Baru: Grup A penuh</t>
  </si>
  <si>
    <t>Factory overhead tanpa CNG</t>
  </si>
  <si>
    <t>Lama: IDL (tarif rusak), air, listrik. Baru: Grup B–E penuh</t>
  </si>
  <si>
    <t>Total biaya produksi bulan ini</t>
  </si>
  <si>
    <t xml:space="preserve">  Referensi: total kartu lama</t>
  </si>
  <si>
    <t xml:space="preserve">  Ubi ungu</t>
  </si>
  <si>
    <t xml:space="preserve">  Amonium</t>
  </si>
  <si>
    <t xml:space="preserve">  HDPE 0,06</t>
  </si>
  <si>
    <t xml:space="preserve">  Packaging IFM</t>
  </si>
  <si>
    <t>3. Barang jadi (FG-101 FSPC Ungu Premium) dan HPP</t>
  </si>
  <si>
    <t>COGS Ubi Ungu</t>
  </si>
  <si>
    <t>Catatan: kartu lama tidak mencatat KW 2 dan waste; budget memakai waste 1%. Nilai FG tanpa kuantitas di Accurate adalah residu dan perlu dibersihkan.</t>
  </si>
  <si>
    <t>Kartu lama: Opening FG on Hand (= WIP curah)</t>
  </si>
  <si>
    <t>Kartu lama: Current Process</t>
  </si>
  <si>
    <t>Kartu lama: Finished Goods on Hand (= WIP curah, sama dengan Accurate)</t>
  </si>
  <si>
    <t>Kartu lama tidak mencatat KW 2</t>
  </si>
  <si>
    <t>Kartu lama tidak mencatat waste</t>
  </si>
  <si>
    <t>Saldo WIP awal nol</t>
  </si>
  <si>
    <t>Nilai WIP akhir menurut Accurate</t>
  </si>
  <si>
    <t>BP Data Aktual P196</t>
  </si>
  <si>
    <t>Kg ubi yang dikupas</t>
  </si>
  <si>
    <t>Labor!I7: kupas ubi Agustus nol</t>
  </si>
  <si>
    <t>WP CoGM Agu, Labor</t>
  </si>
  <si>
    <t>WP CoGM Agu, Overhead Allocation</t>
  </si>
  <si>
    <t>FG awal</t>
  </si>
  <si>
    <t>BP Data Aktual O197</t>
  </si>
  <si>
    <t>Nilai FG awal</t>
  </si>
  <si>
    <t>Accurate; ada nilai tanpa kuantitas (residu)</t>
  </si>
  <si>
    <t>Penjualan ke IFM</t>
  </si>
  <si>
    <t>BP Data Aktual P57</t>
  </si>
  <si>
    <t>FG akhir menurut Accurate</t>
  </si>
  <si>
    <t>BP Data Aktual P197</t>
  </si>
  <si>
    <t>BP Data Aktual P198</t>
  </si>
  <si>
    <t>Pendapatan Ubi Ungu</t>
  </si>
  <si>
    <t>BP Data Aktual P66</t>
  </si>
  <si>
    <t>Ubi</t>
  </si>
  <si>
    <t>Kartu lama Ubi Ungu IFM; harga: sheet Average Price</t>
  </si>
  <si>
    <t>Kartu lama Ubi Ungu IFM</t>
  </si>
  <si>
    <t>Label WIP QKSP</t>
  </si>
  <si>
    <t>KARTU BIAYA PRODUKSI – UBI ORANGE IFM (QKSO), Agustus 2026</t>
  </si>
  <si>
    <t xml:space="preserve">  Ubi orange</t>
  </si>
  <si>
    <t>3. Barang jadi (FG-102 FSPC Orange Premium) dan HPP</t>
  </si>
  <si>
    <t>5. Nilai untuk sheet BMG Business Plan baris 48–62 (Rp juta; tanda BP: biaya negatif)</t>
  </si>
  <si>
    <t>COGS Ubi Orange</t>
  </si>
  <si>
    <t>-</t>
  </si>
  <si>
    <t>BP Data Aktual O203</t>
  </si>
  <si>
    <t>BP Data Aktual P58</t>
  </si>
  <si>
    <t>BP Data Aktual P203</t>
  </si>
  <si>
    <t>BP Data Aktual P204</t>
  </si>
  <si>
    <t>Pendapatan Ubi Orange</t>
  </si>
  <si>
    <t>BP Data Aktual P67</t>
  </si>
  <si>
    <t>Ubi Orange Kulit Merah</t>
  </si>
  <si>
    <t>Kartu lama Ubi Orange IFM; harga: sheet Average Price</t>
  </si>
  <si>
    <t>Kartu lama Ubi Orange IFM</t>
  </si>
  <si>
    <t>Label WIP QKSO</t>
  </si>
  <si>
    <t>KARTU BIAYA PRODUKSI – LAIN-LAIN (retail, koperasi, maklon), Agustus 2026</t>
  </si>
  <si>
    <t>Satu baris per kelompok produk. Bahan antarproduk (FCC premium, KW 2) dinilai dari sheet FCC. Konversi dari BIAYA BERSAMA kolom Lain-lain. HPP = biaya produksi (belum ada roll-forward persediaan Lain-lain).</t>
  </si>
  <si>
    <t>Status kontrol (bagian 4)</t>
  </si>
  <si>
    <t>Nilai KW 2 ubi (Rp/kg)</t>
  </si>
  <si>
    <t>ASUMSI no. 7: UU/UO tidak mencatat KW 2, jadi belum ada NRV; nol konsisten dengan tidak adanya kredit KW 2 di UU/UO</t>
  </si>
  <si>
    <t>1. Ringkasan (Rp juta)</t>
  </si>
  <si>
    <t>Budget (Rp jt)</t>
  </si>
  <si>
    <t>Material eksternal + konversi (tanpa bahan antarproduk)</t>
  </si>
  <si>
    <t>Budget Lain-lain di BP masih nilai beku dan tidak memuat bahan antarproduk</t>
  </si>
  <si>
    <t>Bahan antarproduk (FCC premium, KW 2)</t>
  </si>
  <si>
    <t xml:space="preserve">  di dalamnya: konversi (DL + FOH)</t>
  </si>
  <si>
    <t>Total biaya produksi = HPP Lain-lain</t>
  </si>
  <si>
    <t>Output (kg)</t>
  </si>
  <si>
    <t>Biaya per kg (Rp)</t>
  </si>
  <si>
    <t>Pendapatan Others: retail &amp; maklon + KW 2 berbumbu (Rp jt; BP Data Aktual P68 + P65)</t>
  </si>
  <si>
    <t>Margin kotor Others (Rp jt; %)</t>
  </si>
  <si>
    <t>2. Input per kelompok produk (Lampiran: kartu LAP di WP lama)</t>
  </si>
  <si>
    <t>Kelompok produk</t>
  </si>
  <si>
    <t>Lini bahan utama (akun varian)</t>
  </si>
  <si>
    <t>Input FCC premium (kg)</t>
  </si>
  <si>
    <t>Input KW 2 FCC (kg)</t>
  </si>
  <si>
    <t>Input KW 2 ubi (kg)</t>
  </si>
  <si>
    <t>Material eksternal (Rp)</t>
  </si>
  <si>
    <t>Bulan aktif Jan–Agu</t>
  </si>
  <si>
    <t>Kartu sumber</t>
  </si>
  <si>
    <t>Cem-cem ORI</t>
  </si>
  <si>
    <t>Singkong</t>
  </si>
  <si>
    <t>Agu</t>
  </si>
  <si>
    <t>LAP BAG CEMCEM ORI</t>
  </si>
  <si>
    <t>Bumbu Seors 295,83 kg belum berharga (harga 0)</t>
  </si>
  <si>
    <t>Cem-cem BBQ</t>
  </si>
  <si>
    <t>LAP BAG CEMCEM BBQ</t>
  </si>
  <si>
    <t>Bumbu BBQ 335,2 kg belum berharga; kWh sama persis dengan ORI</t>
  </si>
  <si>
    <t>Koperasi (KW 2 berbumbu, 11 SKU)</t>
  </si>
  <si>
    <t>Jan–Agu</t>
  </si>
  <si>
    <t>Bagging Kop</t>
  </si>
  <si>
    <t>Input KW 2 di kartu lama bernilai nol</t>
  </si>
  <si>
    <t>Maicih basreng (maklon, 3 SKU)</t>
  </si>
  <si>
    <t>Singkong (maklon)</t>
  </si>
  <si>
    <t>Jan–Agu, tidak tiap bulan</t>
  </si>
  <si>
    <t>LAP BAG MAICIH BASRENG L.0/5/10 LOK</t>
  </si>
  <si>
    <t>Basreng, polyfilm, karton dari pelanggan</t>
  </si>
  <si>
    <t>Maicih keripik (LV 3 &amp; 10)</t>
  </si>
  <si>
    <t>Jan–Agu kecuali Jun</t>
  </si>
  <si>
    <t>LAP BAG MAICIH KERIPIK LV 3/10</t>
  </si>
  <si>
    <t>Nama kartu di Labor (M) dan Overhead Allocation (SA) berbeda</t>
  </si>
  <si>
    <t>Maicih keripik LV 5</t>
  </si>
  <si>
    <t>Jan–Jul kecuali Jun</t>
  </si>
  <si>
    <t>LAP BAG MAICIH KERIPIK LV 5</t>
  </si>
  <si>
    <t>Tidak aktif di Agustus</t>
  </si>
  <si>
    <t>FCC Maicih</t>
  </si>
  <si>
    <t>Jan, Feb, Jul</t>
  </si>
  <si>
    <t>FCC MAICIH</t>
  </si>
  <si>
    <t>FCC Putih</t>
  </si>
  <si>
    <t>FCCPUTIH</t>
  </si>
  <si>
    <t>Kecimpring (goreng &amp; bagging)</t>
  </si>
  <si>
    <t>Jan, Feb</t>
  </si>
  <si>
    <t>LAP GORENG/BAGGING KECIMPRING, KECIMPRING BMG/Sani</t>
  </si>
  <si>
    <t>Whole chips rempah 15/90 gr</t>
  </si>
  <si>
    <t>Jul</t>
  </si>
  <si>
    <t>LAP WHOLE CHIPS REMPAH 15GR/90GR</t>
  </si>
  <si>
    <t>Maxi (pellet &amp; goreng)</t>
  </si>
  <si>
    <t>Singkong – cek bahan</t>
  </si>
  <si>
    <t>PELELT MAXI BIONIC, LAP GORENG MAXI 3X3</t>
  </si>
  <si>
    <t>Pellet ubi ungu FG (1,2x1,5 &amp; 3x3)</t>
  </si>
  <si>
    <t>Jan, Jun</t>
  </si>
  <si>
    <t>PELELT UBI UNGU FG 1.2x1.5 / 3x3</t>
  </si>
  <si>
    <t>Keripik ubi ungu retail (goreng, bagging bakar/ori, NYEE)</t>
  </si>
  <si>
    <t>Jan, Feb, Apr</t>
  </si>
  <si>
    <t>LAP GORENG UBI UNGU 1.2x1.5, LAP BAGGING UU BAKAR/ORI, NYEE</t>
  </si>
  <si>
    <t>Whole chips ubi ungu 15/90 gr</t>
  </si>
  <si>
    <t>LAP WHOLECHIPS UU 15GR/90GR</t>
  </si>
  <si>
    <t>Umbiis (goreng &amp; bagging)</t>
  </si>
  <si>
    <t>Ubi Ungu – cek bahan</t>
  </si>
  <si>
    <t>LAP GORENG/BAGGING UMBIIS</t>
  </si>
  <si>
    <t>Ubi ungu chips</t>
  </si>
  <si>
    <t>Ubi Ungu Chips</t>
  </si>
  <si>
    <t>Pellet ubi orange FG 3x3</t>
  </si>
  <si>
    <t>PELLET UBI ORANGE FG 3x3</t>
  </si>
  <si>
    <t>Ubi orange chips</t>
  </si>
  <si>
    <t>Ubi Orange Chips</t>
  </si>
  <si>
    <t>Pellet lainnya</t>
  </si>
  <si>
    <t>Cek bahan</t>
  </si>
  <si>
    <t>Pellet (baris Labor tanpa rincian)</t>
  </si>
  <si>
    <t>Ubi putih &amp; talas chips</t>
  </si>
  <si>
    <t>Singkong (lain)</t>
  </si>
  <si>
    <t>Ubi Putih Chips, Talas Chips</t>
  </si>
  <si>
    <t>WRP (Delichips, Mixfruit, chips) – maklon</t>
  </si>
  <si>
    <t>Apr, Jun, Jul</t>
  </si>
  <si>
    <t>LAP BAG WRP DELICHIPS/MIXFRUIT, WRP Chips</t>
  </si>
  <si>
    <t>3. Biaya produksi per kelompok (Rp)</t>
  </si>
  <si>
    <t>FCC premium</t>
  </si>
  <si>
    <t>Material eksternal</t>
  </si>
  <si>
    <t>DL (Grup A)</t>
  </si>
  <si>
    <t>FOH (Grup B–E)</t>
  </si>
  <si>
    <t>Total biaya</t>
  </si>
  <si>
    <t>4. Kontrol</t>
  </si>
  <si>
    <t>Man-hour Lain-lain = driver di BIAYA BERSAMA</t>
  </si>
  <si>
    <t>kWh Lain-lain = driver di BIAYA BERSAMA</t>
  </si>
  <si>
    <t>Konversi teralokasi = pool Lain-lain</t>
  </si>
  <si>
    <t>Dasar pembagian: DL dan IDL per man-hour, energi dan mesin per kWh, pabrik umum per nilai material eksternal, di dalam pool Lain-lain dari BIAYA BERSAMA.</t>
  </si>
  <si>
    <t>BIAYA BERSAMA PABRIK – Agustus 2026</t>
  </si>
  <si>
    <t>Saldo GL biaya konversi pabrik → pool → driver per produk → alokasi. Semua pool habis dialokasikan (penyerapan penuh), kecuali jam menganggur bila parameter di bagian 6 diaktifkan.</t>
  </si>
  <si>
    <t>1. Saldo akun biaya pabrik – GL Agustus 2026 (Rp)</t>
  </si>
  <si>
    <t>Kode</t>
  </si>
  <si>
    <t>Nama akun</t>
  </si>
  <si>
    <t>Agu-26 (Rp)</t>
  </si>
  <si>
    <t>Pool</t>
  </si>
  <si>
    <t>Akun baru mulai Okt-26</t>
  </si>
  <si>
    <t>5101-002</t>
  </si>
  <si>
    <t>COGM - DL - Biaya Upah Langsung Pabrik</t>
  </si>
  <si>
    <t>Dipecah (bagian 2)</t>
  </si>
  <si>
    <t>5101-111/121/131/141</t>
  </si>
  <si>
    <t>TB Accurate Agu-26</t>
  </si>
  <si>
    <t>5101-003</t>
  </si>
  <si>
    <t>COGM - DL - THR &amp; Bonus Pabrik</t>
  </si>
  <si>
    <t>5101-112/113/122/132/133/142/143</t>
  </si>
  <si>
    <t>5101-004</t>
  </si>
  <si>
    <t>COGM - DL - Pesangon Pabrik</t>
  </si>
  <si>
    <t>Grup A</t>
  </si>
  <si>
    <t>5101-150</t>
  </si>
  <si>
    <t>5101-005</t>
  </si>
  <si>
    <t>COGM - DL - Biaya Jamsostek Pabrik</t>
  </si>
  <si>
    <t>5101-114/124/134/144</t>
  </si>
  <si>
    <t>5101-006</t>
  </si>
  <si>
    <t>COGM - OHP - Biaya Listrik Pabrik</t>
  </si>
  <si>
    <t>Grup C</t>
  </si>
  <si>
    <t>5101-007</t>
  </si>
  <si>
    <t>COGM - OHP - Biaya Air Pabrik</t>
  </si>
  <si>
    <t>5101-008</t>
  </si>
  <si>
    <t>COGM - OHP - Biaya Utilitas Pabrik</t>
  </si>
  <si>
    <t>5101-009</t>
  </si>
  <si>
    <t>COGM - OHP - Biaya Rumah Tangga Pabrik</t>
  </si>
  <si>
    <t>Grup E</t>
  </si>
  <si>
    <t>5101-010</t>
  </si>
  <si>
    <t>COGM - OHP - Biaya Perbaikan &amp; Pemeliharaan Mesin</t>
  </si>
  <si>
    <t>Grup D</t>
  </si>
  <si>
    <t>5101-011</t>
  </si>
  <si>
    <t>COGM - OHP - Biaya Perbaikan &amp; Pemeliharaan Pabrik</t>
  </si>
  <si>
    <t>5101-012</t>
  </si>
  <si>
    <t>COGM - OHP - Biaya Perbaikan &amp; Pemeliharaan Inventaris Pabrik</t>
  </si>
  <si>
    <t>5101-013</t>
  </si>
  <si>
    <t>COGM - OHP - Biaya Peny. Mesin Gol 1</t>
  </si>
  <si>
    <t>5101-014</t>
  </si>
  <si>
    <t>COGM - OHP - Biaya Peny. Mesin Gol 2</t>
  </si>
  <si>
    <t>5101-016</t>
  </si>
  <si>
    <t>COGM - OHP - Biaya Pabrikasi &amp; Pengiriman</t>
  </si>
  <si>
    <t>6500-006</t>
  </si>
  <si>
    <t>COGM - OHP - Biaya Peny. Inventaris Pabrik Gol 1</t>
  </si>
  <si>
    <t>5101-017</t>
  </si>
  <si>
    <t>6500-007</t>
  </si>
  <si>
    <t>COGM - OHP - Biaya Peny. Inventaris Pabrik Gol 2</t>
  </si>
  <si>
    <t>Total biaya konversi pabrik</t>
  </si>
  <si>
    <t>Referensi: BP Model Details Q173</t>
  </si>
  <si>
    <t>Untuk kontrol</t>
  </si>
  <si>
    <t>2. Rincian upah 5101-002 per kelompok, dan pembagian THR/BPJS (sementara sampai akun payroll baru aktif)</t>
  </si>
  <si>
    <t>Kelompok</t>
  </si>
  <si>
    <t>Unit / departemen</t>
  </si>
  <si>
    <t>Operator harian</t>
  </si>
  <si>
    <t>Unit I</t>
  </si>
  <si>
    <t>WP CoGM Agu, Labor!E6</t>
  </si>
  <si>
    <t>Unit II</t>
  </si>
  <si>
    <t>Labor!E7</t>
  </si>
  <si>
    <t>Unit III</t>
  </si>
  <si>
    <t>Labor!E8</t>
  </si>
  <si>
    <t>Support harian</t>
  </si>
  <si>
    <t>QC</t>
  </si>
  <si>
    <t>Grup B</t>
  </si>
  <si>
    <t>Labor!E9</t>
  </si>
  <si>
    <t>Formulasi</t>
  </si>
  <si>
    <t>Labor!E10</t>
  </si>
  <si>
    <t>RnD</t>
  </si>
  <si>
    <t>Labor!E11</t>
  </si>
  <si>
    <t>Engineering</t>
  </si>
  <si>
    <t>Labor!E12</t>
  </si>
  <si>
    <t>PPIC</t>
  </si>
  <si>
    <t>Labor!E13</t>
  </si>
  <si>
    <t>Gudang</t>
  </si>
  <si>
    <t>Labor!E14</t>
  </si>
  <si>
    <t>HRGA</t>
  </si>
  <si>
    <t>Labor!E15</t>
  </si>
  <si>
    <t>Agro</t>
  </si>
  <si>
    <t>Labor!E16</t>
  </si>
  <si>
    <t>Borongan kupas</t>
  </si>
  <si>
    <t>Kupas singkong</t>
  </si>
  <si>
    <t>Kupas</t>
  </si>
  <si>
    <t>Labor!J6</t>
  </si>
  <si>
    <t>Kupas ubi</t>
  </si>
  <si>
    <t>Labor!J7</t>
  </si>
  <si>
    <t>Staf bulanan pabrik</t>
  </si>
  <si>
    <t>Semua departemen pabrik</t>
  </si>
  <si>
    <t>BP Model Details Q134 (register payroll)</t>
  </si>
  <si>
    <t>Subtotal rekap payroll</t>
  </si>
  <si>
    <t>GL 5101-002</t>
  </si>
  <si>
    <t>Selisih GL − rekap (belum terpetakan, sementara di Grup A)</t>
  </si>
  <si>
    <t>Parameter: kupas ikut THR &amp; BPJS? (1 = ya, 0 = tidak)</t>
  </si>
  <si>
    <t>Lihat sheet ASUMSI no. 3</t>
  </si>
  <si>
    <t>Basis pembagian THR &amp; BPJS</t>
  </si>
  <si>
    <t>Upah/gaji pokok</t>
  </si>
  <si>
    <t>Porsi</t>
  </si>
  <si>
    <t>THR (5101-003)</t>
  </si>
  <si>
    <t>BPJS (5101-005)</t>
  </si>
  <si>
    <t>3. Pool biaya pabrik</t>
  </si>
  <si>
    <t>Sifat biaya</t>
  </si>
  <si>
    <t>Driver alokasi</t>
  </si>
  <si>
    <t>Grup A – DL operator</t>
  </si>
  <si>
    <t>Upah harian operator</t>
  </si>
  <si>
    <t>Semi-variabel</t>
  </si>
  <si>
    <t>THR operator</t>
  </si>
  <si>
    <t>Tetap</t>
  </si>
  <si>
    <t>BPJS operator</t>
  </si>
  <si>
    <t>Pesangon pabrik (5101-004)</t>
  </si>
  <si>
    <t>Selisih GL vs rekap payroll (belum terpetakan)</t>
  </si>
  <si>
    <t>Upah borongan kupas</t>
  </si>
  <si>
    <t>Variabel</t>
  </si>
  <si>
    <t>Kg dikupas</t>
  </si>
  <si>
    <t>THR &amp; BPJS kupas</t>
  </si>
  <si>
    <t>Grup B – IDL</t>
  </si>
  <si>
    <t>Upah harian support</t>
  </si>
  <si>
    <t>Gaji staf bulanan pabrik</t>
  </si>
  <si>
    <t>THR support &amp; staf</t>
  </si>
  <si>
    <t>BPJS support &amp; staf</t>
  </si>
  <si>
    <t>Grup C – energi &amp; utilitas</t>
  </si>
  <si>
    <t>Listrik (5101-006)</t>
  </si>
  <si>
    <t>Air (5101-007)</t>
  </si>
  <si>
    <t>Utilitas (5101-008)</t>
  </si>
  <si>
    <t>Grup D – mesin</t>
  </si>
  <si>
    <t>Pemeliharaan mesin (5101-010)</t>
  </si>
  <si>
    <t>Penyusutan mesin Gol 1 (5101-013)</t>
  </si>
  <si>
    <t>Penyusutan mesin Gol 2 (5101-014)</t>
  </si>
  <si>
    <t>Grup E – pabrik umum</t>
  </si>
  <si>
    <t>Rumah tangga pabrik (5101-009)</t>
  </si>
  <si>
    <t>Nilai material</t>
  </si>
  <si>
    <t>Pemeliharaan pabrik (5101-011)</t>
  </si>
  <si>
    <t>Pemeliharaan inventaris pabrik (5101-012)</t>
  </si>
  <si>
    <t>Pabrikasi &amp; pengiriman (5101-016)</t>
  </si>
  <si>
    <t>Penyusutan inventaris pabrik Gol 1 (6500-006)</t>
  </si>
  <si>
    <t>Penyusutan inventaris pabrik Gol 2 (6500-007)</t>
  </si>
  <si>
    <t>Ringkasan pool</t>
  </si>
  <si>
    <t>Variabel + semi</t>
  </si>
  <si>
    <t>Total pool</t>
  </si>
  <si>
    <t>4. Driver alokasi per produk (diambil dari sheet produk)</t>
  </si>
  <si>
    <t>Driver</t>
  </si>
  <si>
    <t>Labor!D30:D73 lewat sheet produk</t>
  </si>
  <si>
    <t>Labor!I6 lewat sheet produk</t>
  </si>
  <si>
    <t>Overhead Allocation!D6:D48 lewat sheet produk</t>
  </si>
  <si>
    <t>Material eksternal di sheet produk</t>
  </si>
  <si>
    <t>Volume produksi (metode budget)</t>
  </si>
  <si>
    <t>Produksi bulan ini di sheet produk</t>
  </si>
  <si>
    <t xml:space="preserve">  Man-hour</t>
  </si>
  <si>
    <t xml:space="preserve">  Kg dikupas</t>
  </si>
  <si>
    <t xml:space="preserve">  kWh</t>
  </si>
  <si>
    <t xml:space="preserve">  Nilai material</t>
  </si>
  <si>
    <t xml:space="preserve">  Volume produksi (metode budget)</t>
  </si>
  <si>
    <t>5. Kapasitas tenaga kerja: jam dibayar vs jam yang dipakai produk (PSAK 202: biaya kapasitas menganggur di atas normal adalah beban periode)</t>
  </si>
  <si>
    <t>Agu-26</t>
  </si>
  <si>
    <t>Jam kerja operator dibayar (Unit I)</t>
  </si>
  <si>
    <t>Labor!D6</t>
  </si>
  <si>
    <t>Jam yang dicatat ke produk</t>
  </si>
  <si>
    <t>Jam tidak terpakai untuk produk</t>
  </si>
  <si>
    <t>Biaya Grup A per jam dibayar</t>
  </si>
  <si>
    <t>Rp/jam</t>
  </si>
  <si>
    <t>Biaya jam tidak terpakai</t>
  </si>
  <si>
    <t>Parameter: bebankan ke periode? (1 = ya, 0 = tetap diserap produk)</t>
  </si>
  <si>
    <t>Keputusan kebijakan kapasitas normal; lihat ASUMSI no. 9</t>
  </si>
  <si>
    <t>Dibebankan ke periode (tidak masuk kartu produk)</t>
  </si>
  <si>
    <t>6. Alokasi pool ke produk – aktual (Rp)</t>
  </si>
  <si>
    <t>Pool dialokasikan</t>
  </si>
  <si>
    <t>6b. Pembanding: alokasi yang sama dengan metode budget (volume untuk Grup A, B, C) – dipakai untuk efek metode</t>
  </si>
  <si>
    <t>7. Cek sheet ini</t>
  </si>
  <si>
    <t>Total pool − total GL</t>
  </si>
  <si>
    <t>Total GL − referensi BP Q173</t>
  </si>
  <si>
    <t>Alokasi aktual habis</t>
  </si>
  <si>
    <t>Alokasi pembanding habis</t>
  </si>
  <si>
    <t>Status sheet</t>
  </si>
  <si>
    <t>REKAP, REKONSILIASI KE GL, DAN KONTROL – Agustus 2026</t>
  </si>
  <si>
    <t>Semua produk dijumlahkan dan dicocokkan ke GL. Biru = input (lampiran), hijau = tautan antarsheet, hitam = rumus. Ringkasan dalam Rp juta; rincian dalam Rp.</t>
  </si>
  <si>
    <t>1. Rekap semua produk (Rp juta)</t>
  </si>
  <si>
    <t>Budget total</t>
  </si>
  <si>
    <t>Rp per kg produksi</t>
  </si>
  <si>
    <t>Pendapatan (dikelompokkan sejalan dengan biaya)</t>
  </si>
  <si>
    <t>Margin kotor per produk (%)</t>
  </si>
  <si>
    <t>Budget HPP memakai bulan yang dipilih di masing-masing sheet dan volume budget. Margin di atas belum termasuk pos di bagian 3 yang tidak dibagi ke produk.</t>
  </si>
  <si>
    <t>Pendapatan: FCC = premium IFM + KW 2 tawar; Others = retail &amp; maklon + KW 2 berbumbu. Total sama dengan GL. BP baris 10–13 saat ini menghitung KW 2 dua kali (Rp 107,9 jt di Agustus).</t>
  </si>
  <si>
    <t>2. Material semua produk vs pemakaian GL, dan varian per akun (Rp juta)</t>
  </si>
  <si>
    <t>Produk / lini</t>
  </si>
  <si>
    <t>Material kartu</t>
  </si>
  <si>
    <t>Varian sementara</t>
  </si>
  <si>
    <t>Akun varian mulai Okt-26</t>
  </si>
  <si>
    <t>5101-301 Varian Produksi Singkong</t>
  </si>
  <si>
    <t>Ubi Ungu IFM</t>
  </si>
  <si>
    <t>5101-302 Varian Produksi Ubi Ungu</t>
  </si>
  <si>
    <t>Ubi Orange IFM</t>
  </si>
  <si>
    <t>5101-303 Varian Produksi Ubi Orange</t>
  </si>
  <si>
    <t>Lain-lain lini singkong (termasuk maklon)</t>
  </si>
  <si>
    <t>Lain-lain lini ubi ungu</t>
  </si>
  <si>
    <t>Lain-lain lini ubi orange</t>
  </si>
  <si>
    <t>Total material kartu</t>
  </si>
  <si>
    <t>Pemakaian bahan baku menurut GL</t>
  </si>
  <si>
    <t>BP DATA - GL Aktual 2026 J43</t>
  </si>
  <si>
    <t xml:space="preserve">  5101-301 Varian Produksi Singkong</t>
  </si>
  <si>
    <t xml:space="preserve">  5101-302 Varian Produksi Ubi Ungu</t>
  </si>
  <si>
    <t xml:space="preserve">  5101-303 Varian Produksi Ubi Orange</t>
  </si>
  <si>
    <t>Pembagian ke lini sementara memakai porsi kartu, karena GL belum memisahkan pemakaian per jenis bahan. Mulai Okt-26 dihitung per jenis bahan (akun 5101-201 s/d 207).</t>
  </si>
  <si>
    <t>3. Rekonsiliasi HPP semua produk ke HPP GL (Rp juta)</t>
  </si>
  <si>
    <t>Total HPP kartu baru, semua produk</t>
  </si>
  <si>
    <t>+ Varian material (GL − kartu)</t>
  </si>
  <si>
    <t>+ Kenaikan persediaan WIP &amp; FG menurut kartu baru (FCC, UU, UO)</t>
  </si>
  <si>
    <t>− Kenaikan persediaan WIP &amp; FG menurut GL (1106-002, 1106-003)</t>
  </si>
  <si>
    <t>+ Kenaikan persediaan KW 2 pada NRV (tidak dicatat di GL)</t>
  </si>
  <si>
    <t>+ Biaya jam menganggur dibebankan ke periode (BIAYA BERSAMA bagian 5)</t>
  </si>
  <si>
    <t>HPP menurut rekonsiliasi</t>
  </si>
  <si>
    <t>HPP blended menurut GL (BP baris 87)</t>
  </si>
  <si>
    <t>Cek: HPP GL − HPP rekonsiliasi (harus nol)</t>
  </si>
  <si>
    <t>Informasi: selisih kenaikan persediaan kartu baru vs GL</t>
  </si>
  <si>
    <t>Selisih kenaikan persediaan berasal dari dasar penilaian (kartu baru penuh vs Accurate), item tanpa kartu di Accurate, dan residu nilai tanpa kuantitas.</t>
  </si>
  <si>
    <t>4. Aliran KW 2 pada NRV – memo produk sampingan (Rp juta)</t>
  </si>
  <si>
    <t>Rp jt</t>
  </si>
  <si>
    <t>Masuk: KW 2 dari produksi FCC</t>
  </si>
  <si>
    <t>Keluar: bahan Lain-lain (koperasi, Maicih keripik)</t>
  </si>
  <si>
    <t>Keluar: KW 2 tawar terjual ke KGS (HPP pada NRV)</t>
  </si>
  <si>
    <t>Kenaikan persediaan KW 2 (hitungan)</t>
  </si>
  <si>
    <t>5. Semua kontrol</t>
  </si>
  <si>
    <t>Konversi di semua kartu = total pool − jam menganggur</t>
  </si>
  <si>
    <t>Material kartu + varian = pemakaian GL</t>
  </si>
  <si>
    <t>Rekonsiliasi HPP ke GL</t>
  </si>
  <si>
    <t>Lini Lain-lain = material eksternal Lain-lain</t>
  </si>
  <si>
    <t>Pendapatan semua produk = pendapatan GL (Rp 9.793,1 jt)</t>
  </si>
  <si>
    <t>Sheet BIAYA BERSAMA</t>
  </si>
  <si>
    <t>Sheet FCC</t>
  </si>
  <si>
    <t>Sheet UU</t>
  </si>
  <si>
    <t>Sheet UO</t>
  </si>
  <si>
    <t>Sheet LAIN-LAIN</t>
  </si>
  <si>
    <t>STATUS SEMUA SHEET</t>
  </si>
  <si>
    <t>DAFTAR ASUMSI DAN SUMBER</t>
  </si>
  <si>
    <t>Setiap angka yang bukan aktual dari GL/laporan produksi. Status: Aktual / Estimasi / [TBC] = perlu konfirmasi.</t>
  </si>
  <si>
    <t>No</t>
  </si>
  <si>
    <t>Asumsi</t>
  </si>
  <si>
    <t>Dasar</t>
  </si>
  <si>
    <t>Pemilik</t>
  </si>
  <si>
    <t>Terdokumentasi?</t>
  </si>
  <si>
    <t>Dipakai di</t>
  </si>
  <si>
    <t>Sistem biaya</t>
  </si>
  <si>
    <t>Biaya aktual, penyerapan penuh</t>
  </si>
  <si>
    <t>Kartu menyerap seluruh pool pabrik GL; overhead dialokasikan dengan driver aktual bulan berjalan (bukan tarif ditetapkan)</t>
  </si>
  <si>
    <t>Finance (costing)</t>
  </si>
  <si>
    <t>Usulan</t>
  </si>
  <si>
    <t>Belum</t>
  </si>
  <si>
    <t>Semua sheet produk</t>
  </si>
  <si>
    <t>Pembagian 5101-002 per kelompok</t>
  </si>
  <si>
    <t>Rekap sheet Labor + register payroll staf</t>
  </si>
  <si>
    <t>Akun payroll per kelompok baru aktif Okt-26</t>
  </si>
  <si>
    <t>HR / Finance</t>
  </si>
  <si>
    <t>Sebagian</t>
  </si>
  <si>
    <t>BIAYA BERSAMA 2</t>
  </si>
  <si>
    <t>Kupas ikut THR &amp; BPJS</t>
  </si>
  <si>
    <t>0 (tidak)</t>
  </si>
  <si>
    <t>THR pabrik 2026 ≈ 1x rata-rata upah Jan–Mar tanpa kupas</t>
  </si>
  <si>
    <t>HR</t>
  </si>
  <si>
    <t>[TBC]</t>
  </si>
  <si>
    <t>Pembagian THR &amp; BPJS antarkelompok</t>
  </si>
  <si>
    <t>Pro rata upah/gaji pokok</t>
  </si>
  <si>
    <t>Akun THR/BPJS belum terpisah per kelompok</t>
  </si>
  <si>
    <t>Finance</t>
  </si>
  <si>
    <t>Rp 9.777,27/kg</t>
  </si>
  <si>
    <t>Harga KW 2 ke KGS tertimbang Jan–Agu (tawar + berbumbu), tanpa pengurang biaya jual</t>
  </si>
  <si>
    <t>Commercial / Finance</t>
  </si>
  <si>
    <t>FCC, LAIN-LAIN</t>
  </si>
  <si>
    <t>22,2967 m3 per MMBTU</t>
  </si>
  <si>
    <t>Uji 12 invoice (catatan proyek CNG)</t>
  </si>
  <si>
    <t>Purchasing</t>
  </si>
  <si>
    <t>Ya (catatan)</t>
  </si>
  <si>
    <t>FCC, UU, UO</t>
  </si>
  <si>
    <t>Nilai KW 2 ubi sebagai bahan Lain-lain</t>
  </si>
  <si>
    <t>Rp 0/kg</t>
  </si>
  <si>
    <t>UU/UO tidak mencatat KW 2 di kartu; tidak ada kredit NRV</t>
  </si>
  <si>
    <t>Produksi / Finance</t>
  </si>
  <si>
    <t>LAIN-LAIN</t>
  </si>
  <si>
    <t>A, B: man-hour; C, D: kWh; E: nilai material; kupas: kg dikupas</t>
  </si>
  <si>
    <t>Data kartu Labor dan Overhead Allocation</t>
  </si>
  <si>
    <t>BIAYA BERSAMA 6</t>
  </si>
  <si>
    <t>Kapasitas normal tenaga kerja</t>
  </si>
  <si>
    <t>Jam dibayar Unit I; jam tak terpakai tetap diserap (parameter 0)</t>
  </si>
  <si>
    <t>Belum ada penetapan kapasitas normal (PSAK 202)</t>
  </si>
  <si>
    <t>BIAYA BERSAMA 5</t>
  </si>
  <si>
    <t>Nilai WIP awal FCC Agustus</t>
  </si>
  <si>
    <t>Nilai kartu lama (penyerapan parsial)</t>
  </si>
  <si>
    <t>Hanya untuk bulan percontohan; berikutnya WIP akhir kartu baru</t>
  </si>
  <si>
    <t>FCC 2c</t>
  </si>
  <si>
    <t>Harga material</t>
  </si>
  <si>
    <t>Sheet Average Price WP lama</t>
  </si>
  <si>
    <t>Target: laporan nilai persediaan Accurate</t>
  </si>
  <si>
    <t>Finance / Gudang</t>
  </si>
  <si>
    <t>Lampiran B</t>
  </si>
  <si>
    <t>Nilai tanpa kuantitas di Accurate</t>
  </si>
  <si>
    <t>Tidak ikut rata-rata FG</t>
  </si>
  <si>
    <t>Residu penilaian; perlu dibersihkan di Accurate</t>
  </si>
  <si>
    <t>UU, UO bagian 3</t>
  </si>
  <si>
    <t>Lain-lain: diproduksi = dijual</t>
  </si>
  <si>
    <t>HPP = biaya produksi</t>
  </si>
  <si>
    <t>Belum ada roll-forward persediaan Lain-lain</t>
  </si>
  <si>
    <t>Lini bahan utama produk Maxi, Umbiis, Pellet lainnya</t>
  </si>
  <si>
    <t>Ditandai "cek bahan"</t>
  </si>
  <si>
    <t>Belum ada konfirmasi bahan</t>
  </si>
  <si>
    <t>Produksi</t>
  </si>
  <si>
    <t>LAIN-LAIN 2</t>
  </si>
  <si>
    <t>BUDGET – ekstrak dari Business Plan v2 (sheet Business Plan - Model Details, kolom R:AG)</t>
  </si>
  <si>
    <t>Nilai ditempel dari BP, bukan tautan. Dipakai sebagai pembanding di sheet produk (bulan dipilih di masing-masing sheet).</t>
  </si>
  <si>
    <t>Baris MD</t>
  </si>
  <si>
    <t>Sep-26</t>
  </si>
  <si>
    <t>Nov-26</t>
  </si>
  <si>
    <t>Des-26</t>
  </si>
  <si>
    <t>Jan-27</t>
  </si>
  <si>
    <t>Feb-27</t>
  </si>
  <si>
    <t>Mar-27</t>
  </si>
  <si>
    <t>Apr-27</t>
  </si>
  <si>
    <t>Mei-27</t>
  </si>
  <si>
    <t>Jun-27</t>
  </si>
  <si>
    <t>Jul-27</t>
  </si>
  <si>
    <t>Agu-27</t>
  </si>
  <si>
    <t>Sep-27</t>
  </si>
  <si>
    <t>Okt-27</t>
  </si>
  <si>
    <t>Nov-27</t>
  </si>
  <si>
    <t>Des-27</t>
  </si>
  <si>
    <t>Flat Cassava Chips (FCC)</t>
  </si>
  <si>
    <t>MD411</t>
  </si>
  <si>
    <t>Premium / layak jual</t>
  </si>
  <si>
    <t>MD412</t>
  </si>
  <si>
    <t>MD413</t>
  </si>
  <si>
    <t>MD414</t>
  </si>
  <si>
    <t>WIP from Premium/Layak Jual</t>
  </si>
  <si>
    <t>MD417</t>
  </si>
  <si>
    <t>Target Volume Penjualan/Layak Jual</t>
  </si>
  <si>
    <t>MD418</t>
  </si>
  <si>
    <t>MD419</t>
  </si>
  <si>
    <t>MD420</t>
  </si>
  <si>
    <t>WIP</t>
  </si>
  <si>
    <t>MD421</t>
  </si>
  <si>
    <t>Target output Produksi</t>
  </si>
  <si>
    <t>MD424</t>
  </si>
  <si>
    <t>Overall yield singkong to Output</t>
  </si>
  <si>
    <t>MD425</t>
  </si>
  <si>
    <t>Total Kebutuhan equivalent to singkong kulit</t>
  </si>
  <si>
    <t>MD427</t>
  </si>
  <si>
    <t>Portion</t>
  </si>
  <si>
    <t>MD429</t>
  </si>
  <si>
    <t>MD430</t>
  </si>
  <si>
    <t>Avg Price</t>
  </si>
  <si>
    <t>MD431</t>
  </si>
  <si>
    <t>Total Singkong Kulit Premium Input</t>
  </si>
  <si>
    <t>MD433</t>
  </si>
  <si>
    <t>Portion - from overall singkong kulit</t>
  </si>
  <si>
    <t>MD435</t>
  </si>
  <si>
    <t>MD436</t>
  </si>
  <si>
    <t>MD437</t>
  </si>
  <si>
    <t>Total Singkong daging</t>
  </si>
  <si>
    <t>MD438</t>
  </si>
  <si>
    <t>Yield equivalent from singkong kulit to Daging</t>
  </si>
  <si>
    <t>MD441</t>
  </si>
  <si>
    <t>Yield target</t>
  </si>
  <si>
    <t>MD442</t>
  </si>
  <si>
    <t>MD443</t>
  </si>
  <si>
    <t>MD444</t>
  </si>
  <si>
    <t>MD446</t>
  </si>
  <si>
    <t>MD447</t>
  </si>
  <si>
    <t>MD449</t>
  </si>
  <si>
    <t>MD452</t>
  </si>
  <si>
    <t>MD453</t>
  </si>
  <si>
    <t>MD454</t>
  </si>
  <si>
    <t>Amonium Bicarbonate</t>
  </si>
  <si>
    <t>MD457</t>
  </si>
  <si>
    <t>MD458</t>
  </si>
  <si>
    <t>MD459</t>
  </si>
  <si>
    <t>MD462</t>
  </si>
  <si>
    <t>MD463</t>
  </si>
  <si>
    <t>MD464</t>
  </si>
  <si>
    <t>MD467</t>
  </si>
  <si>
    <t>MD468</t>
  </si>
  <si>
    <t>MD469</t>
  </si>
  <si>
    <t>MD472</t>
  </si>
  <si>
    <t>MD473</t>
  </si>
  <si>
    <t>MD474</t>
  </si>
  <si>
    <t>IFM Packaging</t>
  </si>
  <si>
    <t>MD477</t>
  </si>
  <si>
    <t>Total Cost</t>
  </si>
  <si>
    <t>MD479</t>
  </si>
  <si>
    <t>Singkong Kulit</t>
  </si>
  <si>
    <t>MD480</t>
  </si>
  <si>
    <t>Rendeman Kupas</t>
  </si>
  <si>
    <t>MD481</t>
  </si>
  <si>
    <t>Dikupas</t>
  </si>
  <si>
    <t>MD482</t>
  </si>
  <si>
    <t>Upah Kupas/KG</t>
  </si>
  <si>
    <t>MD483</t>
  </si>
  <si>
    <t>Total Upah Kupas</t>
  </si>
  <si>
    <t>MD485</t>
  </si>
  <si>
    <t>Grup A - tenaga kerja langsung</t>
  </si>
  <si>
    <t>MD486</t>
  </si>
  <si>
    <t>Grup B - tenaga kerja tidak langsung &amp; benefit</t>
  </si>
  <si>
    <t>MD487</t>
  </si>
  <si>
    <t>Grup C - energi &amp; utilitas pabrik</t>
  </si>
  <si>
    <t>MD488</t>
  </si>
  <si>
    <t>Grup D - pemeliharaan &amp; penyusutan mesin</t>
  </si>
  <si>
    <t>MD489</t>
  </si>
  <si>
    <t>Grup E - pabrik umum &amp; penyusutan inventaris</t>
  </si>
  <si>
    <t>MD102</t>
  </si>
  <si>
    <t>Monthly - Coast</t>
  </si>
  <si>
    <t>MD117</t>
  </si>
  <si>
    <t>MD134</t>
  </si>
  <si>
    <t>MD137</t>
  </si>
  <si>
    <t>Direct Labour</t>
  </si>
  <si>
    <t>MD138</t>
  </si>
  <si>
    <t>Indirect Labour</t>
  </si>
  <si>
    <t>MD142</t>
  </si>
  <si>
    <t>MD143</t>
  </si>
  <si>
    <t>MD184</t>
  </si>
  <si>
    <t>Grup A   Tenaga kerja langsung   [driver: upah langsung dibe</t>
  </si>
  <si>
    <t>MD185</t>
  </si>
  <si>
    <t>Grup B   Tenaga kerja tidak langsung, THR, pesangon &amp; jamsos</t>
  </si>
  <si>
    <t>MD186</t>
  </si>
  <si>
    <t>Grup C   Energi &amp; utilitas pabrik   [driver: volume produksi</t>
  </si>
  <si>
    <t>MD187</t>
  </si>
  <si>
    <t>Grup D   Pemeliharaan &amp; penyusutan mesin   [driver: biaya li</t>
  </si>
  <si>
    <t>MD188</t>
  </si>
  <si>
    <t>Grup E   Pabrik umum &amp; penyusutan inventaris   [driver: pema</t>
  </si>
  <si>
    <t>MD202</t>
  </si>
  <si>
    <t>Driver C - volume produksi</t>
  </si>
  <si>
    <t>MD203</t>
  </si>
  <si>
    <t xml:space="preserve">      Flat Chip Cassava</t>
  </si>
  <si>
    <t>MD207</t>
  </si>
  <si>
    <t>Driver D - biaya listrik &amp; air dibebankan di kartu</t>
  </si>
  <si>
    <t>MD208</t>
  </si>
  <si>
    <t>MD212</t>
  </si>
  <si>
    <t>Driver E - pemakaian bahan baku</t>
  </si>
  <si>
    <t>MD213</t>
  </si>
  <si>
    <t>MD507</t>
  </si>
  <si>
    <t>Total Production Cost</t>
  </si>
  <si>
    <t>MD534</t>
  </si>
  <si>
    <t>Keluar - KW 2</t>
  </si>
  <si>
    <t>MD535</t>
  </si>
  <si>
    <t>Keluar - waste</t>
  </si>
  <si>
    <t>MD543</t>
  </si>
  <si>
    <t>Flat Chip Cassava - WA WIP (Rp/kg, setelah KW 2 di NRV)</t>
  </si>
  <si>
    <t>MD544</t>
  </si>
  <si>
    <t>Flat Chip Cassava - WA FG (Rp/kg)</t>
  </si>
  <si>
    <t>MD564</t>
  </si>
  <si>
    <t>COGS - Delivered to customer</t>
  </si>
  <si>
    <t>MD565</t>
  </si>
  <si>
    <t>COGS - Waste</t>
  </si>
  <si>
    <t>MD566</t>
  </si>
  <si>
    <t>total COGS</t>
  </si>
  <si>
    <t>MD204</t>
  </si>
  <si>
    <t xml:space="preserve">      Ubi Ungu</t>
  </si>
  <si>
    <t>MD205</t>
  </si>
  <si>
    <t xml:space="preserve">      Ubi Orange</t>
  </si>
  <si>
    <t>Grup A diselaraskan: DL operator + THR 1/12 + BPJS DL, porsi volume</t>
  </si>
  <si>
    <t>Grup B diselaraskan: support + staf + THR + BPJS IDL, porsi volume</t>
  </si>
  <si>
    <t>Cek: A + B diselaraskan − pool A + B budget (harus nol)</t>
  </si>
  <si>
    <t>Ubi Ungu IFM (QKSP)</t>
  </si>
  <si>
    <t>MD572</t>
  </si>
  <si>
    <t>MD573</t>
  </si>
  <si>
    <t>MD574</t>
  </si>
  <si>
    <t>MD578</t>
  </si>
  <si>
    <t>MD579</t>
  </si>
  <si>
    <t>MD580</t>
  </si>
  <si>
    <t>MD581</t>
  </si>
  <si>
    <t>MD582</t>
  </si>
  <si>
    <t>MD586</t>
  </si>
  <si>
    <t>MD587</t>
  </si>
  <si>
    <t>MD589</t>
  </si>
  <si>
    <t>Total Ubi Ungu</t>
  </si>
  <si>
    <t>MD598</t>
  </si>
  <si>
    <t>MD600</t>
  </si>
  <si>
    <t>MD603</t>
  </si>
  <si>
    <t>MD605</t>
  </si>
  <si>
    <t>MD608</t>
  </si>
  <si>
    <t>MD610</t>
  </si>
  <si>
    <t>MD613</t>
  </si>
  <si>
    <t>MD615</t>
  </si>
  <si>
    <t>MD618</t>
  </si>
  <si>
    <t>MD620</t>
  </si>
  <si>
    <t>HDPE 0,06</t>
  </si>
  <si>
    <t>MD623</t>
  </si>
  <si>
    <t>MD625</t>
  </si>
  <si>
    <t>MD628</t>
  </si>
  <si>
    <t>MD630</t>
  </si>
  <si>
    <t>MD633</t>
  </si>
  <si>
    <t>MD637</t>
  </si>
  <si>
    <t>MD639</t>
  </si>
  <si>
    <t>Upah Kupas</t>
  </si>
  <si>
    <t>MD641</t>
  </si>
  <si>
    <t>MD642</t>
  </si>
  <si>
    <t>MD643</t>
  </si>
  <si>
    <t>MD644</t>
  </si>
  <si>
    <t>MD645</t>
  </si>
  <si>
    <t>MD663</t>
  </si>
  <si>
    <t>MD699</t>
  </si>
  <si>
    <t>Ubi Ungu - WA WIP (Rp/kg, setelah KW 2 di NRV)</t>
  </si>
  <si>
    <t>MD700</t>
  </si>
  <si>
    <t>Ubi Ungu - WA FG (Rp/kg)</t>
  </si>
  <si>
    <t>MD722</t>
  </si>
  <si>
    <t>Ubi Orange IFM (QKSO)</t>
  </si>
  <si>
    <t>MD735</t>
  </si>
  <si>
    <t>MD736</t>
  </si>
  <si>
    <t>MD737</t>
  </si>
  <si>
    <t>MD741</t>
  </si>
  <si>
    <t>Target volume penjualan/Layak Jual</t>
  </si>
  <si>
    <t>MD742</t>
  </si>
  <si>
    <t>MD743</t>
  </si>
  <si>
    <t>MD744</t>
  </si>
  <si>
    <t>MD745</t>
  </si>
  <si>
    <t>MD750</t>
  </si>
  <si>
    <t>MD751</t>
  </si>
  <si>
    <t>MD753</t>
  </si>
  <si>
    <t>Total Ubi Orange</t>
  </si>
  <si>
    <t>MD762</t>
  </si>
  <si>
    <t>MD764</t>
  </si>
  <si>
    <t>MD767</t>
  </si>
  <si>
    <t>MD769</t>
  </si>
  <si>
    <t>MD772</t>
  </si>
  <si>
    <t>MD774</t>
  </si>
  <si>
    <t>MD777</t>
  </si>
  <si>
    <t>MD779</t>
  </si>
  <si>
    <t>MD782</t>
  </si>
  <si>
    <t>MD784</t>
  </si>
  <si>
    <t>MD787</t>
  </si>
  <si>
    <t>MD789</t>
  </si>
  <si>
    <t>MD792</t>
  </si>
  <si>
    <t>MD794</t>
  </si>
  <si>
    <t>MD797</t>
  </si>
  <si>
    <t>MD801</t>
  </si>
  <si>
    <t>MD803</t>
  </si>
  <si>
    <t>MD805</t>
  </si>
  <si>
    <t>MD806</t>
  </si>
  <si>
    <t>MD807</t>
  </si>
  <si>
    <t>MD808</t>
  </si>
  <si>
    <t>MD809</t>
  </si>
  <si>
    <t>MD827</t>
  </si>
  <si>
    <t>MD863</t>
  </si>
  <si>
    <t>Ubi Orange - WA WIP (Rp/kg, setelah KW 2 di NRV)</t>
  </si>
  <si>
    <t>MD864</t>
  </si>
  <si>
    <t>Ubi Orange - WA FG (Rp/kg)</t>
  </si>
  <si>
    <t>MD886</t>
  </si>
  <si>
    <t>MD949</t>
  </si>
  <si>
    <t>Total Cost of Manufacturing</t>
  </si>
  <si>
    <t>MD955</t>
  </si>
  <si>
    <t>COGS</t>
  </si>
  <si>
    <t>RINGKASAN WP COSTING</t>
  </si>
  <si>
    <t>KARTU BIAYA PRODUKSI - FCC (Flat Cassava Chips)</t>
  </si>
  <si>
    <t>biaya waste (kerugian normal) yang masuk HPP (Rp jt; % biaya produksi)</t>
  </si>
  <si>
    <t>nilai saldo akhir menurut Accurate</t>
  </si>
  <si>
    <t>residu nilai saldo awal tanpa kuantitas (tidak ikut rata-rata)</t>
  </si>
  <si>
    <t>FG-001 masuk − premium kartu</t>
  </si>
  <si>
    <t>transfer ke item lain − transfer ke cem-cem</t>
  </si>
  <si>
    <t>5. Nilai untuk sheet BMG Business Plan</t>
  </si>
  <si>
    <t>KARTU BIAYA PRODUKSI - UBI UNGU IFM (QKSP)</t>
  </si>
  <si>
    <t>kenaikan WIP + FG (Rp jt) dan porsi biaya konversi di dalamnya</t>
  </si>
  <si>
    <t xml:space="preserve">  nilai WIP akhir menurut Accurate</t>
  </si>
  <si>
    <t>dibebankan (harus nol)</t>
  </si>
  <si>
    <t>Nilai saldo akhir menurut Accurate</t>
  </si>
  <si>
    <t xml:space="preserve">  Residu nilai saldo awal tanpa kuantitas (tidak ikut rata-rata)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</si>
</sst>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#,##0.0;\(#,##0.0\);\-"/>
    <numFmt numFmtId="166" formatCode="0.0%;\(0.0%\);\-"/>
    <numFmt numFmtId="167" formatCode="#,##0.00;\(#,##0.00\);\-"/>
    <numFmt numFmtId="168" formatCode="0.000;\(0.000\);\-"/>
  </numFmts>
  <fonts count="10" x14ac:knownFonts="1">
    <font>
      <sz val="11"/>
      <color theme="1"/>
      <name val="Calibri"/>
      <family val="2"/>
      <charset val="1"/>
    </font>
    <font>
      <b/>
      <sz val="13"/>
      <color rgb="FF000000"/>
      <name val="Arial"/>
      <family val="2"/>
    </font>
    <font>
      <i/>
      <sz val="9"/>
      <color rgb="FF595959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008000"/>
      <name val="Arial"/>
      <family val="2"/>
    </font>
    <font>
      <b/>
      <sz val="9"/>
      <color rgb="FF008000"/>
      <name val="Arial"/>
      <family val="2"/>
    </font>
    <font>
      <sz val="9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9E6"/>
      </patternFill>
    </fill>
    <fill>
      <patternFill patternType="solid">
        <fgColor rgb="FFFFF9E6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1F38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0" xfId="0" applyFont="1" applyFill="1"/>
    <xf numFmtId="0" fontId="0" fillId="2" borderId="0" xfId="0" applyFill="1"/>
    <xf numFmtId="0" fontId="5" fillId="3" borderId="0" xfId="0" applyFont="1" applyFill="1" applyAlignment="1">
      <alignment horizontal="center" vertical="center" wrapText="1"/>
    </xf>
    <xf numFmtId="0" fontId="6" fillId="0" borderId="0" xfId="0" applyFont="1"/>
    <xf numFmtId="164" fontId="7" fillId="0" borderId="0" xfId="0" applyNumberFormat="1" applyFont="1"/>
    <xf numFmtId="165" fontId="8" fillId="0" borderId="0" xfId="0" applyNumberFormat="1" applyFont="1"/>
    <xf numFmtId="165" fontId="7" fillId="0" borderId="0" xfId="0" applyNumberFormat="1" applyFont="1"/>
    <xf numFmtId="166" fontId="7" fillId="0" borderId="0" xfId="0" applyNumberFormat="1" applyFont="1"/>
    <xf numFmtId="0" fontId="7" fillId="0" borderId="0" xfId="0" applyFont="1" applyAlignment="1">
      <alignment horizontal="center"/>
    </xf>
    <xf numFmtId="0" fontId="9" fillId="4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0" applyNumberFormat="1" applyFont="1"/>
    <xf numFmtId="165" fontId="6" fillId="0" borderId="0" xfId="0" applyNumberFormat="1" applyFont="1"/>
    <xf numFmtId="164" fontId="6" fillId="0" borderId="0" xfId="0" applyNumberFormat="1" applyFont="1"/>
    <xf numFmtId="0" fontId="3" fillId="5" borderId="1" xfId="0" applyFont="1" applyFill="1" applyBorder="1"/>
    <xf numFmtId="165" fontId="3" fillId="5" borderId="1" xfId="0" applyNumberFormat="1" applyFont="1" applyFill="1" applyBorder="1"/>
    <xf numFmtId="164" fontId="3" fillId="5" borderId="1" xfId="0" applyNumberFormat="1" applyFont="1" applyFill="1" applyBorder="1"/>
    <xf numFmtId="166" fontId="6" fillId="0" borderId="0" xfId="0" applyNumberFormat="1" applyFont="1"/>
    <xf numFmtId="165" fontId="3" fillId="0" borderId="0" xfId="0" applyNumberFormat="1" applyFont="1"/>
    <xf numFmtId="0" fontId="0" fillId="5" borderId="1" xfId="0" applyFill="1" applyBorder="1"/>
    <xf numFmtId="167" fontId="6" fillId="0" borderId="0" xfId="0" applyNumberFormat="1" applyFont="1"/>
    <xf numFmtId="168" fontId="6" fillId="0" borderId="0" xfId="0" applyNumberFormat="1" applyFont="1"/>
    <xf numFmtId="167" fontId="3" fillId="0" borderId="0" xfId="0" applyNumberFormat="1" applyFont="1"/>
    <xf numFmtId="1" fontId="6" fillId="0" borderId="0" xfId="0" applyNumberFormat="1" applyFont="1" applyAlignment="1">
      <alignment horizontal="center"/>
    </xf>
    <xf numFmtId="165" fontId="9" fillId="0" borderId="0" xfId="0" applyNumberFormat="1" applyFont="1"/>
    <xf numFmtId="1" fontId="6" fillId="5" borderId="1" xfId="0" applyNumberFormat="1" applyFont="1" applyFill="1" applyBorder="1" applyAlignment="1">
      <alignment horizontal="center"/>
    </xf>
    <xf numFmtId="165" fontId="9" fillId="6" borderId="0" xfId="0" applyNumberFormat="1" applyFont="1" applyFill="1"/>
    <xf numFmtId="164" fontId="9" fillId="6" borderId="0" xfId="0" applyNumberFormat="1" applyFont="1" applyFill="1"/>
    <xf numFmtId="167" fontId="9" fillId="6" borderId="0" xfId="0" applyNumberFormat="1" applyFont="1" applyFill="1"/>
    <xf numFmtId="168" fontId="9" fillId="6" borderId="0" xfId="0" applyNumberFormat="1" applyFont="1" applyFill="1"/>
    <xf numFmtId="167" fontId="9" fillId="4" borderId="0" xfId="0" applyNumberFormat="1" applyFont="1" applyFill="1"/>
    <xf numFmtId="164" fontId="9" fillId="0" borderId="0" xfId="0" applyNumberFormat="1" applyFont="1"/>
    <xf numFmtId="164" fontId="3" fillId="0" borderId="0" xfId="0" applyNumberFormat="1" applyFont="1"/>
    <xf numFmtId="1" fontId="9" fillId="4" borderId="0" xfId="0" applyNumberFormat="1" applyFont="1" applyFill="1"/>
    <xf numFmtId="166" fontId="3" fillId="5" borderId="1" xfId="0" applyNumberFormat="1" applyFont="1" applyFill="1" applyBorder="1"/>
    <xf numFmtId="0" fontId="3" fillId="0" borderId="0" xfId="0" applyFont="1" applyAlignment="1">
      <alignment horizontal="right"/>
    </xf>
    <xf numFmtId="166" fontId="3" fillId="0" borderId="0" xfId="0" applyNumberFormat="1" applyFont="1"/>
    <xf numFmtId="0" fontId="6" fillId="0" borderId="0" xfId="0" applyFont="1" applyAlignment="1">
      <alignment vertical="top" wrapText="1"/>
    </xf>
    <xf numFmtId="0" fontId="6" fillId="4" borderId="0" xfId="0" applyFont="1" applyFill="1"/>
    <xf numFmtId="0" fontId="6" fillId="4" borderId="0" xfId="0" applyFont="1" applyFill="1" applyAlignment="1">
      <alignment vertical="top" wrapText="1"/>
    </xf>
    <xf numFmtId="168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5"/>
  <sheetViews>
    <sheetView showGridLines="0" zoomScaleNormal="100" workbookViewId="0">
      <selection activeCell="A37" sqref="A37:XFD46"/>
    </sheetView>
  </sheetViews>
  <sheetFormatPr defaultColWidth="8.6328125" defaultRowHeight="14.5" x14ac:dyDescent="0.35"/>
  <cols>
    <col min="1" max="1" width="64" customWidth="1"/>
    <col min="2" max="8" width="14" customWidth="1"/>
    <col min="9" max="9" width="12" customWidth="1"/>
  </cols>
  <sheetData>
    <row r="1" spans="1:9" ht="16.5" x14ac:dyDescent="0.35">
      <c r="A1" s="2" t="s">
        <v>1004</v>
      </c>
    </row>
    <row r="2" spans="1:9" x14ac:dyDescent="0.35">
      <c r="A2" s="3"/>
    </row>
    <row r="3" spans="1:9" x14ac:dyDescent="0.35">
      <c r="A3" s="4" t="s">
        <v>0</v>
      </c>
      <c r="C3" s="5" t="str">
        <f>'REKON &amp; KONTROL'!$D$68</f>
        <v>LULUS</v>
      </c>
    </row>
    <row r="5" spans="1:9" x14ac:dyDescent="0.35">
      <c r="A5" s="6" t="s">
        <v>1</v>
      </c>
      <c r="B5" s="7"/>
      <c r="C5" s="7"/>
      <c r="D5" s="7"/>
      <c r="E5" s="7"/>
      <c r="F5" s="7"/>
      <c r="G5" s="7"/>
      <c r="H5" s="7"/>
      <c r="I5" s="7"/>
    </row>
    <row r="6" spans="1:9" ht="24" customHeight="1" x14ac:dyDescent="0.35">
      <c r="A6" s="8" t="s">
        <v>2</v>
      </c>
      <c r="B6" s="8" t="s">
        <v>3</v>
      </c>
      <c r="C6" s="8" t="s">
        <v>4</v>
      </c>
      <c r="D6" s="8" t="s">
        <v>5</v>
      </c>
      <c r="E6" s="8" t="s">
        <v>6</v>
      </c>
      <c r="F6" s="8" t="s">
        <v>7</v>
      </c>
    </row>
    <row r="7" spans="1:9" x14ac:dyDescent="0.35">
      <c r="A7" s="9" t="s">
        <v>8</v>
      </c>
      <c r="B7" s="10">
        <f>'REKON &amp; KONTROL'!B6</f>
        <v>338754</v>
      </c>
      <c r="C7" s="10">
        <f>'REKON &amp; KONTROL'!C6</f>
        <v>13376</v>
      </c>
      <c r="D7" s="10">
        <f>'REKON &amp; KONTROL'!D6</f>
        <v>7403</v>
      </c>
      <c r="E7" s="10">
        <f>'REKON &amp; KONTROL'!E6</f>
        <v>17571.48</v>
      </c>
      <c r="F7" s="10">
        <f>'REKON &amp; KONTROL'!F6</f>
        <v>377104.48</v>
      </c>
    </row>
    <row r="8" spans="1:9" x14ac:dyDescent="0.35">
      <c r="A8" s="4" t="s">
        <v>9</v>
      </c>
      <c r="B8" s="11">
        <f>'REKON &amp; KONTROL'!B12</f>
        <v>7327.4406982108303</v>
      </c>
      <c r="C8" s="11">
        <f>'REKON &amp; KONTROL'!C12</f>
        <v>465.30971464612128</v>
      </c>
      <c r="D8" s="11">
        <f>'REKON &amp; KONTROL'!D12</f>
        <v>238.9344308886281</v>
      </c>
      <c r="E8" s="11">
        <f>'REKON &amp; KONTROL'!E12</f>
        <v>355.581963504226</v>
      </c>
      <c r="F8" s="11">
        <f>'REKON &amp; KONTROL'!F12</f>
        <v>8387.2668072498054</v>
      </c>
    </row>
    <row r="9" spans="1:9" x14ac:dyDescent="0.35">
      <c r="A9" s="9" t="s">
        <v>10</v>
      </c>
      <c r="B9" s="10">
        <f>'REKON &amp; KONTROL'!B13</f>
        <v>21630.565833055345</v>
      </c>
      <c r="C9" s="10">
        <f>'REKON &amp; KONTROL'!C13</f>
        <v>34786.910484907392</v>
      </c>
      <c r="D9" s="10">
        <f>'REKON &amp; KONTROL'!D13</f>
        <v>32275.352004407414</v>
      </c>
      <c r="E9" s="10">
        <f>'REKON &amp; KONTROL'!E13</f>
        <v>20236.312678512339</v>
      </c>
      <c r="F9" s="10">
        <f>'REKON &amp; KONTROL'!F13</f>
        <v>22241.228232689798</v>
      </c>
    </row>
    <row r="10" spans="1:9" x14ac:dyDescent="0.35">
      <c r="A10" s="4" t="s">
        <v>11</v>
      </c>
      <c r="B10" s="11">
        <f>'REKON &amp; KONTROL'!B14</f>
        <v>6925.004969208172</v>
      </c>
      <c r="C10" s="11">
        <f>'REKON &amp; KONTROL'!C14</f>
        <v>250.83101805142473</v>
      </c>
      <c r="D10" s="11">
        <f>'REKON &amp; KONTROL'!D14</f>
        <v>238.9344308886281</v>
      </c>
      <c r="E10" s="11">
        <f>'REKON &amp; KONTROL'!E14</f>
        <v>355.581963504226</v>
      </c>
      <c r="F10" s="11">
        <f>'REKON &amp; KONTROL'!F14</f>
        <v>7770.3523816524512</v>
      </c>
    </row>
    <row r="11" spans="1:9" x14ac:dyDescent="0.35">
      <c r="A11" s="9" t="s">
        <v>12</v>
      </c>
      <c r="B11" s="12">
        <f>'REKON &amp; KONTROL'!B15</f>
        <v>8672.0977024500007</v>
      </c>
      <c r="C11" s="12">
        <f>'REKON &amp; KONTROL'!C15</f>
        <v>349.70925</v>
      </c>
      <c r="D11" s="12">
        <f>'REKON &amp; KONTROL'!D15</f>
        <v>354.6037</v>
      </c>
      <c r="E11" s="12">
        <f>'REKON &amp; KONTROL'!E15</f>
        <v>416.71479961</v>
      </c>
      <c r="F11" s="12">
        <f>'REKON &amp; KONTROL'!F15</f>
        <v>9793.1254520599996</v>
      </c>
    </row>
    <row r="12" spans="1:9" x14ac:dyDescent="0.35">
      <c r="A12" s="9" t="s">
        <v>13</v>
      </c>
      <c r="B12" s="13">
        <f>'REKON &amp; KONTROL'!B16</f>
        <v>0.20146137568863506</v>
      </c>
      <c r="C12" s="13">
        <f>'REKON &amp; KONTROL'!C16</f>
        <v>0.2827441137132497</v>
      </c>
      <c r="D12" s="13">
        <f>'REKON &amp; KONTROL'!D16</f>
        <v>0.32619306880151533</v>
      </c>
      <c r="E12" s="13">
        <f>'REKON &amp; KONTROL'!E16</f>
        <v>0.14670185979232733</v>
      </c>
      <c r="F12" s="13">
        <f>'REKON &amp; KONTROL'!F16</f>
        <v>0.20655030718329609</v>
      </c>
    </row>
    <row r="14" spans="1:9" x14ac:dyDescent="0.35">
      <c r="A14" s="6" t="s">
        <v>14</v>
      </c>
      <c r="B14" s="7"/>
      <c r="C14" s="7"/>
      <c r="D14" s="7"/>
      <c r="E14" s="7"/>
      <c r="F14" s="7"/>
      <c r="G14" s="7"/>
      <c r="H14" s="7"/>
      <c r="I14" s="7"/>
    </row>
    <row r="15" spans="1:9" ht="30" customHeight="1" x14ac:dyDescent="0.35">
      <c r="A15" s="8" t="s">
        <v>15</v>
      </c>
      <c r="B15" s="8" t="s">
        <v>16</v>
      </c>
      <c r="C15" s="8" t="s">
        <v>17</v>
      </c>
      <c r="D15" s="8" t="s">
        <v>18</v>
      </c>
      <c r="E15" s="8" t="s">
        <v>19</v>
      </c>
      <c r="F15" s="8" t="s">
        <v>20</v>
      </c>
      <c r="G15" s="8" t="s">
        <v>21</v>
      </c>
      <c r="H15" s="8" t="s">
        <v>22</v>
      </c>
      <c r="I15" s="8" t="s">
        <v>23</v>
      </c>
    </row>
    <row r="16" spans="1:9" x14ac:dyDescent="0.35">
      <c r="A16" s="9" t="s">
        <v>3</v>
      </c>
      <c r="B16" s="10">
        <f>FCC!F132</f>
        <v>21630.565833055341</v>
      </c>
      <c r="C16" s="10">
        <f>FCC!G132</f>
        <v>24247.024313390633</v>
      </c>
      <c r="D16" s="10">
        <f>FCC!H132</f>
        <v>-2616.4584803352882</v>
      </c>
      <c r="E16" s="10">
        <f>FCC!I132</f>
        <v>-975.29968943049357</v>
      </c>
      <c r="F16" s="10">
        <f>FCC!J132</f>
        <v>-783.96977345168739</v>
      </c>
      <c r="G16" s="10">
        <f>FCC!K132</f>
        <v>-571.13798489897522</v>
      </c>
      <c r="H16" s="10">
        <f>FCC!L132</f>
        <v>-286.0510325541332</v>
      </c>
      <c r="I16" s="14" t="str">
        <f>FCC!$C$5</f>
        <v>Okt-26</v>
      </c>
    </row>
    <row r="17" spans="1:9" x14ac:dyDescent="0.35">
      <c r="A17" s="9" t="s">
        <v>24</v>
      </c>
      <c r="B17" s="10">
        <f>UU!F126</f>
        <v>34786.910484907385</v>
      </c>
      <c r="C17" s="10">
        <f>UU!G126</f>
        <v>35657.070976338218</v>
      </c>
      <c r="D17" s="10">
        <f>UU!H126</f>
        <v>-870.16049143083069</v>
      </c>
      <c r="E17" s="10">
        <f>UU!I126</f>
        <v>1410.2108622849032</v>
      </c>
      <c r="F17" s="10">
        <f>UU!J126</f>
        <v>-1899.4098251957553</v>
      </c>
      <c r="G17" s="10">
        <f>UU!K126</f>
        <v>-2805.8809960376752</v>
      </c>
      <c r="H17" s="10">
        <f>UU!L126</f>
        <v>2424.9194675176991</v>
      </c>
      <c r="I17" s="14" t="str">
        <f>UU!$C$5</f>
        <v>Okt-26</v>
      </c>
    </row>
    <row r="18" spans="1:9" x14ac:dyDescent="0.35">
      <c r="A18" s="9" t="s">
        <v>25</v>
      </c>
      <c r="B18" s="10">
        <f>UO!F126</f>
        <v>32275.352004407414</v>
      </c>
      <c r="C18" s="10">
        <f>UO!G126</f>
        <v>33916.193592188036</v>
      </c>
      <c r="D18" s="10">
        <f>UO!H126</f>
        <v>-1640.8415877806201</v>
      </c>
      <c r="E18" s="10">
        <f>UO!I126</f>
        <v>977.27670952310484</v>
      </c>
      <c r="F18" s="10">
        <f>UO!J126</f>
        <v>-3689.6167207619856</v>
      </c>
      <c r="G18" s="10">
        <f>UO!K126</f>
        <v>-1144.7470404024107</v>
      </c>
      <c r="H18" s="10">
        <f>UO!L126</f>
        <v>2216.24546386067</v>
      </c>
      <c r="I18" s="14" t="str">
        <f>UO!$C$5</f>
        <v>Okt-26</v>
      </c>
    </row>
    <row r="19" spans="1:9" x14ac:dyDescent="0.35">
      <c r="A19" s="3"/>
    </row>
    <row r="21" spans="1:9" x14ac:dyDescent="0.35">
      <c r="A21" s="6" t="s">
        <v>26</v>
      </c>
      <c r="B21" s="7"/>
      <c r="C21" s="7"/>
      <c r="D21" s="7"/>
      <c r="E21" s="7"/>
      <c r="F21" s="7"/>
      <c r="G21" s="7"/>
      <c r="H21" s="7"/>
      <c r="I21" s="7"/>
    </row>
    <row r="22" spans="1:9" ht="19.5" customHeight="1" x14ac:dyDescent="0.35">
      <c r="A22" s="8" t="s">
        <v>2</v>
      </c>
      <c r="B22" s="8" t="s">
        <v>3</v>
      </c>
      <c r="C22" s="8" t="s">
        <v>4</v>
      </c>
      <c r="D22" s="8" t="s">
        <v>5</v>
      </c>
      <c r="E22" s="8"/>
      <c r="F22" s="8" t="s">
        <v>27</v>
      </c>
    </row>
    <row r="23" spans="1:9" x14ac:dyDescent="0.35">
      <c r="A23" s="9" t="s">
        <v>28</v>
      </c>
      <c r="B23" s="12">
        <f>FCC!$B$23</f>
        <v>207.10949724289671</v>
      </c>
      <c r="C23" s="12">
        <f>UU!$B$23</f>
        <v>0</v>
      </c>
      <c r="D23" s="12">
        <f>UO!$B$23</f>
        <v>0</v>
      </c>
      <c r="F23" s="3"/>
    </row>
    <row r="24" spans="1:9" x14ac:dyDescent="0.35">
      <c r="A24" s="9" t="s">
        <v>29</v>
      </c>
      <c r="B24" s="12">
        <f>FCC!$B$24</f>
        <v>134.48636509312726</v>
      </c>
      <c r="C24" s="12">
        <f>UU!$B$24</f>
        <v>0</v>
      </c>
      <c r="D24" s="12">
        <f>UO!$B$24</f>
        <v>0</v>
      </c>
      <c r="F24" s="3"/>
    </row>
    <row r="25" spans="1:9" x14ac:dyDescent="0.35">
      <c r="A25" s="9" t="s">
        <v>30</v>
      </c>
      <c r="B25" s="12" t="e">
        <f>FCC!#REF!</f>
        <v>#REF!</v>
      </c>
      <c r="C25" s="12">
        <f>UU!$B$25</f>
        <v>214.47869659469652</v>
      </c>
      <c r="D25" s="12">
        <f>UO!$B$25</f>
        <v>0</v>
      </c>
      <c r="F25" s="3"/>
    </row>
    <row r="26" spans="1:9" x14ac:dyDescent="0.35">
      <c r="A26" s="9" t="s">
        <v>31</v>
      </c>
      <c r="B26" s="12">
        <f>'BIAYA BERSAMA'!$C$109/10^6</f>
        <v>61.206617530748595</v>
      </c>
      <c r="C26" s="13">
        <f>'BIAYA BERSAMA'!$D$107</f>
        <v>9.4074868427171304E-2</v>
      </c>
      <c r="F26" s="3"/>
    </row>
    <row r="28" spans="1:9" x14ac:dyDescent="0.35">
      <c r="A28" s="6" t="s">
        <v>32</v>
      </c>
      <c r="B28" s="7"/>
      <c r="C28" s="7"/>
      <c r="D28" s="7"/>
      <c r="E28" s="7"/>
      <c r="F28" s="7"/>
      <c r="G28" s="7"/>
      <c r="H28" s="7"/>
      <c r="I28" s="7"/>
    </row>
    <row r="29" spans="1:9" x14ac:dyDescent="0.35">
      <c r="A29" s="9" t="s">
        <v>33</v>
      </c>
      <c r="B29" s="12">
        <f>'REKON &amp; KONTROL'!$C$37</f>
        <v>7770.3523816524512</v>
      </c>
    </row>
    <row r="30" spans="1:9" x14ac:dyDescent="0.35">
      <c r="A30" s="9" t="s">
        <v>34</v>
      </c>
      <c r="B30" s="12">
        <f>'REKON &amp; KONTROL'!$C$38</f>
        <v>203.7305353564816</v>
      </c>
    </row>
    <row r="31" spans="1:9" x14ac:dyDescent="0.35">
      <c r="A31" s="9" t="s">
        <v>35</v>
      </c>
      <c r="B31" s="12">
        <f>'REKON &amp; KONTROL'!$C$46</f>
        <v>-152.22699645487688</v>
      </c>
    </row>
    <row r="32" spans="1:9" x14ac:dyDescent="0.35">
      <c r="A32" s="9" t="s">
        <v>36</v>
      </c>
      <c r="B32" s="12">
        <f>'REKON &amp; KONTROL'!$C$41</f>
        <v>20.289793154580703</v>
      </c>
    </row>
    <row r="33" spans="1:2" x14ac:dyDescent="0.35">
      <c r="A33" s="9" t="s">
        <v>37</v>
      </c>
      <c r="B33" s="12">
        <f>'REKON &amp; KONTROL'!$C$42</f>
        <v>0</v>
      </c>
    </row>
    <row r="34" spans="1:2" x14ac:dyDescent="0.35">
      <c r="A34" s="4" t="s">
        <v>38</v>
      </c>
      <c r="B34" s="11">
        <f>'REKON &amp; KONTROL'!$C$44</f>
        <v>7842.14571370864</v>
      </c>
    </row>
    <row r="35" spans="1:2" x14ac:dyDescent="0.35">
      <c r="A35" s="4" t="s">
        <v>39</v>
      </c>
      <c r="B35" s="11">
        <f>'REKON &amp; KONTROL'!$C$45</f>
        <v>0</v>
      </c>
    </row>
  </sheetData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38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37" sqref="A137"/>
    </sheetView>
  </sheetViews>
  <sheetFormatPr defaultColWidth="8.6328125" defaultRowHeight="14.5" x14ac:dyDescent="0.35"/>
  <cols>
    <col min="1" max="1" width="58" customWidth="1"/>
    <col min="2" max="4" width="13" customWidth="1"/>
    <col min="5" max="5" width="15" customWidth="1"/>
    <col min="6" max="12" width="13" customWidth="1"/>
    <col min="13" max="13" width="9" customWidth="1"/>
  </cols>
  <sheetData>
    <row r="1" spans="1:13" ht="16.5" x14ac:dyDescent="0.35">
      <c r="A1" s="2" t="s">
        <v>1005</v>
      </c>
    </row>
    <row r="2" spans="1:13" x14ac:dyDescent="0.35">
      <c r="A2" s="3"/>
    </row>
    <row r="3" spans="1:13" x14ac:dyDescent="0.35">
      <c r="A3" s="3"/>
    </row>
    <row r="5" spans="1:13" x14ac:dyDescent="0.35">
      <c r="A5" s="4" t="s">
        <v>42</v>
      </c>
      <c r="C5" s="15" t="s">
        <v>43</v>
      </c>
      <c r="D5" s="16" t="s">
        <v>44</v>
      </c>
      <c r="E5" s="17">
        <f>MATCH(C5,BUDGET!$C$4:$R$4,0)</f>
        <v>2</v>
      </c>
    </row>
    <row r="6" spans="1:13" x14ac:dyDescent="0.35">
      <c r="A6" s="4" t="s">
        <v>45</v>
      </c>
      <c r="C6" s="5" t="str">
        <f>IF(COUNTIF(D158:D168,"GAGAL")=0,"LULUS","GAGAL")</f>
        <v>LULUS</v>
      </c>
    </row>
    <row r="8" spans="1:13" x14ac:dyDescent="0.35">
      <c r="A8" s="6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0" customHeight="1" x14ac:dyDescent="0.35">
      <c r="A9" s="8" t="s">
        <v>47</v>
      </c>
      <c r="B9" s="8" t="s">
        <v>48</v>
      </c>
      <c r="C9" s="8" t="s">
        <v>49</v>
      </c>
      <c r="D9" s="8" t="s">
        <v>50</v>
      </c>
      <c r="E9" s="8" t="s">
        <v>51</v>
      </c>
      <c r="F9" s="8" t="s">
        <v>19</v>
      </c>
      <c r="G9" s="8" t="s">
        <v>20</v>
      </c>
      <c r="H9" s="8" t="s">
        <v>21</v>
      </c>
      <c r="I9" s="8" t="s">
        <v>22</v>
      </c>
    </row>
    <row r="10" spans="1:13" x14ac:dyDescent="0.35">
      <c r="A10" s="9" t="s">
        <v>52</v>
      </c>
      <c r="B10" s="18">
        <f>E43/10^6</f>
        <v>3103.9859294686298</v>
      </c>
      <c r="C10" s="19">
        <f>F43</f>
        <v>9162.9498971779813</v>
      </c>
      <c r="D10" s="19">
        <f t="shared" ref="D10:I10" si="0">G111</f>
        <v>9668.1756786148489</v>
      </c>
      <c r="E10" s="19">
        <f t="shared" si="0"/>
        <v>-505.22578143686769</v>
      </c>
      <c r="F10" s="19">
        <f t="shared" si="0"/>
        <v>-764.45658995680697</v>
      </c>
      <c r="G10" s="19">
        <f t="shared" si="0"/>
        <v>259.23080851993927</v>
      </c>
      <c r="H10" s="19">
        <f t="shared" si="0"/>
        <v>0</v>
      </c>
      <c r="I10" s="19">
        <f t="shared" si="0"/>
        <v>0</v>
      </c>
    </row>
    <row r="11" spans="1:13" x14ac:dyDescent="0.35">
      <c r="A11" s="9" t="s">
        <v>53</v>
      </c>
      <c r="B11" s="18">
        <f>E45/10^6</f>
        <v>1362.1392498630871</v>
      </c>
      <c r="C11" s="19">
        <f>F45</f>
        <v>4021.0277955775791</v>
      </c>
      <c r="D11" s="19">
        <f t="shared" ref="D11:I11" si="1">G113</f>
        <v>4729.8946284624253</v>
      </c>
      <c r="E11" s="19">
        <f t="shared" si="1"/>
        <v>-708.86683288484619</v>
      </c>
      <c r="F11" s="19">
        <f t="shared" si="1"/>
        <v>112.62136170783927</v>
      </c>
      <c r="G11" s="19">
        <f t="shared" si="1"/>
        <v>-821.48819459268623</v>
      </c>
      <c r="H11" s="19">
        <f t="shared" si="1"/>
        <v>0</v>
      </c>
      <c r="I11" s="19">
        <f t="shared" si="1"/>
        <v>0</v>
      </c>
    </row>
    <row r="12" spans="1:13" x14ac:dyDescent="0.35">
      <c r="A12" s="9" t="s">
        <v>54</v>
      </c>
      <c r="B12" s="18">
        <f>E46/10^6</f>
        <v>1156.6990298859259</v>
      </c>
      <c r="C12" s="19">
        <f>F46</f>
        <v>3414.5693626818456</v>
      </c>
      <c r="D12" s="19">
        <f t="shared" ref="D12:I12" si="2">G115</f>
        <v>3489.2224739901826</v>
      </c>
      <c r="E12" s="19">
        <f t="shared" si="2"/>
        <v>-74.653111308336975</v>
      </c>
      <c r="F12" s="19">
        <f t="shared" si="2"/>
        <v>-40.15477640029971</v>
      </c>
      <c r="G12" s="19">
        <f t="shared" si="2"/>
        <v>-34.498334908037251</v>
      </c>
      <c r="H12" s="19">
        <f t="shared" si="2"/>
        <v>0</v>
      </c>
      <c r="I12" s="19">
        <f t="shared" si="2"/>
        <v>0</v>
      </c>
    </row>
    <row r="13" spans="1:13" x14ac:dyDescent="0.35">
      <c r="A13" s="9" t="s">
        <v>55</v>
      </c>
      <c r="B13" s="18">
        <f>E54/10^6</f>
        <v>301.40265587258062</v>
      </c>
      <c r="C13" s="19">
        <f>F54</f>
        <v>889.73903148768909</v>
      </c>
      <c r="D13" s="19">
        <f t="shared" ref="D13:I13" si="3">G122</f>
        <v>814.07395596980757</v>
      </c>
      <c r="E13" s="19">
        <f t="shared" si="3"/>
        <v>75.665075517881604</v>
      </c>
      <c r="F13" s="19">
        <f t="shared" si="3"/>
        <v>31.547097427906145</v>
      </c>
      <c r="G13" s="19">
        <f t="shared" si="3"/>
        <v>44.117978089975466</v>
      </c>
      <c r="H13" s="19">
        <f t="shared" si="3"/>
        <v>0</v>
      </c>
      <c r="I13" s="19">
        <f t="shared" si="3"/>
        <v>0</v>
      </c>
    </row>
    <row r="14" spans="1:13" x14ac:dyDescent="0.35">
      <c r="A14" s="9" t="s">
        <v>56</v>
      </c>
      <c r="B14" s="18">
        <f>E57/10^6</f>
        <v>110.021625</v>
      </c>
      <c r="C14" s="19">
        <f>F57</f>
        <v>324.78324979188437</v>
      </c>
      <c r="D14" s="19">
        <f t="shared" ref="D14:I14" si="4">G124</f>
        <v>555.87747776873414</v>
      </c>
      <c r="E14" s="19">
        <f t="shared" si="4"/>
        <v>-231.09422797684977</v>
      </c>
      <c r="F14" s="19">
        <f t="shared" si="4"/>
        <v>0.23780258402887833</v>
      </c>
      <c r="G14" s="19">
        <f t="shared" si="4"/>
        <v>-231.33203056087874</v>
      </c>
      <c r="H14" s="19">
        <f t="shared" si="4"/>
        <v>0</v>
      </c>
      <c r="I14" s="19">
        <f t="shared" si="4"/>
        <v>0</v>
      </c>
    </row>
    <row r="15" spans="1:13" x14ac:dyDescent="0.35">
      <c r="A15" s="9" t="s">
        <v>57</v>
      </c>
      <c r="B15" s="18">
        <f>E58/10^6</f>
        <v>554.72765572994422</v>
      </c>
      <c r="C15" s="19">
        <f>F58</f>
        <v>1637.5530790188286</v>
      </c>
      <c r="D15" s="19">
        <f t="shared" ref="D15:I15" si="5">G126</f>
        <v>2105.5178435648718</v>
      </c>
      <c r="E15" s="19">
        <f t="shared" si="5"/>
        <v>-467.96476454604317</v>
      </c>
      <c r="F15" s="19">
        <f t="shared" si="5"/>
        <v>-54.902773831472665</v>
      </c>
      <c r="G15" s="19">
        <f t="shared" si="5"/>
        <v>0</v>
      </c>
      <c r="H15" s="19">
        <f t="shared" si="5"/>
        <v>-241.00084464314978</v>
      </c>
      <c r="I15" s="19">
        <f t="shared" si="5"/>
        <v>-172.06114607142075</v>
      </c>
    </row>
    <row r="16" spans="1:13" x14ac:dyDescent="0.35">
      <c r="A16" s="9" t="s">
        <v>58</v>
      </c>
      <c r="B16" s="18">
        <f>E63/10^6</f>
        <v>738.46455239066177</v>
      </c>
      <c r="C16" s="19">
        <f>F63</f>
        <v>2179.943417319535</v>
      </c>
      <c r="D16" s="19">
        <f t="shared" ref="D16:I17" si="6">G131</f>
        <v>2884.2622550197611</v>
      </c>
      <c r="E16" s="19">
        <f t="shared" si="6"/>
        <v>-704.31883770022614</v>
      </c>
      <c r="F16" s="19">
        <f t="shared" si="6"/>
        <v>-260.1918109616883</v>
      </c>
      <c r="G16" s="19">
        <f t="shared" si="6"/>
        <v>0</v>
      </c>
      <c r="H16" s="19">
        <f t="shared" si="6"/>
        <v>-330.13714025582539</v>
      </c>
      <c r="I16" s="19">
        <f t="shared" si="6"/>
        <v>-113.98988648271246</v>
      </c>
    </row>
    <row r="17" spans="1:13" x14ac:dyDescent="0.35">
      <c r="A17" s="20" t="s">
        <v>9</v>
      </c>
      <c r="B17" s="21">
        <f>E65/10^6</f>
        <v>7327.4406982108285</v>
      </c>
      <c r="C17" s="22">
        <f>F65</f>
        <v>21630.565833055341</v>
      </c>
      <c r="D17" s="22">
        <f t="shared" si="6"/>
        <v>24247.024313390633</v>
      </c>
      <c r="E17" s="22">
        <f t="shared" si="6"/>
        <v>-2616.4584803352882</v>
      </c>
      <c r="F17" s="22">
        <f t="shared" si="6"/>
        <v>-975.29968943049357</v>
      </c>
      <c r="G17" s="22">
        <f t="shared" si="6"/>
        <v>-783.96977345168739</v>
      </c>
      <c r="H17" s="22">
        <f t="shared" si="6"/>
        <v>-571.13798489897522</v>
      </c>
      <c r="I17" s="22">
        <f t="shared" si="6"/>
        <v>-286.0510325541332</v>
      </c>
    </row>
    <row r="18" spans="1:13" x14ac:dyDescent="0.35">
      <c r="A18" s="9" t="s">
        <v>59</v>
      </c>
      <c r="C18" s="19">
        <f>$B$30</f>
        <v>338754</v>
      </c>
      <c r="D18" s="19">
        <f>$D$30</f>
        <v>299979.69068898499</v>
      </c>
    </row>
    <row r="19" spans="1:13" x14ac:dyDescent="0.35">
      <c r="A19" s="9" t="s">
        <v>60</v>
      </c>
      <c r="C19" s="19">
        <f>F64</f>
        <v>4142.279746130248</v>
      </c>
      <c r="D19" s="19">
        <f>G124+G126+G131</f>
        <v>5545.6575763533674</v>
      </c>
    </row>
    <row r="20" spans="1:13" x14ac:dyDescent="0.35">
      <c r="A20" s="9" t="s">
        <v>61</v>
      </c>
      <c r="B20" s="18">
        <f>E103/10^6</f>
        <v>6925.004969208172</v>
      </c>
      <c r="C20" s="19">
        <f>D104</f>
        <v>22814.981912119718</v>
      </c>
      <c r="D20" s="19">
        <f>F104</f>
        <v>25736.787610703737</v>
      </c>
    </row>
    <row r="21" spans="1:13" x14ac:dyDescent="0.35">
      <c r="A21" s="9" t="s">
        <v>62</v>
      </c>
      <c r="B21" s="18">
        <f>$C$210/10^6</f>
        <v>8672.0977024500007</v>
      </c>
      <c r="F21" s="3"/>
    </row>
    <row r="22" spans="1:13" x14ac:dyDescent="0.35">
      <c r="A22" s="9" t="s">
        <v>64</v>
      </c>
      <c r="B22" s="18">
        <f>B21-B20</f>
        <v>1747.0927332418287</v>
      </c>
      <c r="C22" s="23">
        <f>IF(B21=0,0,B22/B21)</f>
        <v>0.20146137568863506</v>
      </c>
    </row>
    <row r="23" spans="1:13" x14ac:dyDescent="0.35">
      <c r="A23" s="3" t="s">
        <v>1006</v>
      </c>
      <c r="B23" s="18">
        <f>E77/10^6</f>
        <v>207.10949724289671</v>
      </c>
      <c r="C23" s="23">
        <f>IF(E65=0,0,E77/E65)</f>
        <v>2.8264916192834898E-2</v>
      </c>
    </row>
    <row r="24" spans="1:13" x14ac:dyDescent="0.35">
      <c r="A24" s="3" t="s">
        <v>29</v>
      </c>
      <c r="B24" s="18">
        <f>-E73/10^6</f>
        <v>134.48636509312726</v>
      </c>
    </row>
    <row r="26" spans="1:13" x14ac:dyDescent="0.35">
      <c r="A26" s="6" t="s">
        <v>70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x14ac:dyDescent="0.35">
      <c r="A27" s="4" t="s">
        <v>71</v>
      </c>
    </row>
    <row r="28" spans="1:13" ht="24" customHeight="1" x14ac:dyDescent="0.35">
      <c r="A28" s="8" t="s">
        <v>2</v>
      </c>
      <c r="B28" s="8" t="s">
        <v>72</v>
      </c>
      <c r="C28" s="8" t="s">
        <v>73</v>
      </c>
      <c r="D28" s="8" t="s">
        <v>74</v>
      </c>
      <c r="E28" s="8" t="s">
        <v>75</v>
      </c>
    </row>
    <row r="29" spans="1:13" x14ac:dyDescent="0.35">
      <c r="A29" s="9" t="s">
        <v>76</v>
      </c>
      <c r="B29" s="18">
        <f>$C$190</f>
        <v>2431</v>
      </c>
    </row>
    <row r="30" spans="1:13" x14ac:dyDescent="0.35">
      <c r="A30" s="4" t="s">
        <v>77</v>
      </c>
      <c r="B30" s="24">
        <f>$C$191</f>
        <v>338754</v>
      </c>
      <c r="D30" s="24">
        <f>INDEX(BUDGET!$C$14:$R$14,$E$5)</f>
        <v>299979.69068898499</v>
      </c>
    </row>
    <row r="31" spans="1:13" x14ac:dyDescent="0.35">
      <c r="A31" s="20" t="s">
        <v>78</v>
      </c>
      <c r="B31" s="21">
        <f>B29+B30</f>
        <v>341185</v>
      </c>
      <c r="C31" s="25"/>
      <c r="D31" s="25"/>
      <c r="E31" s="25"/>
    </row>
    <row r="32" spans="1:13" x14ac:dyDescent="0.35">
      <c r="A32" s="9" t="s">
        <v>79</v>
      </c>
      <c r="B32" s="18">
        <f>B31-B33-B34-B35</f>
        <v>317712.5</v>
      </c>
      <c r="C32" s="23">
        <f>IF(B30=0,0,B32/B30)</f>
        <v>0.93788560430282741</v>
      </c>
      <c r="D32" s="18">
        <f>INDEX(BUDGET!$C$10:$R$10,$E$5)</f>
        <v>278373.51664254098</v>
      </c>
      <c r="E32" s="23">
        <f>IF(D30=0,0,D32/D30)</f>
        <v>0.92797454388722267</v>
      </c>
    </row>
    <row r="33" spans="1:6" x14ac:dyDescent="0.35">
      <c r="A33" s="9" t="s">
        <v>80</v>
      </c>
      <c r="B33" s="18">
        <f>$C$193</f>
        <v>13755</v>
      </c>
      <c r="C33" s="23">
        <f>IF(B30=0,0,B33/B30)</f>
        <v>4.0604686586726654E-2</v>
      </c>
      <c r="D33" s="18">
        <f>INDEX(BUDGET!$C$11:$R$11,$E$5)</f>
        <v>10970.782034076101</v>
      </c>
      <c r="E33" s="23">
        <f>IF(D30=0,0,D33/D30)</f>
        <v>3.6571749270354649E-2</v>
      </c>
    </row>
    <row r="34" spans="1:6" x14ac:dyDescent="0.35">
      <c r="A34" s="9" t="s">
        <v>81</v>
      </c>
      <c r="B34" s="18">
        <f>$C$194</f>
        <v>9360</v>
      </c>
      <c r="C34" s="23">
        <f>IF(B30=0,0,B34/B30)</f>
        <v>2.763067004374856E-2</v>
      </c>
      <c r="D34" s="18">
        <f>INDEX(BUDGET!$C$12:$R$12,$E$5)</f>
        <v>10635.3920123681</v>
      </c>
      <c r="E34" s="23">
        <f>IF(D30=0,0,D34/D30)</f>
        <v>3.5453706842423327E-2</v>
      </c>
    </row>
    <row r="35" spans="1:6" x14ac:dyDescent="0.35">
      <c r="A35" s="9" t="s">
        <v>82</v>
      </c>
      <c r="B35" s="18">
        <f>$C$192</f>
        <v>357.5</v>
      </c>
      <c r="C35" s="23">
        <f>IF(B30=0,0,B35/B30)</f>
        <v>1.0553380919487297E-3</v>
      </c>
      <c r="D35" s="18">
        <f>INDEX(BUDGET!$C$13:$R$13,$E$5)</f>
        <v>0</v>
      </c>
      <c r="E35" s="23">
        <f>IF(D30=0,0,D35/D30)</f>
        <v>0</v>
      </c>
    </row>
    <row r="36" spans="1:6" x14ac:dyDescent="0.35">
      <c r="A36" s="20" t="s">
        <v>83</v>
      </c>
      <c r="B36" s="21">
        <f>SUM(B32:B35)</f>
        <v>341185</v>
      </c>
      <c r="C36" s="25"/>
      <c r="D36" s="25"/>
      <c r="E36" s="25"/>
    </row>
    <row r="38" spans="1:6" x14ac:dyDescent="0.35">
      <c r="A38" s="4" t="s">
        <v>84</v>
      </c>
    </row>
    <row r="39" spans="1:6" ht="24" customHeight="1" x14ac:dyDescent="0.35">
      <c r="A39" s="8" t="s">
        <v>47</v>
      </c>
      <c r="B39" s="8" t="s">
        <v>85</v>
      </c>
      <c r="C39" s="8" t="s">
        <v>86</v>
      </c>
      <c r="D39" s="8" t="s">
        <v>87</v>
      </c>
      <c r="E39" s="8" t="s">
        <v>88</v>
      </c>
      <c r="F39" s="8" t="s">
        <v>89</v>
      </c>
    </row>
    <row r="40" spans="1:6" x14ac:dyDescent="0.35">
      <c r="A40" s="4" t="s">
        <v>52</v>
      </c>
    </row>
    <row r="41" spans="1:6" x14ac:dyDescent="0.35">
      <c r="A41" s="9" t="s">
        <v>90</v>
      </c>
      <c r="B41" s="18">
        <f>D214</f>
        <v>625461.88571428601</v>
      </c>
      <c r="C41" s="9" t="s">
        <v>91</v>
      </c>
      <c r="D41" s="26">
        <f>F214</f>
        <v>2673.5488886888002</v>
      </c>
      <c r="E41" s="19">
        <f>G214</f>
        <v>1672202929.4686308</v>
      </c>
      <c r="F41" s="19">
        <f>IF($B$30=0,0,E41/$B$30)</f>
        <v>4936.334122899304</v>
      </c>
    </row>
    <row r="42" spans="1:6" x14ac:dyDescent="0.35">
      <c r="A42" s="9" t="s">
        <v>92</v>
      </c>
      <c r="B42" s="18">
        <f>D215</f>
        <v>316290</v>
      </c>
      <c r="C42" s="9" t="s">
        <v>91</v>
      </c>
      <c r="D42" s="26">
        <f>F215</f>
        <v>4526.8045148439696</v>
      </c>
      <c r="E42" s="19">
        <f>G215</f>
        <v>1431782999.999999</v>
      </c>
      <c r="F42" s="19">
        <f>IF($B$30=0,0,E42/$B$30)</f>
        <v>4226.6157742786772</v>
      </c>
    </row>
    <row r="43" spans="1:6" x14ac:dyDescent="0.35">
      <c r="A43" s="20" t="s">
        <v>93</v>
      </c>
      <c r="B43" s="25"/>
      <c r="C43" s="25"/>
      <c r="D43" s="25"/>
      <c r="E43" s="22">
        <f>E41+E42</f>
        <v>3103985929.4686298</v>
      </c>
      <c r="F43" s="22">
        <f>IF($B$30=0,0,E43/$B$30)</f>
        <v>9162.9498971779813</v>
      </c>
    </row>
    <row r="44" spans="1:6" x14ac:dyDescent="0.35">
      <c r="A44" s="4" t="s">
        <v>94</v>
      </c>
    </row>
    <row r="45" spans="1:6" x14ac:dyDescent="0.35">
      <c r="A45" s="9" t="s">
        <v>95</v>
      </c>
      <c r="B45" s="18">
        <f>D216</f>
        <v>78928</v>
      </c>
      <c r="C45" s="9" t="s">
        <v>91</v>
      </c>
      <c r="D45" s="26">
        <f>F216</f>
        <v>17257.997793724498</v>
      </c>
      <c r="E45" s="19">
        <f>G216</f>
        <v>1362139249.8630872</v>
      </c>
      <c r="F45" s="19">
        <f>IF($B$30=0,0,E45/$B$30)</f>
        <v>4021.0277955775791</v>
      </c>
    </row>
    <row r="46" spans="1:6" x14ac:dyDescent="0.35">
      <c r="A46" s="9" t="s">
        <v>96</v>
      </c>
      <c r="B46" s="18">
        <f>D217/$C$209</f>
        <v>5099.3534684559145</v>
      </c>
      <c r="C46" s="9" t="s">
        <v>97</v>
      </c>
      <c r="D46" s="26">
        <f>IF(B46=0,0,E46/B46)</f>
        <v>226832.48710667918</v>
      </c>
      <c r="E46" s="19">
        <f>G217</f>
        <v>1156699029.885926</v>
      </c>
      <c r="F46" s="19">
        <f>IF($B$30=0,0,E46/$B$30)</f>
        <v>3414.5693626818456</v>
      </c>
    </row>
    <row r="47" spans="1:6" x14ac:dyDescent="0.35">
      <c r="A47" s="4" t="s">
        <v>55</v>
      </c>
    </row>
    <row r="48" spans="1:6" x14ac:dyDescent="0.35">
      <c r="A48" s="9" t="s">
        <v>98</v>
      </c>
      <c r="B48" s="18">
        <f>D218</f>
        <v>2300</v>
      </c>
      <c r="C48" s="9" t="s">
        <v>91</v>
      </c>
      <c r="D48" s="26">
        <f t="shared" ref="D48:E52" si="7">F218</f>
        <v>4638.58661997322</v>
      </c>
      <c r="E48" s="19">
        <f t="shared" si="7"/>
        <v>10668749.225938406</v>
      </c>
      <c r="F48" s="19">
        <f t="shared" ref="F48:F55" si="8">IF($B$30=0,0,E48/$B$30)</f>
        <v>31.494090773654055</v>
      </c>
    </row>
    <row r="49" spans="1:6" x14ac:dyDescent="0.35">
      <c r="A49" s="9" t="s">
        <v>99</v>
      </c>
      <c r="B49" s="18">
        <f>D219</f>
        <v>163.9</v>
      </c>
      <c r="C49" s="9" t="s">
        <v>91</v>
      </c>
      <c r="D49" s="26">
        <f t="shared" si="7"/>
        <v>34605.650593126396</v>
      </c>
      <c r="E49" s="19">
        <f t="shared" si="7"/>
        <v>5671866.1322134165</v>
      </c>
      <c r="F49" s="19">
        <f t="shared" si="8"/>
        <v>16.743318550374067</v>
      </c>
    </row>
    <row r="50" spans="1:6" x14ac:dyDescent="0.35">
      <c r="A50" s="9" t="s">
        <v>100</v>
      </c>
      <c r="B50" s="18">
        <f>D220</f>
        <v>2587.33</v>
      </c>
      <c r="C50" s="9" t="s">
        <v>91</v>
      </c>
      <c r="D50" s="26">
        <f t="shared" si="7"/>
        <v>34879.084201740901</v>
      </c>
      <c r="E50" s="19">
        <f t="shared" si="7"/>
        <v>90243700.927690282</v>
      </c>
      <c r="F50" s="19">
        <f t="shared" si="8"/>
        <v>266.39892348928805</v>
      </c>
    </row>
    <row r="51" spans="1:6" x14ac:dyDescent="0.35">
      <c r="A51" s="9" t="s">
        <v>101</v>
      </c>
      <c r="B51" s="18">
        <f>D221</f>
        <v>2636.83</v>
      </c>
      <c r="C51" s="9" t="s">
        <v>91</v>
      </c>
      <c r="D51" s="26">
        <f t="shared" si="7"/>
        <v>33799.844959105903</v>
      </c>
      <c r="E51" s="19">
        <f t="shared" si="7"/>
        <v>89124445.183519214</v>
      </c>
      <c r="F51" s="19">
        <f t="shared" si="8"/>
        <v>263.09488650619392</v>
      </c>
    </row>
    <row r="52" spans="1:6" x14ac:dyDescent="0.35">
      <c r="A52" s="9" t="s">
        <v>102</v>
      </c>
      <c r="B52" s="18">
        <f>D222</f>
        <v>9430</v>
      </c>
      <c r="C52" s="9" t="s">
        <v>103</v>
      </c>
      <c r="D52" s="26">
        <f t="shared" si="7"/>
        <v>9647.6885763610098</v>
      </c>
      <c r="E52" s="19">
        <f t="shared" si="7"/>
        <v>90977703.275084317</v>
      </c>
      <c r="F52" s="19">
        <f t="shared" si="8"/>
        <v>268.56569450127324</v>
      </c>
    </row>
    <row r="53" spans="1:6" x14ac:dyDescent="0.35">
      <c r="A53" s="9" t="s">
        <v>104</v>
      </c>
      <c r="C53" s="9" t="s">
        <v>105</v>
      </c>
      <c r="E53" s="19">
        <f>SUMIF($C$214:$C$227,"Other cost",$G$214:$G$227)</f>
        <v>14716191.12813504</v>
      </c>
      <c r="F53" s="19">
        <f t="shared" si="8"/>
        <v>43.442117666905901</v>
      </c>
    </row>
    <row r="54" spans="1:6" x14ac:dyDescent="0.35">
      <c r="A54" s="20" t="s">
        <v>106</v>
      </c>
      <c r="B54" s="25"/>
      <c r="C54" s="25"/>
      <c r="D54" s="25"/>
      <c r="E54" s="22">
        <f>E48+E49+E50+E51+E52+E53</f>
        <v>301402655.87258065</v>
      </c>
      <c r="F54" s="22">
        <f t="shared" si="8"/>
        <v>889.73903148768909</v>
      </c>
    </row>
    <row r="55" spans="1:6" x14ac:dyDescent="0.35">
      <c r="A55" s="20" t="s">
        <v>107</v>
      </c>
      <c r="B55" s="25"/>
      <c r="C55" s="25"/>
      <c r="D55" s="25"/>
      <c r="E55" s="22">
        <f>E43+E45+E46+E54</f>
        <v>5924226865.0902233</v>
      </c>
      <c r="F55" s="22">
        <f t="shared" si="8"/>
        <v>17488.286086925094</v>
      </c>
    </row>
    <row r="56" spans="1:6" x14ac:dyDescent="0.35">
      <c r="A56" s="4" t="s">
        <v>108</v>
      </c>
    </row>
    <row r="57" spans="1:6" x14ac:dyDescent="0.35">
      <c r="A57" s="9" t="s">
        <v>109</v>
      </c>
      <c r="B57" s="18">
        <f>$C$197</f>
        <v>409266</v>
      </c>
      <c r="C57" s="9" t="s">
        <v>110</v>
      </c>
      <c r="D57" s="26">
        <f>IF(B57=0,0,E57/B57)</f>
        <v>268.8266921757488</v>
      </c>
      <c r="E57" s="10">
        <f>'BIAYA BERSAMA'!C116</f>
        <v>110021625</v>
      </c>
      <c r="F57" s="19">
        <f t="shared" ref="F57:F65" si="9">IF($B$30=0,0,E57/$B$30)</f>
        <v>324.78324979188437</v>
      </c>
    </row>
    <row r="58" spans="1:6" x14ac:dyDescent="0.35">
      <c r="A58" s="9" t="s">
        <v>111</v>
      </c>
      <c r="C58" s="9"/>
      <c r="E58" s="10">
        <f>'BIAYA BERSAMA'!C115</f>
        <v>554727655.72994423</v>
      </c>
      <c r="F58" s="19">
        <f t="shared" si="9"/>
        <v>1637.5530790188286</v>
      </c>
    </row>
    <row r="59" spans="1:6" x14ac:dyDescent="0.35">
      <c r="A59" s="9" t="s">
        <v>112</v>
      </c>
      <c r="C59" s="9"/>
      <c r="E59" s="10">
        <f>'BIAYA BERSAMA'!C117</f>
        <v>334935995.82828629</v>
      </c>
      <c r="F59" s="19">
        <f t="shared" si="9"/>
        <v>988.72927206257725</v>
      </c>
    </row>
    <row r="60" spans="1:6" x14ac:dyDescent="0.35">
      <c r="A60" s="9" t="s">
        <v>113</v>
      </c>
      <c r="C60" s="9"/>
      <c r="E60" s="10">
        <f>'BIAYA BERSAMA'!C118</f>
        <v>49949242.185282931</v>
      </c>
      <c r="F60" s="19">
        <f t="shared" si="9"/>
        <v>147.44989634154263</v>
      </c>
    </row>
    <row r="61" spans="1:6" x14ac:dyDescent="0.35">
      <c r="A61" s="9" t="s">
        <v>114</v>
      </c>
      <c r="C61" s="9"/>
      <c r="E61" s="10">
        <f>'BIAYA BERSAMA'!C119</f>
        <v>227487607.23631552</v>
      </c>
      <c r="F61" s="19">
        <f t="shared" si="9"/>
        <v>671.54220241330142</v>
      </c>
    </row>
    <row r="62" spans="1:6" x14ac:dyDescent="0.35">
      <c r="A62" s="9" t="s">
        <v>115</v>
      </c>
      <c r="C62" s="9"/>
      <c r="E62" s="10">
        <f>'BIAYA BERSAMA'!C120</f>
        <v>126091707.14077699</v>
      </c>
      <c r="F62" s="19">
        <f t="shared" si="9"/>
        <v>372.22204650211359</v>
      </c>
    </row>
    <row r="63" spans="1:6" x14ac:dyDescent="0.35">
      <c r="A63" s="20" t="s">
        <v>116</v>
      </c>
      <c r="B63" s="25"/>
      <c r="C63" s="25"/>
      <c r="D63" s="25"/>
      <c r="E63" s="22">
        <f>E59+E60+E61+E62</f>
        <v>738464552.39066172</v>
      </c>
      <c r="F63" s="22">
        <f t="shared" si="9"/>
        <v>2179.943417319535</v>
      </c>
    </row>
    <row r="64" spans="1:6" x14ac:dyDescent="0.35">
      <c r="A64" s="20" t="s">
        <v>117</v>
      </c>
      <c r="B64" s="25"/>
      <c r="C64" s="25"/>
      <c r="D64" s="25"/>
      <c r="E64" s="22">
        <f>E57+E58+E63</f>
        <v>1403213833.1206059</v>
      </c>
      <c r="F64" s="22">
        <f t="shared" si="9"/>
        <v>4142.279746130248</v>
      </c>
    </row>
    <row r="65" spans="1:6" x14ac:dyDescent="0.35">
      <c r="A65" s="20" t="s">
        <v>118</v>
      </c>
      <c r="B65" s="25"/>
      <c r="C65" s="25"/>
      <c r="D65" s="25"/>
      <c r="E65" s="22">
        <f>E55+E64</f>
        <v>7327440698.2108288</v>
      </c>
      <c r="F65" s="22">
        <f t="shared" si="9"/>
        <v>21630.565833055341</v>
      </c>
    </row>
    <row r="66" spans="1:6" x14ac:dyDescent="0.35">
      <c r="A66" s="3" t="s">
        <v>119</v>
      </c>
      <c r="B66" s="27">
        <f>IF($B$30=0,0,(B41+IF($D$229=0,0,B42/$D$229))/$B$30)</f>
        <v>3.2732689347254547</v>
      </c>
      <c r="C66" s="9" t="s">
        <v>120</v>
      </c>
      <c r="D66" s="16" t="s">
        <v>121</v>
      </c>
      <c r="E66" s="27">
        <f>INDEX(BUDGET!$C$15:$R$15,$E$5)</f>
        <v>3.2</v>
      </c>
    </row>
    <row r="67" spans="1:6" x14ac:dyDescent="0.35">
      <c r="A67" s="3" t="s">
        <v>122</v>
      </c>
      <c r="B67" s="23">
        <f>IF(B66*$B$30=0,0,IF($D$229=0,0,B42/$D$229)/(B66*$B$30))</f>
        <v>0.43592775747151147</v>
      </c>
      <c r="D67" s="16" t="s">
        <v>121</v>
      </c>
      <c r="E67" s="23">
        <f>INDEX(BUDGET!$C$21:$R$21,$E$5)</f>
        <v>7.4774482552617899E-2</v>
      </c>
    </row>
    <row r="69" spans="1:6" x14ac:dyDescent="0.35">
      <c r="A69" s="4" t="s">
        <v>123</v>
      </c>
    </row>
    <row r="70" spans="1:6" ht="24" customHeight="1" x14ac:dyDescent="0.35">
      <c r="A70" s="8" t="s">
        <v>2</v>
      </c>
      <c r="B70" s="8" t="s">
        <v>124</v>
      </c>
      <c r="C70" s="8"/>
      <c r="D70" s="8" t="s">
        <v>89</v>
      </c>
      <c r="E70" s="8" t="s">
        <v>88</v>
      </c>
      <c r="F70" s="8" t="s">
        <v>50</v>
      </c>
    </row>
    <row r="71" spans="1:6" x14ac:dyDescent="0.35">
      <c r="A71" s="9" t="s">
        <v>76</v>
      </c>
      <c r="B71" s="18">
        <f>B29</f>
        <v>2431</v>
      </c>
      <c r="E71" s="19">
        <f>$C$195</f>
        <v>52116466.267092504</v>
      </c>
    </row>
    <row r="72" spans="1:6" x14ac:dyDescent="0.35">
      <c r="A72" s="9" t="s">
        <v>125</v>
      </c>
      <c r="B72" s="18">
        <f>B30</f>
        <v>338754</v>
      </c>
      <c r="E72" s="19">
        <f>E65</f>
        <v>7327440698.2108288</v>
      </c>
    </row>
    <row r="73" spans="1:6" x14ac:dyDescent="0.35">
      <c r="A73" s="9" t="s">
        <v>126</v>
      </c>
      <c r="B73" s="18">
        <f>-B33</f>
        <v>-13755</v>
      </c>
      <c r="D73" s="26">
        <f>$C$208</f>
        <v>9777.2711808889308</v>
      </c>
      <c r="E73" s="19">
        <f>-B33*$C$208</f>
        <v>-134486365.09312725</v>
      </c>
    </row>
    <row r="74" spans="1:6" x14ac:dyDescent="0.35">
      <c r="A74" s="20" t="s">
        <v>127</v>
      </c>
      <c r="B74" s="21">
        <f>SUM(B71:B73)</f>
        <v>327430</v>
      </c>
      <c r="C74" s="25"/>
      <c r="D74" s="25"/>
      <c r="E74" s="22">
        <f>SUM(E71:E73)</f>
        <v>7245070799.3847942</v>
      </c>
      <c r="F74" s="25"/>
    </row>
    <row r="75" spans="1:6" x14ac:dyDescent="0.35">
      <c r="A75" s="4" t="s">
        <v>128</v>
      </c>
      <c r="D75" s="28">
        <f>IF(B74=0,0,E74/B74)</f>
        <v>22127.083038771016</v>
      </c>
      <c r="F75" s="26">
        <f>INDEX(BUDGET!$C$80:$R$80,$E$5)</f>
        <v>24796.091897074399</v>
      </c>
    </row>
    <row r="76" spans="1:6" x14ac:dyDescent="0.35">
      <c r="A76" s="9" t="s">
        <v>79</v>
      </c>
      <c r="B76" s="18">
        <f>B32</f>
        <v>317712.5</v>
      </c>
      <c r="E76" s="19">
        <f>B76*$D$75</f>
        <v>7030050869.9555359</v>
      </c>
    </row>
    <row r="77" spans="1:6" x14ac:dyDescent="0.35">
      <c r="A77" s="9" t="s">
        <v>129</v>
      </c>
      <c r="B77" s="18">
        <f>B34</f>
        <v>9360</v>
      </c>
      <c r="E77" s="19">
        <f>B77*$D$75</f>
        <v>207109497.24289671</v>
      </c>
    </row>
    <row r="78" spans="1:6" x14ac:dyDescent="0.35">
      <c r="A78" s="9" t="s">
        <v>82</v>
      </c>
      <c r="B78" s="18">
        <f>B35</f>
        <v>357.5</v>
      </c>
      <c r="E78" s="19">
        <f>B78*$D$75</f>
        <v>7910432.1863606377</v>
      </c>
    </row>
    <row r="79" spans="1:6" x14ac:dyDescent="0.35">
      <c r="A79" s="20" t="s">
        <v>130</v>
      </c>
      <c r="B79" s="21">
        <f>SUM(B76:B78)</f>
        <v>327430</v>
      </c>
      <c r="C79" s="25"/>
      <c r="D79" s="25"/>
      <c r="E79" s="22">
        <f>SUM(E76:E78)</f>
        <v>7245070799.3847933</v>
      </c>
      <c r="F79" s="25"/>
    </row>
    <row r="80" spans="1:6" x14ac:dyDescent="0.35">
      <c r="A80" s="3"/>
      <c r="B80" s="18">
        <f>B74-B79</f>
        <v>0</v>
      </c>
      <c r="E80" s="19">
        <f>E74-E79</f>
        <v>0</v>
      </c>
    </row>
    <row r="81" spans="1:13" x14ac:dyDescent="0.35">
      <c r="A81" s="3"/>
      <c r="E81" s="19"/>
    </row>
    <row r="83" spans="1:13" x14ac:dyDescent="0.35">
      <c r="A83" s="6" t="s">
        <v>133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1:13" ht="24" customHeight="1" x14ac:dyDescent="0.35">
      <c r="A84" s="8" t="s">
        <v>2</v>
      </c>
      <c r="B84" s="8" t="s">
        <v>124</v>
      </c>
      <c r="C84" s="8"/>
      <c r="D84" s="8" t="s">
        <v>89</v>
      </c>
      <c r="E84" s="8" t="s">
        <v>88</v>
      </c>
      <c r="F84" s="8" t="s">
        <v>50</v>
      </c>
    </row>
    <row r="85" spans="1:13" x14ac:dyDescent="0.35">
      <c r="A85" s="9" t="s">
        <v>134</v>
      </c>
      <c r="B85" s="18">
        <f>$C$200</f>
        <v>0</v>
      </c>
      <c r="E85" s="19">
        <f>IF($C$200=0,0,$C$201)</f>
        <v>0</v>
      </c>
    </row>
    <row r="86" spans="1:13" x14ac:dyDescent="0.35">
      <c r="A86" s="9" t="s">
        <v>135</v>
      </c>
      <c r="B86" s="18">
        <f>B76</f>
        <v>317712.5</v>
      </c>
      <c r="E86" s="19">
        <f>E76</f>
        <v>7030050869.9555359</v>
      </c>
    </row>
    <row r="87" spans="1:13" x14ac:dyDescent="0.35">
      <c r="A87" s="20" t="s">
        <v>136</v>
      </c>
      <c r="B87" s="21">
        <f>B85+B86</f>
        <v>317712.5</v>
      </c>
      <c r="C87" s="25"/>
      <c r="D87" s="25"/>
      <c r="E87" s="22">
        <f>E85+E86</f>
        <v>7030050869.9555359</v>
      </c>
      <c r="F87" s="25"/>
    </row>
    <row r="88" spans="1:13" x14ac:dyDescent="0.35">
      <c r="A88" s="4" t="s">
        <v>128</v>
      </c>
      <c r="D88" s="28">
        <f>IF(B87=0,0,E87/B87)</f>
        <v>22127.083038771016</v>
      </c>
      <c r="F88" s="26">
        <f>INDEX(BUDGET!$C$81:$R$81,$E$5)</f>
        <v>24789.4411788996</v>
      </c>
    </row>
    <row r="89" spans="1:13" x14ac:dyDescent="0.35">
      <c r="A89" s="9" t="s">
        <v>137</v>
      </c>
      <c r="B89" s="18">
        <f>$C$202</f>
        <v>301075.5</v>
      </c>
      <c r="E89" s="19">
        <f>B89*$D$88</f>
        <v>6661922589.4395027</v>
      </c>
    </row>
    <row r="90" spans="1:13" x14ac:dyDescent="0.35">
      <c r="A90" s="9" t="s">
        <v>138</v>
      </c>
      <c r="B90" s="18">
        <f>'LAIN-LAIN'!$D$43</f>
        <v>9757</v>
      </c>
      <c r="E90" s="19">
        <f>B90*$D$88</f>
        <v>215893949.20928881</v>
      </c>
    </row>
    <row r="91" spans="1:13" x14ac:dyDescent="0.35">
      <c r="A91" s="9" t="s">
        <v>139</v>
      </c>
      <c r="B91" s="18">
        <f>$C$203</f>
        <v>7029</v>
      </c>
      <c r="E91" s="19">
        <f>B91*$D$88</f>
        <v>155531266.67952147</v>
      </c>
    </row>
    <row r="92" spans="1:13" x14ac:dyDescent="0.35">
      <c r="A92" s="9" t="s">
        <v>140</v>
      </c>
      <c r="B92" s="18">
        <f>B87-B89-B90-B91</f>
        <v>-149</v>
      </c>
      <c r="E92" s="19">
        <f>B92*$D$88</f>
        <v>-3296935.3727768813</v>
      </c>
    </row>
    <row r="93" spans="1:13" x14ac:dyDescent="0.35">
      <c r="A93" s="3" t="s">
        <v>1007</v>
      </c>
      <c r="E93" s="19">
        <f>$C$204</f>
        <v>145544598.59</v>
      </c>
    </row>
    <row r="94" spans="1:13" x14ac:dyDescent="0.35">
      <c r="A94" s="3" t="s">
        <v>1008</v>
      </c>
      <c r="E94" s="19">
        <f>$C$201-E85</f>
        <v>-17.55</v>
      </c>
    </row>
    <row r="95" spans="1:13" x14ac:dyDescent="0.35">
      <c r="A95" s="3" t="s">
        <v>1009</v>
      </c>
      <c r="B95" s="18">
        <f>$C$205-B86</f>
        <v>14256</v>
      </c>
    </row>
    <row r="96" spans="1:13" x14ac:dyDescent="0.35">
      <c r="A96" s="3" t="s">
        <v>1010</v>
      </c>
      <c r="B96" s="18">
        <f>$C$206-B90</f>
        <v>14107</v>
      </c>
    </row>
    <row r="98" spans="1:13" x14ac:dyDescent="0.35">
      <c r="A98" s="4" t="s">
        <v>11</v>
      </c>
    </row>
    <row r="99" spans="1:13" x14ac:dyDescent="0.35">
      <c r="A99" s="9" t="s">
        <v>143</v>
      </c>
      <c r="E99" s="19">
        <f>E89</f>
        <v>6661922589.4395027</v>
      </c>
    </row>
    <row r="100" spans="1:13" x14ac:dyDescent="0.35">
      <c r="A100" s="9" t="s">
        <v>144</v>
      </c>
      <c r="E100" s="19">
        <f>E77</f>
        <v>207109497.24289671</v>
      </c>
    </row>
    <row r="101" spans="1:13" x14ac:dyDescent="0.35">
      <c r="A101" s="9" t="s">
        <v>145</v>
      </c>
      <c r="E101" s="19">
        <f>E92</f>
        <v>-3296935.3727768813</v>
      </c>
    </row>
    <row r="102" spans="1:13" x14ac:dyDescent="0.35">
      <c r="A102" s="9" t="s">
        <v>146</v>
      </c>
      <c r="B102" s="18">
        <f>$C$207</f>
        <v>6062</v>
      </c>
      <c r="D102" s="26">
        <f>$C$208</f>
        <v>9777.2711808889308</v>
      </c>
      <c r="E102" s="19">
        <f>B102*$C$208</f>
        <v>59269817.8985487</v>
      </c>
    </row>
    <row r="103" spans="1:13" x14ac:dyDescent="0.35">
      <c r="A103" s="20" t="s">
        <v>147</v>
      </c>
      <c r="B103" s="25"/>
      <c r="C103" s="25"/>
      <c r="D103" s="25"/>
      <c r="E103" s="22">
        <f>E99+E100+E101+E102</f>
        <v>6925004969.2081718</v>
      </c>
      <c r="F103" s="25"/>
    </row>
    <row r="104" spans="1:13" x14ac:dyDescent="0.35">
      <c r="A104" s="4" t="s">
        <v>148</v>
      </c>
      <c r="D104" s="28">
        <f>IF(B89=0,0,(E99+E100)/B89)</f>
        <v>22814.981912119718</v>
      </c>
      <c r="F104" s="26">
        <f>IF(INDEX(BUDGET!$C$10:$R$10,$E$5)=0,0,INDEX(BUDGET!$C$84:$R$84,$E$5)/INDEX(BUDGET!$C$10:$R$10,$E$5))</f>
        <v>25736.787610703737</v>
      </c>
    </row>
    <row r="105" spans="1:13" x14ac:dyDescent="0.35">
      <c r="A105" s="3" t="s">
        <v>149</v>
      </c>
      <c r="E105" s="19">
        <f>INDEX(BUDGET!$C$84:$R$84,$E$5)</f>
        <v>7164440074.2737799</v>
      </c>
    </row>
    <row r="107" spans="1:13" x14ac:dyDescent="0.35">
      <c r="A107" s="6" t="s">
        <v>150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3" ht="30" customHeight="1" x14ac:dyDescent="0.35">
      <c r="A108" s="8" t="s">
        <v>47</v>
      </c>
      <c r="B108" s="8" t="s">
        <v>151</v>
      </c>
      <c r="C108" s="8" t="s">
        <v>152</v>
      </c>
      <c r="D108" s="8" t="s">
        <v>153</v>
      </c>
      <c r="E108" s="8" t="s">
        <v>154</v>
      </c>
      <c r="F108" s="8" t="s">
        <v>16</v>
      </c>
      <c r="G108" s="8" t="s">
        <v>17</v>
      </c>
      <c r="H108" s="8" t="s">
        <v>18</v>
      </c>
      <c r="I108" s="8" t="s">
        <v>19</v>
      </c>
      <c r="J108" s="8" t="s">
        <v>20</v>
      </c>
      <c r="K108" s="8" t="s">
        <v>21</v>
      </c>
      <c r="L108" s="8" t="s">
        <v>22</v>
      </c>
      <c r="M108" s="8" t="s">
        <v>155</v>
      </c>
    </row>
    <row r="109" spans="1:13" x14ac:dyDescent="0.35">
      <c r="A109" s="9" t="s">
        <v>90</v>
      </c>
      <c r="B109" s="27">
        <f>IF($B$30=0,0,B41/$B$30)</f>
        <v>1.8463601484094239</v>
      </c>
      <c r="C109" s="27">
        <f>IF($D$30=0,0,INDEX(BUDGET!$C$18:$R$18,$E$5)/$D$30)</f>
        <v>2.9607216558316236</v>
      </c>
      <c r="D109" s="26">
        <f>D41</f>
        <v>2673.5488886888002</v>
      </c>
      <c r="E109" s="26">
        <f>IF(INDEX(BUDGET!$C$18:$R$18,$E$5)=0,0,INDEX(BUDGET!$C$20:$R$20,$E$5)/INDEX(BUDGET!$C$18:$R$18,$E$5))</f>
        <v>3000</v>
      </c>
      <c r="F109" s="19">
        <f>F41</f>
        <v>4936.334122899304</v>
      </c>
      <c r="G109" s="19">
        <f>IF($D$30=0,0,INDEX(BUDGET!$C$20:$R$20,$E$5)/$D$30)</f>
        <v>8882.1649674948712</v>
      </c>
      <c r="H109" s="19">
        <f>F109-G109</f>
        <v>-3945.8308445955672</v>
      </c>
      <c r="I109" s="19">
        <f>(D109-E109)*B109</f>
        <v>-602.74632232896829</v>
      </c>
      <c r="J109" s="19">
        <f>(B109-C109)*E109</f>
        <v>-3343.0845222665994</v>
      </c>
      <c r="K109" s="19">
        <v>0</v>
      </c>
      <c r="L109" s="19">
        <v>0</v>
      </c>
      <c r="M109" s="19">
        <f>H109-I109-J109-K109-L109</f>
        <v>4.5474735088646412E-13</v>
      </c>
    </row>
    <row r="110" spans="1:13" x14ac:dyDescent="0.35">
      <c r="A110" s="9" t="s">
        <v>92</v>
      </c>
      <c r="B110" s="27">
        <f>IF($B$30=0,0,B42/$B$30)</f>
        <v>0.93368639189500346</v>
      </c>
      <c r="C110" s="27">
        <f>IF($D$30=0,0,INDEX(BUDGET!$C$22:$R$22,$E$5)/$D$30)</f>
        <v>0.16723632151488885</v>
      </c>
      <c r="D110" s="26">
        <f>D42</f>
        <v>4526.8045148439696</v>
      </c>
      <c r="E110" s="26">
        <f>IF(INDEX(BUDGET!$C$22:$R$22,$E$5)=0,0,INDEX(BUDGET!$C$24:$R$24,$E$5)/INDEX(BUDGET!$C$22:$R$22,$E$5))</f>
        <v>4700</v>
      </c>
      <c r="F110" s="19">
        <f>F42</f>
        <v>4226.6157742786772</v>
      </c>
      <c r="G110" s="19">
        <f>IF($D$30=0,0,INDEX(BUDGET!$C$24:$R$24,$E$5)/$D$30)</f>
        <v>786.01071111997749</v>
      </c>
      <c r="H110" s="19">
        <f>F110-G110</f>
        <v>3440.6050631586995</v>
      </c>
      <c r="I110" s="19">
        <f>(D110-E110)*B110</f>
        <v>-161.71026762783862</v>
      </c>
      <c r="J110" s="19">
        <f>(B110-C110)*E110</f>
        <v>3602.3153307865387</v>
      </c>
      <c r="K110" s="19">
        <v>0</v>
      </c>
      <c r="L110" s="19">
        <v>0</v>
      </c>
      <c r="M110" s="19">
        <f>H110-I110-J110-K110-L110</f>
        <v>-4.5474735088646412E-13</v>
      </c>
    </row>
    <row r="111" spans="1:13" x14ac:dyDescent="0.35">
      <c r="A111" s="20" t="s">
        <v>52</v>
      </c>
      <c r="B111" s="25"/>
      <c r="C111" s="25"/>
      <c r="D111" s="25"/>
      <c r="E111" s="25"/>
      <c r="F111" s="22">
        <f t="shared" ref="F111:M111" si="10">F109+F110</f>
        <v>9162.9498971779813</v>
      </c>
      <c r="G111" s="22">
        <f t="shared" si="10"/>
        <v>9668.1756786148489</v>
      </c>
      <c r="H111" s="22">
        <f t="shared" si="10"/>
        <v>-505.22578143686769</v>
      </c>
      <c r="I111" s="22">
        <f t="shared" si="10"/>
        <v>-764.45658995680697</v>
      </c>
      <c r="J111" s="22">
        <f t="shared" si="10"/>
        <v>259.23080851993927</v>
      </c>
      <c r="K111" s="22">
        <f t="shared" si="10"/>
        <v>0</v>
      </c>
      <c r="L111" s="22">
        <f t="shared" si="10"/>
        <v>0</v>
      </c>
      <c r="M111" s="22">
        <f t="shared" si="10"/>
        <v>0</v>
      </c>
    </row>
    <row r="112" spans="1:13" x14ac:dyDescent="0.35">
      <c r="A112" s="9" t="s">
        <v>95</v>
      </c>
      <c r="B112" s="27">
        <f>IF($B$30=0,0,B45/$B$30)</f>
        <v>0.23299503474497718</v>
      </c>
      <c r="C112" s="27">
        <f>IF($D$30=0,0,INDEX(BUDGET!$C$27:$R$27,$E$5)/$D$30)</f>
        <v>0.28196708350199512</v>
      </c>
      <c r="D112" s="26">
        <f>D45</f>
        <v>17257.997793724498</v>
      </c>
      <c r="E112" s="26">
        <f>IF(INDEX(BUDGET!$C$27:$R$27,$E$5)=0,0,INDEX(BUDGET!$C$29:$R$29,$E$5)/INDEX(BUDGET!$C$27:$R$27,$E$5))</f>
        <v>16774.634009465713</v>
      </c>
      <c r="F112" s="19">
        <f>F45</f>
        <v>4021.0277955775791</v>
      </c>
      <c r="G112" s="19">
        <f>IF($D$30=0,0,INDEX(BUDGET!$C$29:$R$29,$E$5)/$D$30)</f>
        <v>4729.8946284624253</v>
      </c>
      <c r="H112" s="19">
        <f>F112-G112</f>
        <v>-708.86683288484619</v>
      </c>
      <c r="I112" s="19">
        <f>(D112-E112)*B112</f>
        <v>112.62136170783927</v>
      </c>
      <c r="J112" s="19">
        <f>(B112-C112)*E112</f>
        <v>-821.48819459268623</v>
      </c>
      <c r="K112" s="19">
        <v>0</v>
      </c>
      <c r="L112" s="19">
        <v>0</v>
      </c>
      <c r="M112" s="19">
        <f>H112-I112-J112-K112-L112</f>
        <v>7.9580786405131221E-13</v>
      </c>
    </row>
    <row r="113" spans="1:13" x14ac:dyDescent="0.35">
      <c r="A113" s="20" t="s">
        <v>53</v>
      </c>
      <c r="B113" s="25"/>
      <c r="C113" s="25"/>
      <c r="D113" s="25"/>
      <c r="E113" s="25"/>
      <c r="F113" s="22">
        <f t="shared" ref="F113:M113" si="11">F112</f>
        <v>4021.0277955775791</v>
      </c>
      <c r="G113" s="22">
        <f t="shared" si="11"/>
        <v>4729.8946284624253</v>
      </c>
      <c r="H113" s="22">
        <f t="shared" si="11"/>
        <v>-708.86683288484619</v>
      </c>
      <c r="I113" s="22">
        <f t="shared" si="11"/>
        <v>112.62136170783927</v>
      </c>
      <c r="J113" s="22">
        <f t="shared" si="11"/>
        <v>-821.48819459268623</v>
      </c>
      <c r="K113" s="22">
        <f t="shared" si="11"/>
        <v>0</v>
      </c>
      <c r="L113" s="22">
        <f t="shared" si="11"/>
        <v>0</v>
      </c>
      <c r="M113" s="22">
        <f t="shared" si="11"/>
        <v>7.9580786405131221E-13</v>
      </c>
    </row>
    <row r="114" spans="1:13" x14ac:dyDescent="0.35">
      <c r="A114" s="9" t="s">
        <v>156</v>
      </c>
      <c r="B114" s="27">
        <f>IF($B$30=0,0,B46/$B$30)</f>
        <v>1.5053264222580146E-2</v>
      </c>
      <c r="C114" s="27">
        <f>IF($D$30=0,0,INDEX(BUDGET!$C$31:$R$31,$E$5)/$D$30)</f>
        <v>1.5203583764663096E-2</v>
      </c>
      <c r="D114" s="26">
        <f>D46</f>
        <v>226832.48710667918</v>
      </c>
      <c r="E114" s="26">
        <f>IF(INDEX(BUDGET!$C$31:$R$31,$E$5)=0,0,INDEX(BUDGET!$C$32:$R$32,$E$5)/INDEX(BUDGET!$C$31:$R$31,$E$5))</f>
        <v>229500.00000000015</v>
      </c>
      <c r="F114" s="19">
        <f>F46</f>
        <v>3414.5693626818456</v>
      </c>
      <c r="G114" s="19">
        <f>IF($D$30=0,0,INDEX(BUDGET!$C$32:$R$32,$E$5)/$D$30)</f>
        <v>3489.2224739901826</v>
      </c>
      <c r="H114" s="19">
        <f>F114-G114</f>
        <v>-74.653111308336975</v>
      </c>
      <c r="I114" s="19">
        <f>(D114-E114)*B114</f>
        <v>-40.15477640029971</v>
      </c>
      <c r="J114" s="19">
        <f>(B114-C114)*E114</f>
        <v>-34.498334908037251</v>
      </c>
      <c r="K114" s="19">
        <v>0</v>
      </c>
      <c r="L114" s="19">
        <v>0</v>
      </c>
      <c r="M114" s="19">
        <f>H114-I114-J114-K114-L114</f>
        <v>-1.4210854715202004E-14</v>
      </c>
    </row>
    <row r="115" spans="1:13" x14ac:dyDescent="0.35">
      <c r="A115" s="20" t="s">
        <v>54</v>
      </c>
      <c r="B115" s="25"/>
      <c r="C115" s="25"/>
      <c r="D115" s="25"/>
      <c r="E115" s="25"/>
      <c r="F115" s="22">
        <f t="shared" ref="F115:M115" si="12">F114</f>
        <v>3414.5693626818456</v>
      </c>
      <c r="G115" s="22">
        <f t="shared" si="12"/>
        <v>3489.2224739901826</v>
      </c>
      <c r="H115" s="22">
        <f t="shared" si="12"/>
        <v>-74.653111308336975</v>
      </c>
      <c r="I115" s="22">
        <f t="shared" si="12"/>
        <v>-40.15477640029971</v>
      </c>
      <c r="J115" s="22">
        <f t="shared" si="12"/>
        <v>-34.498334908037251</v>
      </c>
      <c r="K115" s="22">
        <f t="shared" si="12"/>
        <v>0</v>
      </c>
      <c r="L115" s="22">
        <f t="shared" si="12"/>
        <v>0</v>
      </c>
      <c r="M115" s="22">
        <f t="shared" si="12"/>
        <v>-1.4210854715202004E-14</v>
      </c>
    </row>
    <row r="116" spans="1:13" x14ac:dyDescent="0.35">
      <c r="A116" s="9" t="s">
        <v>98</v>
      </c>
      <c r="B116" s="27">
        <f>IF($B$30=0,0,B48/$B$30)</f>
        <v>6.7895877244253944E-3</v>
      </c>
      <c r="C116" s="27">
        <f>IF($D$30=0,0,INDEX(BUDGET!$C$33:$R$33,$E$5)/$D$30)</f>
        <v>7.2056027501848146E-3</v>
      </c>
      <c r="D116" s="26">
        <f>D48</f>
        <v>4638.58661997322</v>
      </c>
      <c r="E116" s="26">
        <f>IF(INDEX(BUDGET!$C$33:$R$33,$E$5)=0,0,INDEX(BUDGET!$C$35:$R$35,$E$5)/INDEX(BUDGET!$C$33:$R$33,$E$5))</f>
        <v>4626.1795798090225</v>
      </c>
      <c r="F116" s="19">
        <f t="shared" ref="F116:F121" si="13">F48</f>
        <v>31.494090773654055</v>
      </c>
      <c r="G116" s="19">
        <f>IF($D$30=0,0,INDEX(BUDGET!$C$35:$R$35,$E$5)/$D$30)</f>
        <v>33.334412303120722</v>
      </c>
      <c r="H116" s="19">
        <f t="shared" ref="H116:H121" si="14">F116-G116</f>
        <v>-1.8403215294666673</v>
      </c>
      <c r="I116" s="19">
        <f>(D116-E116)*B116</f>
        <v>8.4238687595288159E-2</v>
      </c>
      <c r="J116" s="19">
        <f>(B116-C116)*E116</f>
        <v>-1.9245602170619545</v>
      </c>
      <c r="K116" s="19">
        <v>0</v>
      </c>
      <c r="L116" s="19">
        <v>0</v>
      </c>
      <c r="M116" s="19">
        <f t="shared" ref="M116:M121" si="15">H116-I116-J116-K116-L116</f>
        <v>-8.8817841970012523E-16</v>
      </c>
    </row>
    <row r="117" spans="1:13" x14ac:dyDescent="0.35">
      <c r="A117" s="9" t="s">
        <v>99</v>
      </c>
      <c r="B117" s="27">
        <f>IF($B$30=0,0,B49/$B$30)</f>
        <v>4.8383192523187917E-4</v>
      </c>
      <c r="C117" s="27">
        <f>IF($D$30=0,0,INDEX(BUDGET!$C$36:$R$36,$E$5)/$D$30)</f>
        <v>1.0189374474703684E-3</v>
      </c>
      <c r="D117" s="26">
        <f>D49</f>
        <v>34605.650593126396</v>
      </c>
      <c r="E117" s="26">
        <f>IF(INDEX(BUDGET!$C$36:$R$36,$E$5)=0,0,INDEX(BUDGET!$C$38:$R$38,$E$5)/INDEX(BUDGET!$C$36:$R$36,$E$5))</f>
        <v>31542.625913469565</v>
      </c>
      <c r="F117" s="19">
        <f t="shared" si="13"/>
        <v>16.743318550374067</v>
      </c>
      <c r="G117" s="19">
        <f>IF($D$30=0,0,INDEX(BUDGET!$C$38:$R$38,$E$5)/$D$30)</f>
        <v>32.139962734783374</v>
      </c>
      <c r="H117" s="19">
        <f t="shared" si="14"/>
        <v>-15.396644184409308</v>
      </c>
      <c r="I117" s="19">
        <f>(D117-E117)*B117</f>
        <v>1.4819891277911248</v>
      </c>
      <c r="J117" s="19">
        <f>(B117-C117)*E117</f>
        <v>-16.878633312200435</v>
      </c>
      <c r="K117" s="19">
        <v>0</v>
      </c>
      <c r="L117" s="19">
        <v>0</v>
      </c>
      <c r="M117" s="19">
        <f t="shared" si="15"/>
        <v>3.5527136788005009E-15</v>
      </c>
    </row>
    <row r="118" spans="1:13" x14ac:dyDescent="0.35">
      <c r="A118" s="9" t="s">
        <v>100</v>
      </c>
      <c r="B118" s="27">
        <f>IF($B$30=0,0,B50/$B$30)</f>
        <v>7.6377843508858932E-3</v>
      </c>
      <c r="C118" s="27">
        <f>IF($D$30=0,0,INDEX(BUDGET!$C$39:$R$39,$E$5)/$D$30)</f>
        <v>6.9676179959947491E-3</v>
      </c>
      <c r="D118" s="26">
        <f>D50</f>
        <v>34879.084201740901</v>
      </c>
      <c r="E118" s="26">
        <f>IF(INDEX(BUDGET!$C$39:$R$39,$E$5)=0,0,INDEX(BUDGET!$C$41:$R$41,$E$5)/INDEX(BUDGET!$C$39:$R$39,$E$5))</f>
        <v>33900.038425008941</v>
      </c>
      <c r="F118" s="19">
        <f t="shared" si="13"/>
        <v>266.39892348928805</v>
      </c>
      <c r="G118" s="19">
        <f>IF($D$30=0,0,INDEX(BUDGET!$C$41:$R$41,$E$5)/$D$30)</f>
        <v>236.20251779500578</v>
      </c>
      <c r="H118" s="19">
        <f t="shared" si="14"/>
        <v>30.196405694282276</v>
      </c>
      <c r="I118" s="19">
        <f>(D118-E118)*B118</f>
        <v>7.4777405123242913</v>
      </c>
      <c r="J118" s="19">
        <f>(B118-C118)*E118</f>
        <v>22.718665181957963</v>
      </c>
      <c r="K118" s="19">
        <v>0</v>
      </c>
      <c r="L118" s="19">
        <v>0</v>
      </c>
      <c r="M118" s="19">
        <f t="shared" si="15"/>
        <v>2.1316282072803006E-14</v>
      </c>
    </row>
    <row r="119" spans="1:13" x14ac:dyDescent="0.35">
      <c r="A119" s="9" t="s">
        <v>101</v>
      </c>
      <c r="B119" s="27">
        <f>IF($B$30=0,0,B51/$B$30)</f>
        <v>7.7839080866941787E-3</v>
      </c>
      <c r="C119" s="27">
        <f>IF($D$30=0,0,INDEX(BUDGET!$C$42:$R$42,$E$5)/$D$30)</f>
        <v>8.029658622777781E-3</v>
      </c>
      <c r="D119" s="26">
        <f>D51</f>
        <v>33799.844959105903</v>
      </c>
      <c r="E119" s="26">
        <f>IF(INDEX(BUDGET!$C$42:$R$42,$E$5)=0,0,INDEX(BUDGET!$C$44:$R$44,$E$5)/INDEX(BUDGET!$C$42:$R$42,$E$5))</f>
        <v>32219.380208561084</v>
      </c>
      <c r="F119" s="19">
        <f t="shared" si="13"/>
        <v>263.09488650619392</v>
      </c>
      <c r="G119" s="19">
        <f>IF($D$30=0,0,INDEX(BUDGET!$C$44:$R$44,$E$5)/$D$30)</f>
        <v>258.71062411222829</v>
      </c>
      <c r="H119" s="19">
        <f t="shared" si="14"/>
        <v>4.3842623939656278</v>
      </c>
      <c r="I119" s="19">
        <f>(D119-E119)*B119</f>
        <v>12.302192352500917</v>
      </c>
      <c r="J119" s="19">
        <f>(B119-C119)*E119</f>
        <v>-7.917929958535292</v>
      </c>
      <c r="K119" s="19">
        <v>0</v>
      </c>
      <c r="L119" s="19">
        <v>0</v>
      </c>
      <c r="M119" s="19">
        <f t="shared" si="15"/>
        <v>2.6645352591003757E-15</v>
      </c>
    </row>
    <row r="120" spans="1:13" x14ac:dyDescent="0.35">
      <c r="A120" s="9" t="s">
        <v>102</v>
      </c>
      <c r="B120" s="27">
        <f>IF($B$30=0,0,B52/$B$30)</f>
        <v>2.7837309670144115E-2</v>
      </c>
      <c r="C120" s="27">
        <f>IF($D$30=0,0,INDEX(BUDGET!$C$45:$R$45,$E$5)/$D$30)</f>
        <v>2.2437300242546275E-2</v>
      </c>
      <c r="D120" s="26">
        <f>D52</f>
        <v>9647.6885763610098</v>
      </c>
      <c r="E120" s="26">
        <f>IF(INDEX(BUDGET!$C$45:$R$45,$E$5)=0,0,INDEX(BUDGET!$C$47:$R$47,$E$5)/INDEX(BUDGET!$C$45:$R$45,$E$5))</f>
        <v>9281.24020658068</v>
      </c>
      <c r="F120" s="19">
        <f t="shared" si="13"/>
        <v>268.56569450127324</v>
      </c>
      <c r="G120" s="19">
        <f>IF($D$30=0,0,INDEX(BUDGET!$C$47:$R$47,$E$5)/$D$30)</f>
        <v>208.24597313824296</v>
      </c>
      <c r="H120" s="19">
        <f t="shared" si="14"/>
        <v>60.319721363030283</v>
      </c>
      <c r="I120" s="19">
        <f>(D120-E120)*B120</f>
        <v>10.200936747694522</v>
      </c>
      <c r="J120" s="19">
        <f>(B120-C120)*E120</f>
        <v>50.118784615335798</v>
      </c>
      <c r="K120" s="19">
        <v>0</v>
      </c>
      <c r="L120" s="19">
        <v>0</v>
      </c>
      <c r="M120" s="19">
        <f t="shared" si="15"/>
        <v>-3.5527136788005009E-14</v>
      </c>
    </row>
    <row r="121" spans="1:13" x14ac:dyDescent="0.35">
      <c r="A121" s="9" t="s">
        <v>157</v>
      </c>
      <c r="F121" s="19">
        <f t="shared" si="13"/>
        <v>43.442117666905901</v>
      </c>
      <c r="G121" s="19">
        <f>IF($D$30=0,0,INDEX(BUDGET!$C$48:$R$48,$E$5)/$D$30)</f>
        <v>45.440465886426516</v>
      </c>
      <c r="H121" s="19">
        <f t="shared" si="14"/>
        <v>-1.998348219520615</v>
      </c>
      <c r="I121" s="19">
        <v>0</v>
      </c>
      <c r="J121" s="19">
        <f>H121</f>
        <v>-1.998348219520615</v>
      </c>
      <c r="K121" s="19">
        <v>0</v>
      </c>
      <c r="L121" s="19">
        <v>0</v>
      </c>
      <c r="M121" s="19">
        <f t="shared" si="15"/>
        <v>0</v>
      </c>
    </row>
    <row r="122" spans="1:13" x14ac:dyDescent="0.35">
      <c r="A122" s="20" t="s">
        <v>55</v>
      </c>
      <c r="B122" s="25"/>
      <c r="C122" s="25"/>
      <c r="D122" s="25"/>
      <c r="E122" s="25"/>
      <c r="F122" s="22">
        <f t="shared" ref="F122:M122" si="16">F116+F117+F118+F119+F120+F121</f>
        <v>889.7390314876892</v>
      </c>
      <c r="G122" s="22">
        <f t="shared" si="16"/>
        <v>814.07395596980757</v>
      </c>
      <c r="H122" s="22">
        <f t="shared" si="16"/>
        <v>75.665075517881604</v>
      </c>
      <c r="I122" s="22">
        <f t="shared" si="16"/>
        <v>31.547097427906145</v>
      </c>
      <c r="J122" s="22">
        <f t="shared" si="16"/>
        <v>44.117978089975466</v>
      </c>
      <c r="K122" s="22">
        <f t="shared" si="16"/>
        <v>0</v>
      </c>
      <c r="L122" s="22">
        <f t="shared" si="16"/>
        <v>0</v>
      </c>
      <c r="M122" s="22">
        <f t="shared" si="16"/>
        <v>-8.8817841970012523E-15</v>
      </c>
    </row>
    <row r="123" spans="1:13" x14ac:dyDescent="0.35">
      <c r="A123" s="9" t="s">
        <v>158</v>
      </c>
      <c r="B123" s="27">
        <f>IF($B$30=0,0,B57/$B$30)</f>
        <v>1.2081510476629058</v>
      </c>
      <c r="C123" s="27">
        <f>IF($D$30=0,0,INDEX(BUDGET!$C$51:$R$51,$E$5)/$D$30)</f>
        <v>2.0693063572954489</v>
      </c>
      <c r="D123" s="26">
        <f>D57</f>
        <v>268.8266921757488</v>
      </c>
      <c r="E123" s="26">
        <f>IF(INDEX(BUDGET!$C$51:$R$51,$E$5)=0,0,INDEX(BUDGET!$C$53:$R$53,$E$5)/INDEX(BUDGET!$C$51:$R$51,$E$5))</f>
        <v>268.62986034376149</v>
      </c>
      <c r="F123" s="19">
        <f>F57</f>
        <v>324.78324979188437</v>
      </c>
      <c r="G123" s="19">
        <f>IF($D$30=0,0,INDEX(BUDGET!$C$53:$R$53,$E$5)/$D$30)</f>
        <v>555.87747776873414</v>
      </c>
      <c r="H123" s="19">
        <f>F123-G123</f>
        <v>-231.09422797684977</v>
      </c>
      <c r="I123" s="19">
        <f>(D123-E123)*B123</f>
        <v>0.23780258402887833</v>
      </c>
      <c r="J123" s="19">
        <f>(B123-C123)*E123</f>
        <v>-231.33203056087874</v>
      </c>
      <c r="K123" s="19">
        <v>0</v>
      </c>
      <c r="L123" s="19">
        <v>0</v>
      </c>
      <c r="M123" s="19">
        <f>H123-I123-J123-K123-L123</f>
        <v>8.5265128291212022E-14</v>
      </c>
    </row>
    <row r="124" spans="1:13" x14ac:dyDescent="0.35">
      <c r="A124" s="20" t="s">
        <v>56</v>
      </c>
      <c r="B124" s="25"/>
      <c r="C124" s="25"/>
      <c r="D124" s="25"/>
      <c r="E124" s="25"/>
      <c r="F124" s="22">
        <f t="shared" ref="F124:M124" si="17">F123</f>
        <v>324.78324979188437</v>
      </c>
      <c r="G124" s="22">
        <f t="shared" si="17"/>
        <v>555.87747776873414</v>
      </c>
      <c r="H124" s="22">
        <f t="shared" si="17"/>
        <v>-231.09422797684977</v>
      </c>
      <c r="I124" s="22">
        <f t="shared" si="17"/>
        <v>0.23780258402887833</v>
      </c>
      <c r="J124" s="22">
        <f t="shared" si="17"/>
        <v>-231.33203056087874</v>
      </c>
      <c r="K124" s="22">
        <f t="shared" si="17"/>
        <v>0</v>
      </c>
      <c r="L124" s="22">
        <f t="shared" si="17"/>
        <v>0</v>
      </c>
      <c r="M124" s="22">
        <f t="shared" si="17"/>
        <v>8.5265128291212022E-14</v>
      </c>
    </row>
    <row r="125" spans="1:13" x14ac:dyDescent="0.35">
      <c r="A125" s="9" t="s">
        <v>111</v>
      </c>
      <c r="F125" s="19">
        <f>F58</f>
        <v>1637.5530790188286</v>
      </c>
      <c r="G125" s="19">
        <f>IF($D$30=0,0,INDEX(BUDGET!$C$87:$R$87,$E$5)/$D$30)</f>
        <v>2105.5178435648718</v>
      </c>
      <c r="H125" s="19">
        <f>F125-G125</f>
        <v>-467.96476454604317</v>
      </c>
      <c r="I125" s="19">
        <f>IF($B$30=0,0,('BIAYA BERSAMA'!$C$125-INDEX(BUDGET!$C$87:$R$87,$E$5))/$B$30)</f>
        <v>-54.902773831472665</v>
      </c>
      <c r="J125" s="19">
        <v>0</v>
      </c>
      <c r="K125" s="19">
        <f>IF($B$30=0,0,INDEX(BUDGET!$C$87:$R$87,$E$5)/$B$30)-G125</f>
        <v>-241.00084464314978</v>
      </c>
      <c r="L125" s="19">
        <f>IF($B$30=0,0,(E58-'BIAYA BERSAMA'!$C$125)/$B$30)</f>
        <v>-172.06114607142075</v>
      </c>
      <c r="M125" s="19">
        <f>H125-I125-J125-K125-L125</f>
        <v>0</v>
      </c>
    </row>
    <row r="126" spans="1:13" x14ac:dyDescent="0.35">
      <c r="A126" s="20" t="s">
        <v>159</v>
      </c>
      <c r="B126" s="25"/>
      <c r="C126" s="25"/>
      <c r="D126" s="25"/>
      <c r="E126" s="25"/>
      <c r="F126" s="22">
        <f t="shared" ref="F126:M126" si="18">F125</f>
        <v>1637.5530790188286</v>
      </c>
      <c r="G126" s="22">
        <f t="shared" si="18"/>
        <v>2105.5178435648718</v>
      </c>
      <c r="H126" s="22">
        <f t="shared" si="18"/>
        <v>-467.96476454604317</v>
      </c>
      <c r="I126" s="22">
        <f t="shared" si="18"/>
        <v>-54.902773831472665</v>
      </c>
      <c r="J126" s="22">
        <f t="shared" si="18"/>
        <v>0</v>
      </c>
      <c r="K126" s="22">
        <f t="shared" si="18"/>
        <v>-241.00084464314978</v>
      </c>
      <c r="L126" s="22">
        <f t="shared" si="18"/>
        <v>-172.06114607142075</v>
      </c>
      <c r="M126" s="22">
        <f t="shared" si="18"/>
        <v>0</v>
      </c>
    </row>
    <row r="127" spans="1:13" x14ac:dyDescent="0.35">
      <c r="A127" s="9" t="s">
        <v>160</v>
      </c>
      <c r="F127" s="19">
        <f>F59</f>
        <v>988.72927206257725</v>
      </c>
      <c r="G127" s="19">
        <f>IF($D$30=0,0,INDEX(BUDGET!$C$88:$R$88,$E$5)/$D$30)</f>
        <v>1329.7235257373445</v>
      </c>
      <c r="H127" s="19">
        <f>F127-G127</f>
        <v>-340.99425367476726</v>
      </c>
      <c r="I127" s="19">
        <f>IF($B$30=0,0,('BIAYA BERSAMA'!$C$127-INDEX(BUDGET!$C$88:$R$88,$E$5))/$B$30)</f>
        <v>-84.904168257623112</v>
      </c>
      <c r="J127" s="19">
        <v>0</v>
      </c>
      <c r="K127" s="19">
        <f>IF($B$30=0,0,INDEX(BUDGET!$C$88:$R$88,$E$5)/$B$30)-G127</f>
        <v>-152.2022213319201</v>
      </c>
      <c r="L127" s="19">
        <f>IF($B$30=0,0,(E59-'BIAYA BERSAMA'!$C$127)/$B$30)</f>
        <v>-103.88786408522417</v>
      </c>
      <c r="M127" s="19">
        <f>H127-I127-J127-K127-L127</f>
        <v>0</v>
      </c>
    </row>
    <row r="128" spans="1:13" x14ac:dyDescent="0.35">
      <c r="A128" s="9" t="s">
        <v>113</v>
      </c>
      <c r="F128" s="19">
        <f>F60</f>
        <v>147.44989634154263</v>
      </c>
      <c r="G128" s="19">
        <f>IF($D$30=0,0,INDEX(BUDGET!$C$56:$R$56,$E$5)/$D$30)</f>
        <v>172.76797969072024</v>
      </c>
      <c r="H128" s="19">
        <f>F128-G128</f>
        <v>-25.318083349177613</v>
      </c>
      <c r="I128" s="19">
        <f>IF($B$30=0,0,('BIAYA BERSAMA'!$C$128-INDEX(BUDGET!$C$56:$R$56,$E$5))/$B$30)</f>
        <v>4.5592305092739327</v>
      </c>
      <c r="J128" s="19">
        <v>0</v>
      </c>
      <c r="K128" s="19">
        <f>IF($B$30=0,0,INDEX(BUDGET!$C$56:$R$56,$E$5)/$B$30)-G128</f>
        <v>-19.775291460963246</v>
      </c>
      <c r="L128" s="19">
        <f>IF($B$30=0,0,(E60-'BIAYA BERSAMA'!$C$128)/$B$30)</f>
        <v>-10.102022397488298</v>
      </c>
      <c r="M128" s="19">
        <f>H128-I128-J128-K128-L128</f>
        <v>0</v>
      </c>
    </row>
    <row r="129" spans="1:13" x14ac:dyDescent="0.35">
      <c r="A129" s="9" t="s">
        <v>161</v>
      </c>
      <c r="F129" s="19">
        <f>F61</f>
        <v>671.54220241330142</v>
      </c>
      <c r="G129" s="19">
        <f>IF($D$30=0,0,INDEX(BUDGET!$C$57:$R$57,$E$5)/$D$30)</f>
        <v>892.9435260126221</v>
      </c>
      <c r="H129" s="19">
        <f>F129-G129</f>
        <v>-221.40132359932068</v>
      </c>
      <c r="I129" s="19">
        <f>IF($B$30=0,0,('BIAYA BERSAMA'!$C$129-INDEX(BUDGET!$C$57:$R$57,$E$5))/$B$30)</f>
        <v>-119.193619852998</v>
      </c>
      <c r="J129" s="19">
        <v>0</v>
      </c>
      <c r="K129" s="19">
        <f>IF($B$30=0,0,INDEX(BUDGET!$C$57:$R$57,$E$5)/$B$30)-G129</f>
        <v>-102.20770374632264</v>
      </c>
      <c r="L129" s="19">
        <f>IF($B$30=0,0,(E61-'BIAYA BERSAMA'!$C$129)/$B$30)</f>
        <v>0</v>
      </c>
      <c r="M129" s="19">
        <f>H129-I129-J129-K129-L129</f>
        <v>-4.2632564145606011E-14</v>
      </c>
    </row>
    <row r="130" spans="1:13" x14ac:dyDescent="0.35">
      <c r="A130" s="9" t="s">
        <v>162</v>
      </c>
      <c r="F130" s="19">
        <f>F62</f>
        <v>372.22204650211359</v>
      </c>
      <c r="G130" s="19">
        <f>IF($D$30=0,0,INDEX(BUDGET!$C$58:$R$58,$E$5)/$D$30)</f>
        <v>488.8272235790742</v>
      </c>
      <c r="H130" s="19">
        <f>F130-G130</f>
        <v>-116.60517707696062</v>
      </c>
      <c r="I130" s="19">
        <f>IF($B$30=0,0,('BIAYA BERSAMA'!$C$130-INDEX(BUDGET!$C$58:$R$58,$E$5))/$B$30)</f>
        <v>-60.653253360341147</v>
      </c>
      <c r="J130" s="19">
        <v>0</v>
      </c>
      <c r="K130" s="19">
        <f>IF($B$30=0,0,INDEX(BUDGET!$C$58:$R$58,$E$5)/$B$30)-G130</f>
        <v>-55.951923716619433</v>
      </c>
      <c r="L130" s="19">
        <f>IF($B$30=0,0,(E62-'BIAYA BERSAMA'!$C$130)/$B$30)</f>
        <v>0</v>
      </c>
      <c r="M130" s="19">
        <f>H130-I130-J130-K130-L130</f>
        <v>-3.5527136788005009E-14</v>
      </c>
    </row>
    <row r="131" spans="1:13" x14ac:dyDescent="0.35">
      <c r="A131" s="20" t="s">
        <v>163</v>
      </c>
      <c r="B131" s="25"/>
      <c r="C131" s="25"/>
      <c r="D131" s="25"/>
      <c r="E131" s="25"/>
      <c r="F131" s="22">
        <f t="shared" ref="F131:M131" si="19">F127+F128+F129+F130</f>
        <v>2179.943417319535</v>
      </c>
      <c r="G131" s="22">
        <f t="shared" si="19"/>
        <v>2884.2622550197611</v>
      </c>
      <c r="H131" s="22">
        <f t="shared" si="19"/>
        <v>-704.31883770022614</v>
      </c>
      <c r="I131" s="22">
        <f t="shared" si="19"/>
        <v>-260.1918109616883</v>
      </c>
      <c r="J131" s="22">
        <f t="shared" si="19"/>
        <v>0</v>
      </c>
      <c r="K131" s="22">
        <f t="shared" si="19"/>
        <v>-330.13714025582539</v>
      </c>
      <c r="L131" s="22">
        <f t="shared" si="19"/>
        <v>-113.98988648271246</v>
      </c>
      <c r="M131" s="22">
        <f t="shared" si="19"/>
        <v>-7.815970093361102E-14</v>
      </c>
    </row>
    <row r="132" spans="1:13" x14ac:dyDescent="0.35">
      <c r="A132" s="20" t="s">
        <v>164</v>
      </c>
      <c r="B132" s="25"/>
      <c r="C132" s="25"/>
      <c r="D132" s="25"/>
      <c r="E132" s="25"/>
      <c r="F132" s="22">
        <f t="shared" ref="F132:M132" si="20">F111+F113+F115+F122+F124+F126+F131</f>
        <v>21630.565833055341</v>
      </c>
      <c r="G132" s="22">
        <f t="shared" si="20"/>
        <v>24247.024313390633</v>
      </c>
      <c r="H132" s="22">
        <f t="shared" si="20"/>
        <v>-2616.4584803352882</v>
      </c>
      <c r="I132" s="22">
        <f t="shared" si="20"/>
        <v>-975.29968943049357</v>
      </c>
      <c r="J132" s="22">
        <f t="shared" si="20"/>
        <v>-783.96977345168739</v>
      </c>
      <c r="K132" s="22">
        <f t="shared" si="20"/>
        <v>-571.13798489897522</v>
      </c>
      <c r="L132" s="22">
        <f t="shared" si="20"/>
        <v>-286.0510325541332</v>
      </c>
      <c r="M132" s="22">
        <f t="shared" si="20"/>
        <v>7.7982065249670995E-13</v>
      </c>
    </row>
    <row r="133" spans="1:13" x14ac:dyDescent="0.35">
      <c r="A133" s="3"/>
      <c r="G133" s="19"/>
    </row>
    <row r="134" spans="1:13" ht="25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6" spans="1:13" x14ac:dyDescent="0.35">
      <c r="A136" s="6" t="s">
        <v>1011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 spans="1:13" ht="24" customHeight="1" x14ac:dyDescent="0.35">
      <c r="A137" s="8" t="s">
        <v>2</v>
      </c>
      <c r="B137" s="8" t="s">
        <v>167</v>
      </c>
      <c r="C137" s="8" t="s">
        <v>168</v>
      </c>
      <c r="D137" s="8" t="s">
        <v>169</v>
      </c>
      <c r="E137" s="8" t="s">
        <v>18</v>
      </c>
    </row>
    <row r="138" spans="1:13" x14ac:dyDescent="0.35">
      <c r="A138" s="9" t="s">
        <v>170</v>
      </c>
      <c r="B138" s="29">
        <v>20</v>
      </c>
      <c r="C138" s="18">
        <f>-E43/10^6</f>
        <v>-3103.9859294686298</v>
      </c>
      <c r="D138" s="30">
        <v>-3103.9859294686298</v>
      </c>
      <c r="E138" s="18">
        <f t="shared" ref="E138:E151" si="21">C138-D138</f>
        <v>0</v>
      </c>
    </row>
    <row r="139" spans="1:13" x14ac:dyDescent="0.35">
      <c r="A139" s="9" t="s">
        <v>171</v>
      </c>
      <c r="B139" s="29">
        <v>21</v>
      </c>
      <c r="C139" s="18">
        <f>-E45/10^6</f>
        <v>-1362.1392498630871</v>
      </c>
      <c r="D139" s="30">
        <v>-1362.1392498630901</v>
      </c>
      <c r="E139" s="18">
        <f t="shared" si="21"/>
        <v>2.9558577807620168E-12</v>
      </c>
    </row>
    <row r="140" spans="1:13" x14ac:dyDescent="0.35">
      <c r="A140" s="9" t="s">
        <v>96</v>
      </c>
      <c r="B140" s="29">
        <v>22</v>
      </c>
      <c r="C140" s="18">
        <f>-E46/10^6</f>
        <v>-1156.6990298859259</v>
      </c>
      <c r="D140" s="30">
        <v>-1156.69902988593</v>
      </c>
      <c r="E140" s="18">
        <f t="shared" si="21"/>
        <v>4.0927261579781771E-12</v>
      </c>
    </row>
    <row r="141" spans="1:13" x14ac:dyDescent="0.35">
      <c r="A141" s="9" t="s">
        <v>172</v>
      </c>
      <c r="B141" s="29">
        <v>23</v>
      </c>
      <c r="C141" s="18">
        <f>-E54/10^6</f>
        <v>-301.40265587258062</v>
      </c>
      <c r="D141" s="30">
        <v>-286.68646474444603</v>
      </c>
      <c r="E141" s="18">
        <f t="shared" si="21"/>
        <v>-14.716191128134597</v>
      </c>
    </row>
    <row r="142" spans="1:13" x14ac:dyDescent="0.35">
      <c r="A142" s="9" t="s">
        <v>173</v>
      </c>
      <c r="B142" s="29">
        <v>24</v>
      </c>
      <c r="C142" s="18">
        <f>-E57/10^6</f>
        <v>-110.021625</v>
      </c>
      <c r="D142" s="30">
        <v>-110.021625</v>
      </c>
      <c r="E142" s="18">
        <f t="shared" si="21"/>
        <v>0</v>
      </c>
    </row>
    <row r="143" spans="1:13" x14ac:dyDescent="0.35">
      <c r="A143" s="9" t="s">
        <v>174</v>
      </c>
      <c r="B143" s="29">
        <v>25</v>
      </c>
      <c r="C143" s="18">
        <f>-E58/10^6</f>
        <v>-554.72765572994422</v>
      </c>
      <c r="D143" s="30">
        <v>-837.03786802872105</v>
      </c>
      <c r="E143" s="18">
        <f t="shared" si="21"/>
        <v>282.31021229877683</v>
      </c>
    </row>
    <row r="144" spans="1:13" x14ac:dyDescent="0.35">
      <c r="A144" s="9" t="s">
        <v>175</v>
      </c>
      <c r="B144" s="29">
        <v>26</v>
      </c>
      <c r="C144" s="18">
        <f>-E63/10^6</f>
        <v>-738.46455239066177</v>
      </c>
      <c r="D144" s="30">
        <v>-581.30169127584998</v>
      </c>
      <c r="E144" s="18">
        <f t="shared" si="21"/>
        <v>-157.16286111481179</v>
      </c>
    </row>
    <row r="145" spans="1:13" x14ac:dyDescent="0.35">
      <c r="A145" s="9" t="s">
        <v>176</v>
      </c>
      <c r="B145" s="29">
        <v>28</v>
      </c>
      <c r="C145" s="18">
        <f>-E73/10^6</f>
        <v>134.48636509312726</v>
      </c>
      <c r="D145" s="30">
        <v>0</v>
      </c>
      <c r="E145" s="18">
        <f t="shared" si="21"/>
        <v>134.48636509312726</v>
      </c>
    </row>
    <row r="146" spans="1:13" x14ac:dyDescent="0.35">
      <c r="A146" s="9" t="s">
        <v>177</v>
      </c>
      <c r="B146" s="29">
        <v>28</v>
      </c>
      <c r="C146" s="18">
        <f>-E102/10^6</f>
        <v>-59.269817898548702</v>
      </c>
      <c r="D146" s="30">
        <v>0</v>
      </c>
      <c r="E146" s="18">
        <f t="shared" si="21"/>
        <v>-59.269817898548702</v>
      </c>
    </row>
    <row r="147" spans="1:13" x14ac:dyDescent="0.35">
      <c r="A147" s="9" t="s">
        <v>178</v>
      </c>
      <c r="B147" s="29">
        <v>28</v>
      </c>
      <c r="C147" s="18">
        <f>E90/10^6</f>
        <v>215.89394920928879</v>
      </c>
      <c r="D147" s="30">
        <v>0</v>
      </c>
      <c r="E147" s="18">
        <f t="shared" si="21"/>
        <v>215.89394920928879</v>
      </c>
    </row>
    <row r="148" spans="1:13" x14ac:dyDescent="0.35">
      <c r="A148" s="9" t="s">
        <v>179</v>
      </c>
      <c r="B148" s="29">
        <v>29</v>
      </c>
      <c r="C148" s="18">
        <f>-E71/10^6</f>
        <v>-52.116466267092505</v>
      </c>
      <c r="D148" s="30">
        <v>0</v>
      </c>
      <c r="E148" s="18">
        <f t="shared" si="21"/>
        <v>-52.116466267092505</v>
      </c>
    </row>
    <row r="149" spans="1:13" x14ac:dyDescent="0.35">
      <c r="A149" s="9" t="s">
        <v>180</v>
      </c>
      <c r="B149" s="29">
        <v>30</v>
      </c>
      <c r="C149" s="18">
        <f>E78/10^6</f>
        <v>7.9104321863606373</v>
      </c>
      <c r="D149" s="30">
        <v>0</v>
      </c>
      <c r="E149" s="18">
        <f t="shared" si="21"/>
        <v>7.9104321863606373</v>
      </c>
    </row>
    <row r="150" spans="1:13" x14ac:dyDescent="0.35">
      <c r="A150" s="9" t="s">
        <v>181</v>
      </c>
      <c r="B150" s="29">
        <v>31</v>
      </c>
      <c r="C150" s="18">
        <f>-E85/10^6</f>
        <v>0</v>
      </c>
      <c r="D150" s="30">
        <v>0</v>
      </c>
      <c r="E150" s="18">
        <f t="shared" si="21"/>
        <v>0</v>
      </c>
    </row>
    <row r="151" spans="1:13" x14ac:dyDescent="0.35">
      <c r="A151" s="9" t="s">
        <v>182</v>
      </c>
      <c r="B151" s="29">
        <v>32</v>
      </c>
      <c r="C151" s="18">
        <f>E91/10^6</f>
        <v>155.53126667952148</v>
      </c>
      <c r="D151" s="30">
        <v>0</v>
      </c>
      <c r="E151" s="18">
        <f t="shared" si="21"/>
        <v>155.53126667952148</v>
      </c>
    </row>
    <row r="152" spans="1:13" x14ac:dyDescent="0.35">
      <c r="A152" s="20" t="s">
        <v>183</v>
      </c>
      <c r="B152" s="31">
        <v>18</v>
      </c>
      <c r="C152" s="21">
        <f>SUM(C138:C151)</f>
        <v>-6925.004969208173</v>
      </c>
      <c r="D152" s="21">
        <f>SUM(D138:D151)</f>
        <v>-7437.8718582666679</v>
      </c>
      <c r="E152" s="21">
        <f>SUM(E138:E151)</f>
        <v>512.86688905849451</v>
      </c>
    </row>
    <row r="153" spans="1:13" ht="24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24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6" spans="1:13" x14ac:dyDescent="0.35">
      <c r="A156" s="6" t="s">
        <v>184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 spans="1:13" x14ac:dyDescent="0.35">
      <c r="A157" s="8" t="s">
        <v>155</v>
      </c>
      <c r="B157" s="8"/>
      <c r="C157" s="8" t="s">
        <v>185</v>
      </c>
      <c r="D157" s="8" t="s">
        <v>186</v>
      </c>
    </row>
    <row r="158" spans="1:13" x14ac:dyDescent="0.35">
      <c r="A158" s="9" t="s">
        <v>187</v>
      </c>
      <c r="C158" s="26">
        <f>B31-B36</f>
        <v>0</v>
      </c>
      <c r="D158" s="5" t="str">
        <f>IF(ISERROR(C158),"GAGAL",IF(ABS(C158)&lt;=0.01,"LULUS","GAGAL"))</f>
        <v>LULUS</v>
      </c>
    </row>
    <row r="159" spans="1:13" x14ac:dyDescent="0.35">
      <c r="A159" s="9" t="s">
        <v>188</v>
      </c>
      <c r="C159" s="26">
        <f>E80</f>
        <v>0</v>
      </c>
      <c r="D159" s="5" t="str">
        <f>IF(ISERROR(C159),"GAGAL",IF(ABS(C159)&lt;=1,"LULUS","GAGAL"))</f>
        <v>LULUS</v>
      </c>
    </row>
    <row r="160" spans="1:13" x14ac:dyDescent="0.35">
      <c r="A160" s="9" t="s">
        <v>189</v>
      </c>
      <c r="C160" s="26">
        <f>B80</f>
        <v>0</v>
      </c>
      <c r="D160" s="5" t="str">
        <f>IF(ISERROR(C160),"GAGAL",IF(ABS(C160)&lt;=0.01,"LULUS","GAGAL"))</f>
        <v>LULUS</v>
      </c>
    </row>
    <row r="161" spans="1:4" x14ac:dyDescent="0.35">
      <c r="A161" s="9" t="s">
        <v>190</v>
      </c>
      <c r="C161" s="26">
        <f>$G$228-C233</f>
        <v>0</v>
      </c>
      <c r="D161" s="5" t="str">
        <f>IF(ISERROR(C161),"GAGAL",IF(ABS(C161)&lt;=1,"LULUS","GAGAL"))</f>
        <v>LULUS</v>
      </c>
    </row>
    <row r="162" spans="1:4" x14ac:dyDescent="0.35">
      <c r="A162" s="9" t="s">
        <v>191</v>
      </c>
      <c r="C162" s="26">
        <f>C237-C238</f>
        <v>0</v>
      </c>
      <c r="D162" s="5" t="str">
        <f>IF(ISERROR(C162),"GAGAL",IF(ABS(C162)&lt;=1,"LULUS","GAGAL"))</f>
        <v>LULUS</v>
      </c>
    </row>
    <row r="163" spans="1:4" x14ac:dyDescent="0.35">
      <c r="A163" s="9" t="s">
        <v>192</v>
      </c>
      <c r="C163" s="26">
        <f>SUMPRODUCT(ABS(M109:M132))</f>
        <v>3.709033080667723E-12</v>
      </c>
      <c r="D163" s="5" t="str">
        <f>IF(ISERROR(C163),"GAGAL",IF(ABS(C163)&lt;=1,"LULUS","GAGAL"))</f>
        <v>LULUS</v>
      </c>
    </row>
    <row r="164" spans="1:4" x14ac:dyDescent="0.35">
      <c r="A164" s="9" t="s">
        <v>193</v>
      </c>
      <c r="C164" s="26">
        <f>G133</f>
        <v>0</v>
      </c>
      <c r="D164" s="5" t="str">
        <f>IF(ISERROR(C164),"GAGAL",IF(ABS(C164)&lt;=1,"LULUS","GAGAL"))</f>
        <v>LULUS</v>
      </c>
    </row>
    <row r="165" spans="1:4" x14ac:dyDescent="0.35">
      <c r="A165" s="9" t="s">
        <v>194</v>
      </c>
      <c r="C165" s="26">
        <f>INDEX(BUDGET!$C$89:$R$89,$E$5)</f>
        <v>-1.8775463104248047E-6</v>
      </c>
      <c r="D165" s="5" t="str">
        <f>IF(ISERROR(C165),"GAGAL",IF(ABS(C165)&lt;=1,"LULUS","GAGAL"))</f>
        <v>LULUS</v>
      </c>
    </row>
    <row r="166" spans="1:4" x14ac:dyDescent="0.35">
      <c r="A166" s="9" t="s">
        <v>195</v>
      </c>
      <c r="C166" s="26">
        <f>C152+E103/10^6</f>
        <v>0</v>
      </c>
      <c r="D166" s="5" t="str">
        <f>IF(ISERROR(C166),"GAGAL",IF(ABS(C166)&lt;=0.001,"LULUS","GAGAL"))</f>
        <v>LULUS</v>
      </c>
    </row>
    <row r="167" spans="1:4" x14ac:dyDescent="0.35">
      <c r="A167" s="9" t="s">
        <v>196</v>
      </c>
      <c r="C167" s="26">
        <f>SUMPRODUCT(--ISERROR(A8:M152))</f>
        <v>0</v>
      </c>
      <c r="D167" s="5" t="str">
        <f>IF(ISERROR(C167),"GAGAL",IF(ABS(C167)&lt;=0.5,"LULUS","GAGAL"))</f>
        <v>LULUS</v>
      </c>
    </row>
    <row r="168" spans="1:4" x14ac:dyDescent="0.35">
      <c r="A168" s="9" t="s">
        <v>197</v>
      </c>
      <c r="D168" s="5" t="str">
        <f>'BIAYA BERSAMA'!$D$139</f>
        <v>LULUS</v>
      </c>
    </row>
    <row r="188" spans="1:13" x14ac:dyDescent="0.35">
      <c r="A188" s="6" t="s">
        <v>198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</row>
    <row r="189" spans="1:13" ht="24" customHeight="1" x14ac:dyDescent="0.35">
      <c r="A189" s="8" t="s">
        <v>2</v>
      </c>
      <c r="B189" s="8" t="s">
        <v>86</v>
      </c>
      <c r="C189" s="8" t="s">
        <v>185</v>
      </c>
      <c r="D189" s="8" t="s">
        <v>199</v>
      </c>
      <c r="E189" s="8" t="s">
        <v>200</v>
      </c>
    </row>
    <row r="190" spans="1:13" x14ac:dyDescent="0.35">
      <c r="A190" s="9" t="s">
        <v>201</v>
      </c>
      <c r="B190" s="9" t="s">
        <v>91</v>
      </c>
      <c r="C190" s="32">
        <v>2431</v>
      </c>
      <c r="D190" s="9" t="s">
        <v>202</v>
      </c>
      <c r="E190" s="9" t="s">
        <v>203</v>
      </c>
    </row>
    <row r="191" spans="1:13" x14ac:dyDescent="0.35">
      <c r="A191" s="9" t="s">
        <v>77</v>
      </c>
      <c r="B191" s="9" t="s">
        <v>91</v>
      </c>
      <c r="C191" s="32">
        <v>338754</v>
      </c>
      <c r="D191" s="9" t="s">
        <v>202</v>
      </c>
      <c r="E191" s="9" t="s">
        <v>204</v>
      </c>
    </row>
    <row r="192" spans="1:13" x14ac:dyDescent="0.35">
      <c r="A192" s="9" t="s">
        <v>205</v>
      </c>
      <c r="B192" s="9" t="s">
        <v>91</v>
      </c>
      <c r="C192" s="32">
        <v>357.5</v>
      </c>
      <c r="D192" s="9" t="s">
        <v>202</v>
      </c>
      <c r="E192" s="9" t="s">
        <v>206</v>
      </c>
    </row>
    <row r="193" spans="1:5" x14ac:dyDescent="0.35">
      <c r="A193" s="9" t="s">
        <v>207</v>
      </c>
      <c r="B193" s="9" t="s">
        <v>91</v>
      </c>
      <c r="C193" s="32">
        <v>13755</v>
      </c>
      <c r="D193" s="9" t="s">
        <v>202</v>
      </c>
      <c r="E193" s="9" t="s">
        <v>208</v>
      </c>
    </row>
    <row r="194" spans="1:5" x14ac:dyDescent="0.35">
      <c r="A194" s="9" t="s">
        <v>209</v>
      </c>
      <c r="B194" s="9" t="s">
        <v>91</v>
      </c>
      <c r="C194" s="32">
        <v>9360</v>
      </c>
      <c r="D194" s="9" t="s">
        <v>202</v>
      </c>
      <c r="E194" s="9" t="s">
        <v>210</v>
      </c>
    </row>
    <row r="195" spans="1:5" x14ac:dyDescent="0.35">
      <c r="A195" s="9" t="s">
        <v>211</v>
      </c>
      <c r="B195" s="9" t="s">
        <v>105</v>
      </c>
      <c r="C195" s="33">
        <v>52116466.267092504</v>
      </c>
      <c r="D195" s="9" t="s">
        <v>212</v>
      </c>
      <c r="E195" s="9" t="s">
        <v>213</v>
      </c>
    </row>
    <row r="196" spans="1:5" x14ac:dyDescent="0.35">
      <c r="A196" s="9" t="s">
        <v>214</v>
      </c>
      <c r="B196" s="9" t="s">
        <v>105</v>
      </c>
      <c r="C196" s="33">
        <v>7404521.2699999996</v>
      </c>
      <c r="D196" s="9" t="s">
        <v>202</v>
      </c>
      <c r="E196" s="9" t="s">
        <v>215</v>
      </c>
    </row>
    <row r="197" spans="1:5" x14ac:dyDescent="0.35">
      <c r="A197" s="9" t="s">
        <v>216</v>
      </c>
      <c r="B197" s="9" t="s">
        <v>91</v>
      </c>
      <c r="C197" s="32">
        <v>409266</v>
      </c>
      <c r="D197" s="9" t="s">
        <v>202</v>
      </c>
      <c r="E197" s="9" t="s">
        <v>217</v>
      </c>
    </row>
    <row r="198" spans="1:5" x14ac:dyDescent="0.35">
      <c r="A198" s="9" t="s">
        <v>218</v>
      </c>
      <c r="B198" s="9" t="s">
        <v>219</v>
      </c>
      <c r="C198" s="32">
        <v>24745</v>
      </c>
      <c r="D198" s="9" t="s">
        <v>202</v>
      </c>
      <c r="E198" s="9" t="s">
        <v>220</v>
      </c>
    </row>
    <row r="199" spans="1:5" x14ac:dyDescent="0.35">
      <c r="A199" s="9" t="s">
        <v>221</v>
      </c>
      <c r="B199" s="9" t="s">
        <v>222</v>
      </c>
      <c r="C199" s="32">
        <v>45475.807816</v>
      </c>
      <c r="D199" s="9" t="s">
        <v>202</v>
      </c>
      <c r="E199" s="9" t="s">
        <v>223</v>
      </c>
    </row>
    <row r="200" spans="1:5" x14ac:dyDescent="0.35">
      <c r="A200" s="9" t="s">
        <v>224</v>
      </c>
      <c r="B200" s="9" t="s">
        <v>91</v>
      </c>
      <c r="C200" s="32">
        <v>0</v>
      </c>
      <c r="D200" s="9" t="s">
        <v>202</v>
      </c>
      <c r="E200" s="9" t="s">
        <v>225</v>
      </c>
    </row>
    <row r="201" spans="1:5" x14ac:dyDescent="0.35">
      <c r="A201" s="9" t="s">
        <v>226</v>
      </c>
      <c r="B201" s="9" t="s">
        <v>105</v>
      </c>
      <c r="C201" s="33">
        <v>-17.55</v>
      </c>
      <c r="D201" s="9" t="s">
        <v>202</v>
      </c>
      <c r="E201" s="9" t="s">
        <v>227</v>
      </c>
    </row>
    <row r="202" spans="1:5" x14ac:dyDescent="0.35">
      <c r="A202" s="9" t="s">
        <v>228</v>
      </c>
      <c r="B202" s="9" t="s">
        <v>91</v>
      </c>
      <c r="C202" s="32">
        <v>301075.5</v>
      </c>
      <c r="D202" s="9" t="s">
        <v>202</v>
      </c>
      <c r="E202" s="9" t="s">
        <v>229</v>
      </c>
    </row>
    <row r="203" spans="1:5" x14ac:dyDescent="0.35">
      <c r="A203" s="9" t="s">
        <v>230</v>
      </c>
      <c r="B203" s="9" t="s">
        <v>91</v>
      </c>
      <c r="C203" s="32">
        <v>7029</v>
      </c>
      <c r="D203" s="9" t="s">
        <v>202</v>
      </c>
      <c r="E203" s="9" t="s">
        <v>231</v>
      </c>
    </row>
    <row r="204" spans="1:5" x14ac:dyDescent="0.35">
      <c r="A204" s="9" t="s">
        <v>232</v>
      </c>
      <c r="B204" s="9" t="s">
        <v>105</v>
      </c>
      <c r="C204" s="33">
        <v>145544598.59</v>
      </c>
      <c r="D204" s="9" t="s">
        <v>202</v>
      </c>
      <c r="E204" s="9" t="s">
        <v>233</v>
      </c>
    </row>
    <row r="205" spans="1:5" x14ac:dyDescent="0.35">
      <c r="A205" s="9" t="s">
        <v>234</v>
      </c>
      <c r="B205" s="9" t="s">
        <v>91</v>
      </c>
      <c r="C205" s="32">
        <v>331968.5</v>
      </c>
      <c r="D205" s="9" t="s">
        <v>202</v>
      </c>
      <c r="E205" s="9" t="s">
        <v>235</v>
      </c>
    </row>
    <row r="206" spans="1:5" x14ac:dyDescent="0.35">
      <c r="A206" s="9" t="s">
        <v>236</v>
      </c>
      <c r="B206" s="9" t="s">
        <v>91</v>
      </c>
      <c r="C206" s="32">
        <v>23864</v>
      </c>
      <c r="D206" s="9" t="s">
        <v>202</v>
      </c>
      <c r="E206" s="9" t="s">
        <v>237</v>
      </c>
    </row>
    <row r="207" spans="1:5" x14ac:dyDescent="0.35">
      <c r="A207" s="9" t="s">
        <v>238</v>
      </c>
      <c r="B207" s="9" t="s">
        <v>91</v>
      </c>
      <c r="C207" s="32">
        <v>6062</v>
      </c>
      <c r="D207" s="9" t="s">
        <v>202</v>
      </c>
      <c r="E207" s="9" t="s">
        <v>239</v>
      </c>
    </row>
    <row r="208" spans="1:5" x14ac:dyDescent="0.35">
      <c r="A208" s="9" t="s">
        <v>240</v>
      </c>
      <c r="B208" s="9" t="s">
        <v>89</v>
      </c>
      <c r="C208" s="34">
        <v>9777.2711808889308</v>
      </c>
      <c r="D208" s="9" t="s">
        <v>212</v>
      </c>
      <c r="E208" s="9" t="s">
        <v>241</v>
      </c>
    </row>
    <row r="209" spans="1:13" x14ac:dyDescent="0.35">
      <c r="A209" s="9" t="s">
        <v>242</v>
      </c>
      <c r="B209" s="9" t="s">
        <v>243</v>
      </c>
      <c r="C209" s="35">
        <v>22.296700000000001</v>
      </c>
      <c r="D209" s="9" t="s">
        <v>212</v>
      </c>
      <c r="E209" s="9" t="s">
        <v>244</v>
      </c>
    </row>
    <row r="210" spans="1:13" x14ac:dyDescent="0.35">
      <c r="A210" s="9" t="s">
        <v>245</v>
      </c>
      <c r="B210" s="9" t="s">
        <v>105</v>
      </c>
      <c r="C210" s="33">
        <v>8672097702.4500008</v>
      </c>
      <c r="D210" s="9" t="s">
        <v>202</v>
      </c>
      <c r="E210" s="9" t="s">
        <v>246</v>
      </c>
    </row>
    <row r="212" spans="1:13" x14ac:dyDescent="0.35">
      <c r="A212" s="6" t="s">
        <v>247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 spans="1:13" ht="24" customHeight="1" x14ac:dyDescent="0.35">
      <c r="A213" s="8" t="s">
        <v>248</v>
      </c>
      <c r="B213" s="8" t="s">
        <v>249</v>
      </c>
      <c r="C213" s="8" t="s">
        <v>250</v>
      </c>
      <c r="D213" s="8" t="s">
        <v>85</v>
      </c>
      <c r="E213" s="8" t="s">
        <v>86</v>
      </c>
      <c r="F213" s="8" t="s">
        <v>251</v>
      </c>
      <c r="G213" s="8" t="s">
        <v>88</v>
      </c>
      <c r="H213" s="8" t="s">
        <v>199</v>
      </c>
      <c r="I213" s="8" t="s">
        <v>200</v>
      </c>
    </row>
    <row r="214" spans="1:13" x14ac:dyDescent="0.35">
      <c r="A214" s="9" t="s">
        <v>252</v>
      </c>
      <c r="B214" s="9" t="s">
        <v>52</v>
      </c>
      <c r="C214" s="9" t="s">
        <v>253</v>
      </c>
      <c r="D214" s="32">
        <v>625461.88571428601</v>
      </c>
      <c r="E214" s="9" t="s">
        <v>91</v>
      </c>
      <c r="F214" s="34">
        <v>2673.5488886888002</v>
      </c>
      <c r="G214" s="19">
        <f t="shared" ref="G214:G227" si="22">D214*F214</f>
        <v>1672202929.4686308</v>
      </c>
      <c r="H214" s="9" t="s">
        <v>202</v>
      </c>
      <c r="I214" s="9" t="s">
        <v>254</v>
      </c>
    </row>
    <row r="215" spans="1:13" x14ac:dyDescent="0.35">
      <c r="A215" s="9" t="s">
        <v>255</v>
      </c>
      <c r="B215" s="9" t="s">
        <v>52</v>
      </c>
      <c r="C215" s="9" t="s">
        <v>256</v>
      </c>
      <c r="D215" s="32">
        <v>316290</v>
      </c>
      <c r="E215" s="9" t="s">
        <v>91</v>
      </c>
      <c r="F215" s="34">
        <v>4526.8045148439696</v>
      </c>
      <c r="G215" s="19">
        <f t="shared" si="22"/>
        <v>1431782999.999999</v>
      </c>
      <c r="H215" s="9" t="s">
        <v>202</v>
      </c>
      <c r="I215" s="9" t="s">
        <v>257</v>
      </c>
    </row>
    <row r="216" spans="1:13" x14ac:dyDescent="0.35">
      <c r="A216" s="9" t="s">
        <v>258</v>
      </c>
      <c r="B216" s="9" t="s">
        <v>53</v>
      </c>
      <c r="C216" s="9" t="s">
        <v>259</v>
      </c>
      <c r="D216" s="32">
        <v>78928</v>
      </c>
      <c r="E216" s="9" t="s">
        <v>91</v>
      </c>
      <c r="F216" s="34">
        <v>17257.997793724498</v>
      </c>
      <c r="G216" s="19">
        <f t="shared" si="22"/>
        <v>1362139249.8630872</v>
      </c>
      <c r="H216" s="9" t="s">
        <v>202</v>
      </c>
      <c r="I216" s="9" t="s">
        <v>260</v>
      </c>
    </row>
    <row r="217" spans="1:13" x14ac:dyDescent="0.35">
      <c r="A217" s="9" t="s">
        <v>54</v>
      </c>
      <c r="B217" s="9" t="s">
        <v>54</v>
      </c>
      <c r="C217" s="9" t="s">
        <v>54</v>
      </c>
      <c r="D217" s="32">
        <v>113698.754480121</v>
      </c>
      <c r="E217" s="9" t="s">
        <v>261</v>
      </c>
      <c r="F217" s="34">
        <v>10173.3658840402</v>
      </c>
      <c r="G217" s="19">
        <f t="shared" si="22"/>
        <v>1156699029.885926</v>
      </c>
      <c r="H217" s="9" t="s">
        <v>202</v>
      </c>
      <c r="I217" s="9" t="s">
        <v>262</v>
      </c>
    </row>
    <row r="218" spans="1:13" x14ac:dyDescent="0.35">
      <c r="A218" s="9" t="s">
        <v>263</v>
      </c>
      <c r="B218" s="9" t="s">
        <v>264</v>
      </c>
      <c r="C218" s="9" t="s">
        <v>265</v>
      </c>
      <c r="D218" s="32">
        <v>2300</v>
      </c>
      <c r="E218" s="9" t="s">
        <v>91</v>
      </c>
      <c r="F218" s="34">
        <v>4638.58661997322</v>
      </c>
      <c r="G218" s="19">
        <f t="shared" si="22"/>
        <v>10668749.225938406</v>
      </c>
      <c r="H218" s="9" t="s">
        <v>202</v>
      </c>
      <c r="I218" s="9" t="s">
        <v>266</v>
      </c>
    </row>
    <row r="219" spans="1:13" x14ac:dyDescent="0.35">
      <c r="A219" s="9" t="s">
        <v>267</v>
      </c>
      <c r="B219" s="9" t="s">
        <v>264</v>
      </c>
      <c r="C219" s="9" t="s">
        <v>268</v>
      </c>
      <c r="D219" s="32">
        <v>163.9</v>
      </c>
      <c r="E219" s="9" t="s">
        <v>91</v>
      </c>
      <c r="F219" s="34">
        <v>34605.650593126396</v>
      </c>
      <c r="G219" s="19">
        <f t="shared" si="22"/>
        <v>5671866.1322134165</v>
      </c>
      <c r="H219" s="9" t="s">
        <v>202</v>
      </c>
      <c r="I219" s="9" t="s">
        <v>269</v>
      </c>
    </row>
    <row r="220" spans="1:13" x14ac:dyDescent="0.35">
      <c r="A220" s="9" t="s">
        <v>270</v>
      </c>
      <c r="B220" s="9" t="s">
        <v>264</v>
      </c>
      <c r="C220" s="9" t="s">
        <v>271</v>
      </c>
      <c r="D220" s="32">
        <v>2587.33</v>
      </c>
      <c r="E220" s="9" t="s">
        <v>91</v>
      </c>
      <c r="F220" s="34">
        <v>34879.084201740901</v>
      </c>
      <c r="G220" s="19">
        <f t="shared" si="22"/>
        <v>90243700.927690282</v>
      </c>
      <c r="H220" s="9" t="s">
        <v>202</v>
      </c>
      <c r="I220" s="9" t="s">
        <v>272</v>
      </c>
    </row>
    <row r="221" spans="1:13" x14ac:dyDescent="0.35">
      <c r="A221" s="9" t="s">
        <v>273</v>
      </c>
      <c r="B221" s="9" t="s">
        <v>264</v>
      </c>
      <c r="C221" s="9" t="s">
        <v>274</v>
      </c>
      <c r="D221" s="32">
        <v>2636.83</v>
      </c>
      <c r="E221" s="9" t="s">
        <v>91</v>
      </c>
      <c r="F221" s="34">
        <v>33799.844959105903</v>
      </c>
      <c r="G221" s="19">
        <f t="shared" si="22"/>
        <v>89124445.183519214</v>
      </c>
      <c r="H221" s="9" t="s">
        <v>202</v>
      </c>
      <c r="I221" s="9" t="s">
        <v>275</v>
      </c>
    </row>
    <row r="222" spans="1:13" x14ac:dyDescent="0.35">
      <c r="A222" s="9" t="s">
        <v>276</v>
      </c>
      <c r="B222" s="9" t="s">
        <v>264</v>
      </c>
      <c r="C222" s="9" t="s">
        <v>277</v>
      </c>
      <c r="D222" s="32">
        <v>9430</v>
      </c>
      <c r="E222" s="9" t="s">
        <v>103</v>
      </c>
      <c r="F222" s="34">
        <v>9647.6885763610098</v>
      </c>
      <c r="G222" s="19">
        <f t="shared" si="22"/>
        <v>90977703.275084317</v>
      </c>
      <c r="H222" s="9" t="s">
        <v>202</v>
      </c>
      <c r="I222" s="9" t="s">
        <v>278</v>
      </c>
    </row>
    <row r="223" spans="1:13" x14ac:dyDescent="0.35">
      <c r="A223" s="9" t="s">
        <v>279</v>
      </c>
      <c r="B223" s="9" t="s">
        <v>264</v>
      </c>
      <c r="C223" s="9" t="s">
        <v>280</v>
      </c>
      <c r="D223" s="32">
        <v>0</v>
      </c>
      <c r="E223" s="9" t="s">
        <v>91</v>
      </c>
      <c r="F223" s="34">
        <v>29001.817692305802</v>
      </c>
      <c r="G223" s="19">
        <f t="shared" si="22"/>
        <v>0</v>
      </c>
      <c r="H223" s="9" t="s">
        <v>202</v>
      </c>
      <c r="I223" s="9" t="s">
        <v>281</v>
      </c>
    </row>
    <row r="224" spans="1:13" x14ac:dyDescent="0.35">
      <c r="A224" s="9" t="s">
        <v>282</v>
      </c>
      <c r="B224" s="9" t="s">
        <v>264</v>
      </c>
      <c r="C224" s="9" t="s">
        <v>280</v>
      </c>
      <c r="D224" s="32">
        <v>140.25</v>
      </c>
      <c r="E224" s="9" t="s">
        <v>283</v>
      </c>
      <c r="F224" s="34">
        <v>23970.250393450198</v>
      </c>
      <c r="G224" s="19">
        <f t="shared" si="22"/>
        <v>3361827.6176813901</v>
      </c>
      <c r="H224" s="9" t="s">
        <v>202</v>
      </c>
      <c r="I224" s="9" t="s">
        <v>284</v>
      </c>
    </row>
    <row r="225" spans="1:13" x14ac:dyDescent="0.35">
      <c r="A225" s="9" t="s">
        <v>285</v>
      </c>
      <c r="B225" s="9" t="s">
        <v>264</v>
      </c>
      <c r="C225" s="9" t="s">
        <v>280</v>
      </c>
      <c r="D225" s="32">
        <v>1018</v>
      </c>
      <c r="E225" s="9" t="s">
        <v>283</v>
      </c>
      <c r="F225" s="34">
        <v>6600</v>
      </c>
      <c r="G225" s="19">
        <f t="shared" si="22"/>
        <v>6718800</v>
      </c>
      <c r="H225" s="9" t="s">
        <v>202</v>
      </c>
      <c r="I225" s="9" t="s">
        <v>286</v>
      </c>
    </row>
    <row r="226" spans="1:13" x14ac:dyDescent="0.35">
      <c r="A226" s="9" t="s">
        <v>287</v>
      </c>
      <c r="B226" s="9" t="s">
        <v>264</v>
      </c>
      <c r="C226" s="9" t="s">
        <v>280</v>
      </c>
      <c r="D226" s="32">
        <v>0</v>
      </c>
      <c r="E226" s="9" t="s">
        <v>283</v>
      </c>
      <c r="F226" s="34">
        <v>0</v>
      </c>
      <c r="G226" s="19">
        <f t="shared" si="22"/>
        <v>0</v>
      </c>
      <c r="H226" s="9" t="s">
        <v>202</v>
      </c>
      <c r="I226" s="9" t="s">
        <v>288</v>
      </c>
    </row>
    <row r="227" spans="1:13" x14ac:dyDescent="0.35">
      <c r="A227" s="9" t="s">
        <v>289</v>
      </c>
      <c r="B227" s="9" t="s">
        <v>264</v>
      </c>
      <c r="C227" s="9" t="s">
        <v>280</v>
      </c>
      <c r="D227" s="32">
        <v>60.85</v>
      </c>
      <c r="E227" s="9" t="s">
        <v>290</v>
      </c>
      <c r="F227" s="34">
        <v>76180.172727258003</v>
      </c>
      <c r="G227" s="19">
        <f t="shared" si="22"/>
        <v>4635563.5104536498</v>
      </c>
      <c r="H227" s="9" t="s">
        <v>202</v>
      </c>
      <c r="I227" s="9" t="s">
        <v>291</v>
      </c>
    </row>
    <row r="228" spans="1:13" x14ac:dyDescent="0.35">
      <c r="A228" s="20" t="s">
        <v>292</v>
      </c>
      <c r="B228" s="25"/>
      <c r="C228" s="25"/>
      <c r="D228" s="25"/>
      <c r="E228" s="25"/>
      <c r="F228" s="25"/>
      <c r="G228" s="22">
        <f>SUM(G214:G227)</f>
        <v>5924226865.0902243</v>
      </c>
      <c r="H228" s="25"/>
      <c r="I228" s="25"/>
    </row>
    <row r="229" spans="1:13" x14ac:dyDescent="0.35">
      <c r="A229" s="9" t="s">
        <v>293</v>
      </c>
      <c r="D229" s="27">
        <f>IF(D214=0,0,$C$197/D214)</f>
        <v>0.65434203002252112</v>
      </c>
    </row>
    <row r="231" spans="1:13" x14ac:dyDescent="0.35">
      <c r="A231" s="6" t="s">
        <v>294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 spans="1:13" ht="24" customHeight="1" x14ac:dyDescent="0.35">
      <c r="A232" s="8" t="s">
        <v>47</v>
      </c>
      <c r="B232" s="8"/>
      <c r="C232" s="8" t="s">
        <v>295</v>
      </c>
      <c r="D232" s="8" t="s">
        <v>296</v>
      </c>
      <c r="E232" s="8" t="s">
        <v>297</v>
      </c>
      <c r="F232" s="8" t="s">
        <v>298</v>
      </c>
    </row>
    <row r="233" spans="1:13" x14ac:dyDescent="0.35">
      <c r="A233" s="9" t="s">
        <v>299</v>
      </c>
      <c r="C233" s="33">
        <v>5924226865.09023</v>
      </c>
      <c r="D233" s="19">
        <f>E55</f>
        <v>5924226865.0902233</v>
      </c>
      <c r="E233" s="19">
        <f>D233-C233</f>
        <v>0</v>
      </c>
      <c r="F233" s="9" t="s">
        <v>300</v>
      </c>
    </row>
    <row r="234" spans="1:13" x14ac:dyDescent="0.35">
      <c r="A234" s="9" t="s">
        <v>56</v>
      </c>
      <c r="C234" s="33">
        <v>110021625</v>
      </c>
      <c r="D234" s="19">
        <f>E57</f>
        <v>110021625</v>
      </c>
      <c r="E234" s="19">
        <f>D234-C234</f>
        <v>0</v>
      </c>
      <c r="F234" s="9" t="s">
        <v>301</v>
      </c>
    </row>
    <row r="235" spans="1:13" x14ac:dyDescent="0.35">
      <c r="A235" s="9" t="s">
        <v>159</v>
      </c>
      <c r="C235" s="33">
        <v>435713342.44575799</v>
      </c>
      <c r="D235" s="19">
        <f>E58</f>
        <v>554727655.72994423</v>
      </c>
      <c r="E235" s="19">
        <f>D235-C235</f>
        <v>119014313.28418624</v>
      </c>
      <c r="F235" s="9" t="s">
        <v>302</v>
      </c>
    </row>
    <row r="236" spans="1:13" x14ac:dyDescent="0.35">
      <c r="A236" s="9" t="s">
        <v>303</v>
      </c>
      <c r="C236" s="33">
        <v>63976093.378766797</v>
      </c>
      <c r="D236" s="19">
        <f>E63</f>
        <v>738464552.39066172</v>
      </c>
      <c r="E236" s="19">
        <f>D236-C236</f>
        <v>674488459.01189494</v>
      </c>
      <c r="F236" s="9" t="s">
        <v>304</v>
      </c>
    </row>
    <row r="237" spans="1:13" x14ac:dyDescent="0.35">
      <c r="A237" s="20" t="s">
        <v>305</v>
      </c>
      <c r="B237" s="25"/>
      <c r="C237" s="22">
        <f>SUM(C233:C236)</f>
        <v>6533937925.9147549</v>
      </c>
      <c r="D237" s="22">
        <f>SUM(D233:D236)</f>
        <v>7327440698.2108288</v>
      </c>
      <c r="E237" s="22">
        <f>D237-C237</f>
        <v>793502772.29607391</v>
      </c>
      <c r="F237" s="25"/>
    </row>
    <row r="238" spans="1:13" x14ac:dyDescent="0.35">
      <c r="A238" s="3" t="s">
        <v>306</v>
      </c>
      <c r="C238" s="33">
        <v>6533937925.9147596</v>
      </c>
    </row>
  </sheetData>
  <mergeCells count="3">
    <mergeCell ref="A134:M134"/>
    <mergeCell ref="A153:M153"/>
    <mergeCell ref="A154:M154"/>
  </mergeCells>
  <dataValidations count="1">
    <dataValidation type="list" sqref="C5" xr:uid="{00000000-0002-0000-0100-000000000000}">
      <formula1>"Sep-26,Okt-26,Nov-26,Des-26,Jan-27,Feb-27,Mar-27,Apr-27,Mei-27,Jun-27,Jul-27,Agu-27,Sep-27,Okt-27,Nov-27,Des-27"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27"/>
  <sheetViews>
    <sheetView showGridLines="0"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45" sqref="A145:XFD145"/>
    </sheetView>
  </sheetViews>
  <sheetFormatPr defaultColWidth="8.6328125" defaultRowHeight="14.5" x14ac:dyDescent="0.35"/>
  <cols>
    <col min="1" max="1" width="58" customWidth="1"/>
    <col min="2" max="4" width="13" customWidth="1"/>
    <col min="5" max="5" width="15" customWidth="1"/>
    <col min="6" max="12" width="13" customWidth="1"/>
    <col min="13" max="13" width="9" customWidth="1"/>
  </cols>
  <sheetData>
    <row r="1" spans="1:13" ht="16.5" x14ac:dyDescent="0.35">
      <c r="A1" s="2" t="s">
        <v>1012</v>
      </c>
    </row>
    <row r="2" spans="1:13" x14ac:dyDescent="0.35">
      <c r="A2" s="3"/>
    </row>
    <row r="3" spans="1:13" x14ac:dyDescent="0.35">
      <c r="A3" s="3"/>
    </row>
    <row r="5" spans="1:13" x14ac:dyDescent="0.35">
      <c r="A5" s="4" t="s">
        <v>42</v>
      </c>
      <c r="C5" s="15" t="s">
        <v>43</v>
      </c>
      <c r="D5" s="16" t="s">
        <v>44</v>
      </c>
      <c r="E5" s="17">
        <f>MATCH(C5,BUDGET!$C$4:$R$4,0)</f>
        <v>2</v>
      </c>
    </row>
    <row r="6" spans="1:13" x14ac:dyDescent="0.35">
      <c r="A6" s="4" t="s">
        <v>45</v>
      </c>
      <c r="C6" s="5" t="str">
        <f>IF(COUNTIF(D148:D158,"GAGAL")=0,"LULUS","GAGAL")</f>
        <v>LULUS</v>
      </c>
    </row>
    <row r="8" spans="1:13" x14ac:dyDescent="0.35">
      <c r="A8" s="6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0" customHeight="1" x14ac:dyDescent="0.35">
      <c r="A9" s="8" t="s">
        <v>47</v>
      </c>
      <c r="B9" s="8" t="s">
        <v>48</v>
      </c>
      <c r="C9" s="8" t="s">
        <v>49</v>
      </c>
      <c r="D9" s="8" t="s">
        <v>50</v>
      </c>
      <c r="E9" s="8" t="s">
        <v>51</v>
      </c>
      <c r="F9" s="8" t="s">
        <v>19</v>
      </c>
      <c r="G9" s="8" t="s">
        <v>20</v>
      </c>
      <c r="H9" s="8" t="s">
        <v>21</v>
      </c>
      <c r="I9" s="8" t="s">
        <v>22</v>
      </c>
    </row>
    <row r="10" spans="1:13" x14ac:dyDescent="0.35">
      <c r="A10" s="9" t="s">
        <v>52</v>
      </c>
      <c r="B10" s="18">
        <f>E44/10^6</f>
        <v>246.34039999999993</v>
      </c>
      <c r="C10" s="19">
        <f>F44</f>
        <v>18416.59688995215</v>
      </c>
      <c r="D10" s="19">
        <f t="shared" ref="D10:I10" si="0">G105</f>
        <v>18504.445101674675</v>
      </c>
      <c r="E10" s="19">
        <f t="shared" si="0"/>
        <v>-87.848211722524866</v>
      </c>
      <c r="F10" s="19">
        <f t="shared" si="0"/>
        <v>-87.848211722443793</v>
      </c>
      <c r="G10" s="19">
        <f t="shared" si="0"/>
        <v>-7.8768591649236237E-11</v>
      </c>
      <c r="H10" s="19">
        <f t="shared" si="0"/>
        <v>0</v>
      </c>
      <c r="I10" s="19">
        <f t="shared" si="0"/>
        <v>0</v>
      </c>
    </row>
    <row r="11" spans="1:13" x14ac:dyDescent="0.35">
      <c r="A11" s="9" t="s">
        <v>53</v>
      </c>
      <c r="B11" s="18">
        <f>E46/10^6</f>
        <v>71.810528819687633</v>
      </c>
      <c r="C11" s="19">
        <f>F46</f>
        <v>5368.6101091273649</v>
      </c>
      <c r="D11" s="19">
        <f t="shared" ref="D11:I11" si="1">G107</f>
        <v>6660.2000056368979</v>
      </c>
      <c r="E11" s="19">
        <f t="shared" si="1"/>
        <v>-1291.589896509533</v>
      </c>
      <c r="F11" s="19">
        <f t="shared" si="1"/>
        <v>150.36458629642428</v>
      </c>
      <c r="G11" s="19">
        <f t="shared" si="1"/>
        <v>-1441.954482805957</v>
      </c>
      <c r="H11" s="19">
        <f t="shared" si="1"/>
        <v>0</v>
      </c>
      <c r="I11" s="19">
        <f t="shared" si="1"/>
        <v>0</v>
      </c>
    </row>
    <row r="12" spans="1:13" x14ac:dyDescent="0.35">
      <c r="A12" s="9" t="s">
        <v>54</v>
      </c>
      <c r="B12" s="18">
        <f>E47/10^6</f>
        <v>51.763470956659681</v>
      </c>
      <c r="C12" s="19">
        <f>F47</f>
        <v>3869.8767162574522</v>
      </c>
      <c r="D12" s="19">
        <f t="shared" ref="D12:I12" si="2">G109</f>
        <v>4387.0103665775505</v>
      </c>
      <c r="E12" s="19">
        <f t="shared" si="2"/>
        <v>-517.13365032009824</v>
      </c>
      <c r="F12" s="19">
        <f t="shared" si="2"/>
        <v>-45.50911629921923</v>
      </c>
      <c r="G12" s="19">
        <f t="shared" si="2"/>
        <v>-471.62453402087903</v>
      </c>
      <c r="H12" s="19">
        <f t="shared" si="2"/>
        <v>0</v>
      </c>
      <c r="I12" s="19">
        <f t="shared" si="2"/>
        <v>0</v>
      </c>
    </row>
    <row r="13" spans="1:13" x14ac:dyDescent="0.35">
      <c r="A13" s="9" t="s">
        <v>55</v>
      </c>
      <c r="B13" s="18">
        <f>E55/10^6</f>
        <v>9.7718105046877035</v>
      </c>
      <c r="C13" s="19">
        <f>F55</f>
        <v>730.54803414232242</v>
      </c>
      <c r="D13" s="19">
        <f t="shared" ref="D13:I13" si="3">G116</f>
        <v>684.51551047771568</v>
      </c>
      <c r="E13" s="19">
        <f t="shared" si="3"/>
        <v>46.032523664606607</v>
      </c>
      <c r="F13" s="19">
        <f t="shared" si="3"/>
        <v>31.863332033447001</v>
      </c>
      <c r="G13" s="19">
        <f t="shared" si="3"/>
        <v>14.169191631159485</v>
      </c>
      <c r="H13" s="19">
        <f t="shared" si="3"/>
        <v>0</v>
      </c>
      <c r="I13" s="19">
        <f t="shared" si="3"/>
        <v>0</v>
      </c>
    </row>
    <row r="14" spans="1:13" x14ac:dyDescent="0.35">
      <c r="A14" s="9" t="s">
        <v>56</v>
      </c>
      <c r="B14" s="18">
        <f>E58/10^6</f>
        <v>0</v>
      </c>
      <c r="C14" s="19">
        <f>F58</f>
        <v>0</v>
      </c>
      <c r="D14" s="19">
        <f t="shared" ref="D14:I14" si="4">G118</f>
        <v>0</v>
      </c>
      <c r="E14" s="19">
        <f t="shared" si="4"/>
        <v>0</v>
      </c>
      <c r="F14" s="19">
        <f t="shared" si="4"/>
        <v>0</v>
      </c>
      <c r="G14" s="19">
        <f t="shared" si="4"/>
        <v>0</v>
      </c>
      <c r="H14" s="19">
        <f t="shared" si="4"/>
        <v>0</v>
      </c>
      <c r="I14" s="19">
        <f t="shared" si="4"/>
        <v>0</v>
      </c>
    </row>
    <row r="15" spans="1:13" x14ac:dyDescent="0.35">
      <c r="A15" s="9" t="s">
        <v>57</v>
      </c>
      <c r="B15" s="18">
        <f>E59/10^6</f>
        <v>45.171801426382615</v>
      </c>
      <c r="C15" s="19">
        <f>F59</f>
        <v>3377.0784559197532</v>
      </c>
      <c r="D15" s="19">
        <f t="shared" ref="D15:I15" si="5">G120</f>
        <v>2105.5178435648718</v>
      </c>
      <c r="E15" s="19">
        <f t="shared" si="5"/>
        <v>1271.5606123548814</v>
      </c>
      <c r="F15" s="19">
        <f t="shared" si="5"/>
        <v>793.9214129457481</v>
      </c>
      <c r="G15" s="19">
        <f t="shared" si="5"/>
        <v>0</v>
      </c>
      <c r="H15" s="19">
        <f t="shared" si="5"/>
        <v>-1089.8250314203708</v>
      </c>
      <c r="I15" s="19">
        <f t="shared" si="5"/>
        <v>1567.464230829504</v>
      </c>
    </row>
    <row r="16" spans="1:13" x14ac:dyDescent="0.35">
      <c r="A16" s="9" t="s">
        <v>58</v>
      </c>
      <c r="B16" s="18">
        <f>E64/10^6</f>
        <v>40.451702938703676</v>
      </c>
      <c r="C16" s="19">
        <f>F64</f>
        <v>3024.200279508349</v>
      </c>
      <c r="D16" s="19">
        <f t="shared" ref="D16:I17" si="6">G125</f>
        <v>3315.382148406512</v>
      </c>
      <c r="E16" s="19">
        <f t="shared" si="6"/>
        <v>-291.18186889816252</v>
      </c>
      <c r="F16" s="19">
        <f t="shared" si="6"/>
        <v>567.41885903094681</v>
      </c>
      <c r="G16" s="19">
        <f t="shared" si="6"/>
        <v>0</v>
      </c>
      <c r="H16" s="19">
        <f t="shared" si="6"/>
        <v>-1716.0559646173044</v>
      </c>
      <c r="I16" s="19">
        <f t="shared" si="6"/>
        <v>857.45523668819521</v>
      </c>
    </row>
    <row r="17" spans="1:13" x14ac:dyDescent="0.35">
      <c r="A17" s="20" t="s">
        <v>9</v>
      </c>
      <c r="B17" s="21">
        <f>E66/10^6</f>
        <v>465.30971464612128</v>
      </c>
      <c r="C17" s="22">
        <f>F66</f>
        <v>34786.910484907392</v>
      </c>
      <c r="D17" s="22">
        <f t="shared" si="6"/>
        <v>35657.070976338218</v>
      </c>
      <c r="E17" s="22">
        <f t="shared" si="6"/>
        <v>-870.16049143083069</v>
      </c>
      <c r="F17" s="22">
        <f t="shared" si="6"/>
        <v>1410.2108622849032</v>
      </c>
      <c r="G17" s="22">
        <f t="shared" si="6"/>
        <v>-1899.4098251957553</v>
      </c>
      <c r="H17" s="22">
        <f t="shared" si="6"/>
        <v>-2805.8809960376752</v>
      </c>
      <c r="I17" s="22">
        <f t="shared" si="6"/>
        <v>2424.9194675176991</v>
      </c>
    </row>
    <row r="18" spans="1:13" x14ac:dyDescent="0.35">
      <c r="A18" s="9" t="s">
        <v>59</v>
      </c>
      <c r="C18" s="19">
        <f>$B$32</f>
        <v>13376</v>
      </c>
      <c r="D18" s="19">
        <f>$D$32</f>
        <v>6452.5252525252499</v>
      </c>
    </row>
    <row r="19" spans="1:13" x14ac:dyDescent="0.35">
      <c r="A19" s="9" t="s">
        <v>60</v>
      </c>
      <c r="C19" s="19">
        <f>F65</f>
        <v>6401.2787354281018</v>
      </c>
      <c r="D19" s="19">
        <f>G118+G120+G125</f>
        <v>5420.8999919713842</v>
      </c>
    </row>
    <row r="20" spans="1:13" x14ac:dyDescent="0.35">
      <c r="A20" s="9" t="s">
        <v>61</v>
      </c>
      <c r="B20" s="18">
        <f>E98/10^6</f>
        <v>250.83101805142473</v>
      </c>
      <c r="C20" s="19">
        <f>D99</f>
        <v>34786.910484907392</v>
      </c>
      <c r="D20" s="19">
        <f>F99</f>
        <v>34950.461074322637</v>
      </c>
    </row>
    <row r="21" spans="1:13" x14ac:dyDescent="0.35">
      <c r="A21" s="9" t="s">
        <v>62</v>
      </c>
      <c r="B21" s="18">
        <f>$C$207/10^6</f>
        <v>349.70925</v>
      </c>
      <c r="F21" s="3"/>
    </row>
    <row r="22" spans="1:13" x14ac:dyDescent="0.35">
      <c r="A22" s="9" t="s">
        <v>64</v>
      </c>
      <c r="B22" s="18">
        <f>B21-B20</f>
        <v>98.878231948575262</v>
      </c>
      <c r="C22" s="23">
        <f>IF(B21=0,0,B22/B21)</f>
        <v>0.2827441137132497</v>
      </c>
    </row>
    <row r="23" spans="1:13" x14ac:dyDescent="0.35">
      <c r="A23" s="3" t="s">
        <v>1006</v>
      </c>
      <c r="B23" s="18">
        <f>E76/10^6</f>
        <v>0</v>
      </c>
      <c r="C23" s="23">
        <f>IF(E66=0,0,E76/E66)</f>
        <v>0</v>
      </c>
    </row>
    <row r="24" spans="1:13" x14ac:dyDescent="0.35">
      <c r="A24" s="3" t="s">
        <v>29</v>
      </c>
      <c r="B24" s="18">
        <f>-E72/10^6</f>
        <v>0</v>
      </c>
    </row>
    <row r="25" spans="1:13" x14ac:dyDescent="0.35">
      <c r="A25" s="3" t="s">
        <v>1013</v>
      </c>
      <c r="B25" s="18">
        <f>(E77+E89-E70-E84)/10^6</f>
        <v>214.47869659469652</v>
      </c>
      <c r="C25" s="18">
        <f>IF(E66=0,0,B25*E65/E66)</f>
        <v>39.467084043281957</v>
      </c>
      <c r="F25" s="3"/>
    </row>
    <row r="26" spans="1:13" x14ac:dyDescent="0.35">
      <c r="A26" s="3"/>
    </row>
    <row r="28" spans="1:13" x14ac:dyDescent="0.35">
      <c r="A28" s="6" t="s">
        <v>70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x14ac:dyDescent="0.35">
      <c r="A29" s="4" t="s">
        <v>71</v>
      </c>
    </row>
    <row r="30" spans="1:13" ht="24" customHeight="1" x14ac:dyDescent="0.35">
      <c r="A30" s="8" t="s">
        <v>2</v>
      </c>
      <c r="B30" s="8" t="s">
        <v>72</v>
      </c>
      <c r="C30" s="8" t="s">
        <v>73</v>
      </c>
      <c r="D30" s="8" t="s">
        <v>74</v>
      </c>
      <c r="E30" s="8" t="s">
        <v>75</v>
      </c>
    </row>
    <row r="31" spans="1:13" x14ac:dyDescent="0.35">
      <c r="A31" s="9" t="s">
        <v>76</v>
      </c>
      <c r="B31" s="18">
        <f>$C$191</f>
        <v>0</v>
      </c>
    </row>
    <row r="32" spans="1:13" x14ac:dyDescent="0.35">
      <c r="A32" s="4" t="s">
        <v>77</v>
      </c>
      <c r="B32" s="24">
        <f>$C$192</f>
        <v>13376</v>
      </c>
      <c r="D32" s="24">
        <f>INDEX(BUDGET!$C$99:$R$99,$E$5)</f>
        <v>6452.5252525252499</v>
      </c>
    </row>
    <row r="33" spans="1:6" x14ac:dyDescent="0.35">
      <c r="A33" s="20" t="s">
        <v>78</v>
      </c>
      <c r="B33" s="21">
        <f>B31+B32</f>
        <v>13376</v>
      </c>
      <c r="C33" s="25"/>
      <c r="D33" s="25"/>
      <c r="E33" s="25"/>
    </row>
    <row r="34" spans="1:6" x14ac:dyDescent="0.35">
      <c r="A34" s="9" t="s">
        <v>79</v>
      </c>
      <c r="B34" s="18">
        <f>B33-B35-B36-B37</f>
        <v>9333.5</v>
      </c>
      <c r="C34" s="23">
        <f>IF(B32=0,0,B34/B32)</f>
        <v>0.69777960526315785</v>
      </c>
      <c r="D34" s="18">
        <f>INDEX(BUDGET!$C$95:$R$95,$E$5)</f>
        <v>6388</v>
      </c>
      <c r="E34" s="23">
        <f>IF(D32=0,0,D34/D32)</f>
        <v>0.99000000000000044</v>
      </c>
    </row>
    <row r="35" spans="1:6" x14ac:dyDescent="0.35">
      <c r="A35" s="9" t="s">
        <v>80</v>
      </c>
      <c r="B35" s="18">
        <f>$C$194</f>
        <v>0</v>
      </c>
      <c r="C35" s="23">
        <f>IF(B32=0,0,B35/B32)</f>
        <v>0</v>
      </c>
      <c r="D35" s="18">
        <f>INDEX(BUDGET!$C$96:$R$96,$E$5)</f>
        <v>0</v>
      </c>
      <c r="E35" s="23">
        <f>IF(D32=0,0,D35/D32)</f>
        <v>0</v>
      </c>
    </row>
    <row r="36" spans="1:6" x14ac:dyDescent="0.35">
      <c r="A36" s="9" t="s">
        <v>81</v>
      </c>
      <c r="B36" s="18">
        <f>$C$195</f>
        <v>0</v>
      </c>
      <c r="C36" s="23">
        <f>IF(B32=0,0,B36/B32)</f>
        <v>0</v>
      </c>
      <c r="D36" s="18">
        <f>INDEX(BUDGET!$C$97:$R$97,$E$5)</f>
        <v>64.525252525252498</v>
      </c>
      <c r="E36" s="23">
        <f>IF(D32=0,0,D36/D32)</f>
        <v>0.01</v>
      </c>
    </row>
    <row r="37" spans="1:6" x14ac:dyDescent="0.35">
      <c r="A37" s="9" t="s">
        <v>82</v>
      </c>
      <c r="B37" s="18">
        <f>$C$193</f>
        <v>4042.5</v>
      </c>
      <c r="C37" s="23">
        <f>IF(B32=0,0,B37/B32)</f>
        <v>0.30222039473684209</v>
      </c>
      <c r="D37" s="18">
        <f>INDEX(BUDGET!$C$98:$R$98,$E$5)</f>
        <v>0</v>
      </c>
      <c r="E37" s="23">
        <f>IF(D32=0,0,D37/D32)</f>
        <v>0</v>
      </c>
    </row>
    <row r="38" spans="1:6" x14ac:dyDescent="0.35">
      <c r="A38" s="20" t="s">
        <v>83</v>
      </c>
      <c r="B38" s="21">
        <f>SUM(B34:B37)</f>
        <v>13376</v>
      </c>
      <c r="C38" s="25"/>
      <c r="D38" s="25"/>
      <c r="E38" s="25"/>
    </row>
    <row r="40" spans="1:6" x14ac:dyDescent="0.35">
      <c r="A40" s="4" t="s">
        <v>84</v>
      </c>
    </row>
    <row r="41" spans="1:6" ht="24" customHeight="1" x14ac:dyDescent="0.35">
      <c r="A41" s="8" t="s">
        <v>47</v>
      </c>
      <c r="B41" s="8" t="s">
        <v>85</v>
      </c>
      <c r="C41" s="8" t="s">
        <v>86</v>
      </c>
      <c r="D41" s="8" t="s">
        <v>87</v>
      </c>
      <c r="E41" s="8" t="s">
        <v>88</v>
      </c>
      <c r="F41" s="8" t="s">
        <v>89</v>
      </c>
    </row>
    <row r="42" spans="1:6" x14ac:dyDescent="0.35">
      <c r="A42" s="4" t="s">
        <v>52</v>
      </c>
    </row>
    <row r="43" spans="1:6" x14ac:dyDescent="0.35">
      <c r="A43" s="9" t="s">
        <v>307</v>
      </c>
      <c r="B43" s="18">
        <f>D211</f>
        <v>41864</v>
      </c>
      <c r="C43" s="9" t="s">
        <v>91</v>
      </c>
      <c r="D43" s="26">
        <f>F211</f>
        <v>5884.3015478692896</v>
      </c>
      <c r="E43" s="19">
        <f>G211</f>
        <v>246340399.99999994</v>
      </c>
      <c r="F43" s="19">
        <f>IF($B$32=0,0,E43/$B$32)</f>
        <v>18416.59688995215</v>
      </c>
    </row>
    <row r="44" spans="1:6" x14ac:dyDescent="0.35">
      <c r="A44" s="20" t="s">
        <v>93</v>
      </c>
      <c r="B44" s="25"/>
      <c r="C44" s="25"/>
      <c r="D44" s="25"/>
      <c r="E44" s="22">
        <f>E43</f>
        <v>246340399.99999994</v>
      </c>
      <c r="F44" s="22">
        <f>IF($B$32=0,0,E44/$B$32)</f>
        <v>18416.59688995215</v>
      </c>
    </row>
    <row r="45" spans="1:6" x14ac:dyDescent="0.35">
      <c r="A45" s="4" t="s">
        <v>94</v>
      </c>
    </row>
    <row r="46" spans="1:6" x14ac:dyDescent="0.35">
      <c r="A46" s="9" t="s">
        <v>95</v>
      </c>
      <c r="B46" s="18">
        <f>D212</f>
        <v>4161</v>
      </c>
      <c r="C46" s="9" t="s">
        <v>91</v>
      </c>
      <c r="D46" s="26">
        <f>F212</f>
        <v>17257.997793724498</v>
      </c>
      <c r="E46" s="19">
        <f>G212</f>
        <v>71810528.819687635</v>
      </c>
      <c r="F46" s="19">
        <f>IF($B$32=0,0,E46/$B$32)</f>
        <v>5368.6101091273649</v>
      </c>
    </row>
    <row r="47" spans="1:6" x14ac:dyDescent="0.35">
      <c r="A47" s="9" t="s">
        <v>96</v>
      </c>
      <c r="B47" s="18">
        <f>D213/$C$206</f>
        <v>228.20131109489338</v>
      </c>
      <c r="C47" s="9" t="s">
        <v>97</v>
      </c>
      <c r="D47" s="26">
        <f>IF(B47=0,0,E47/B47)</f>
        <v>226832.48710667915</v>
      </c>
      <c r="E47" s="19">
        <f>G213</f>
        <v>51763470.956659682</v>
      </c>
      <c r="F47" s="19">
        <f>IF($B$32=0,0,E47/$B$32)</f>
        <v>3869.8767162574522</v>
      </c>
    </row>
    <row r="48" spans="1:6" x14ac:dyDescent="0.35">
      <c r="A48" s="4" t="s">
        <v>55</v>
      </c>
    </row>
    <row r="49" spans="1:6" x14ac:dyDescent="0.35">
      <c r="A49" s="9" t="s">
        <v>308</v>
      </c>
      <c r="B49" s="18">
        <v>0</v>
      </c>
      <c r="C49" s="9" t="s">
        <v>91</v>
      </c>
      <c r="D49" s="26">
        <v>0</v>
      </c>
      <c r="E49" s="19">
        <v>0</v>
      </c>
      <c r="F49" s="19">
        <f t="shared" ref="F49:F56" si="7">IF($B$32=0,0,E49/$B$32)</f>
        <v>0</v>
      </c>
    </row>
    <row r="50" spans="1:6" x14ac:dyDescent="0.35">
      <c r="A50" s="9" t="s">
        <v>99</v>
      </c>
      <c r="B50" s="18">
        <v>0</v>
      </c>
      <c r="C50" s="9" t="s">
        <v>91</v>
      </c>
      <c r="D50" s="26">
        <v>0</v>
      </c>
      <c r="E50" s="19">
        <v>0</v>
      </c>
      <c r="F50" s="19">
        <f t="shared" si="7"/>
        <v>0</v>
      </c>
    </row>
    <row r="51" spans="1:6" x14ac:dyDescent="0.35">
      <c r="A51" s="9" t="s">
        <v>309</v>
      </c>
      <c r="B51" s="18">
        <v>0</v>
      </c>
      <c r="C51" s="9" t="s">
        <v>91</v>
      </c>
      <c r="D51" s="26">
        <v>0</v>
      </c>
      <c r="E51" s="19">
        <v>0</v>
      </c>
      <c r="F51" s="19">
        <f t="shared" si="7"/>
        <v>0</v>
      </c>
    </row>
    <row r="52" spans="1:6" x14ac:dyDescent="0.35">
      <c r="A52" s="9" t="s">
        <v>101</v>
      </c>
      <c r="B52" s="18">
        <f>D214</f>
        <v>269.67</v>
      </c>
      <c r="C52" s="9" t="s">
        <v>91</v>
      </c>
      <c r="D52" s="26">
        <f>F214</f>
        <v>33799.844959105903</v>
      </c>
      <c r="E52" s="19">
        <f>G214</f>
        <v>9114804.1901220903</v>
      </c>
      <c r="F52" s="19">
        <f t="shared" si="7"/>
        <v>681.42973909405578</v>
      </c>
    </row>
    <row r="53" spans="1:6" x14ac:dyDescent="0.35">
      <c r="A53" s="9" t="s">
        <v>310</v>
      </c>
      <c r="B53" s="18">
        <v>0</v>
      </c>
      <c r="C53" s="9" t="s">
        <v>91</v>
      </c>
      <c r="D53" s="26">
        <v>0</v>
      </c>
      <c r="E53" s="19">
        <v>0</v>
      </c>
      <c r="F53" s="19">
        <f t="shared" si="7"/>
        <v>0</v>
      </c>
    </row>
    <row r="54" spans="1:6" x14ac:dyDescent="0.35">
      <c r="A54" s="9" t="s">
        <v>104</v>
      </c>
      <c r="C54" s="9" t="s">
        <v>105</v>
      </c>
      <c r="E54" s="19">
        <f>SUMIF($C$211:$C$217,"Other cost",$G$211:$G$217)</f>
        <v>657006.31456561352</v>
      </c>
      <c r="F54" s="19">
        <f t="shared" si="7"/>
        <v>49.11829504826656</v>
      </c>
    </row>
    <row r="55" spans="1:6" x14ac:dyDescent="0.35">
      <c r="A55" s="20" t="s">
        <v>106</v>
      </c>
      <c r="B55" s="25"/>
      <c r="C55" s="25"/>
      <c r="D55" s="25"/>
      <c r="E55" s="22">
        <f>E49+E50+E51+E52+E53+E54</f>
        <v>9771810.5046877041</v>
      </c>
      <c r="F55" s="22">
        <f t="shared" si="7"/>
        <v>730.54803414232242</v>
      </c>
    </row>
    <row r="56" spans="1:6" x14ac:dyDescent="0.35">
      <c r="A56" s="20" t="s">
        <v>107</v>
      </c>
      <c r="B56" s="25"/>
      <c r="C56" s="25"/>
      <c r="D56" s="25"/>
      <c r="E56" s="22">
        <f>E44+E46+E47+E55</f>
        <v>379686210.28103501</v>
      </c>
      <c r="F56" s="22">
        <f t="shared" si="7"/>
        <v>28385.631749479293</v>
      </c>
    </row>
    <row r="57" spans="1:6" x14ac:dyDescent="0.35">
      <c r="A57" s="4" t="s">
        <v>108</v>
      </c>
    </row>
    <row r="58" spans="1:6" x14ac:dyDescent="0.35">
      <c r="A58" s="9" t="s">
        <v>109</v>
      </c>
      <c r="B58" s="18">
        <f>$C$198</f>
        <v>0</v>
      </c>
      <c r="C58" s="9" t="s">
        <v>110</v>
      </c>
      <c r="D58" s="26">
        <f>IF(B58=0,0,E58/B58)</f>
        <v>0</v>
      </c>
      <c r="E58" s="10">
        <f>'BIAYA BERSAMA'!D116</f>
        <v>0</v>
      </c>
      <c r="F58" s="19">
        <f t="shared" ref="F58:F66" si="8">IF($B$32=0,0,E58/$B$32)</f>
        <v>0</v>
      </c>
    </row>
    <row r="59" spans="1:6" x14ac:dyDescent="0.35">
      <c r="A59" s="9" t="s">
        <v>111</v>
      </c>
      <c r="C59" s="9"/>
      <c r="E59" s="10">
        <f>'BIAYA BERSAMA'!D115</f>
        <v>45171801.426382616</v>
      </c>
      <c r="F59" s="19">
        <f t="shared" si="8"/>
        <v>3377.0784559197532</v>
      </c>
    </row>
    <row r="60" spans="1:6" x14ac:dyDescent="0.35">
      <c r="A60" s="9" t="s">
        <v>112</v>
      </c>
      <c r="C60" s="9"/>
      <c r="E60" s="10">
        <f>'BIAYA BERSAMA'!D117</f>
        <v>27274036.435400967</v>
      </c>
      <c r="F60" s="19">
        <f t="shared" si="8"/>
        <v>2039.0278435556943</v>
      </c>
    </row>
    <row r="61" spans="1:6" x14ac:dyDescent="0.35">
      <c r="A61" s="9" t="s">
        <v>113</v>
      </c>
      <c r="C61" s="9"/>
      <c r="E61" s="10">
        <f>'BIAYA BERSAMA'!D118</f>
        <v>917546.08870659932</v>
      </c>
      <c r="F61" s="19">
        <f t="shared" si="8"/>
        <v>68.596448019333081</v>
      </c>
    </row>
    <row r="62" spans="1:6" x14ac:dyDescent="0.35">
      <c r="A62" s="9" t="s">
        <v>114</v>
      </c>
      <c r="C62" s="9"/>
      <c r="E62" s="10">
        <f>'BIAYA BERSAMA'!D119</f>
        <v>4178849.4703209894</v>
      </c>
      <c r="F62" s="19">
        <f t="shared" si="8"/>
        <v>312.41398552040891</v>
      </c>
    </row>
    <row r="63" spans="1:6" x14ac:dyDescent="0.35">
      <c r="A63" s="9" t="s">
        <v>115</v>
      </c>
      <c r="C63" s="9"/>
      <c r="E63" s="10">
        <f>'BIAYA BERSAMA'!D120</f>
        <v>8081270.9442751231</v>
      </c>
      <c r="F63" s="19">
        <f t="shared" si="8"/>
        <v>604.1620024129129</v>
      </c>
    </row>
    <row r="64" spans="1:6" x14ac:dyDescent="0.35">
      <c r="A64" s="20" t="s">
        <v>116</v>
      </c>
      <c r="B64" s="25"/>
      <c r="C64" s="25"/>
      <c r="D64" s="25"/>
      <c r="E64" s="22">
        <f>E60+E61+E62+E63</f>
        <v>40451702.938703679</v>
      </c>
      <c r="F64" s="22">
        <f t="shared" si="8"/>
        <v>3024.200279508349</v>
      </c>
    </row>
    <row r="65" spans="1:6" x14ac:dyDescent="0.35">
      <c r="A65" s="20" t="s">
        <v>117</v>
      </c>
      <c r="B65" s="25"/>
      <c r="C65" s="25"/>
      <c r="D65" s="25"/>
      <c r="E65" s="22">
        <f>E58+E59+E64</f>
        <v>85623504.365086287</v>
      </c>
      <c r="F65" s="22">
        <f t="shared" si="8"/>
        <v>6401.2787354281018</v>
      </c>
    </row>
    <row r="66" spans="1:6" x14ac:dyDescent="0.35">
      <c r="A66" s="20" t="s">
        <v>118</v>
      </c>
      <c r="B66" s="25"/>
      <c r="C66" s="25"/>
      <c r="D66" s="25"/>
      <c r="E66" s="22">
        <f>E56+E65</f>
        <v>465309714.64612126</v>
      </c>
      <c r="F66" s="22">
        <f t="shared" si="8"/>
        <v>34786.910484907392</v>
      </c>
    </row>
    <row r="68" spans="1:6" x14ac:dyDescent="0.35">
      <c r="A68" s="4" t="s">
        <v>123</v>
      </c>
    </row>
    <row r="69" spans="1:6" ht="24" customHeight="1" x14ac:dyDescent="0.35">
      <c r="A69" s="8" t="s">
        <v>2</v>
      </c>
      <c r="B69" s="8" t="s">
        <v>124</v>
      </c>
      <c r="C69" s="8"/>
      <c r="D69" s="8" t="s">
        <v>89</v>
      </c>
      <c r="E69" s="8" t="s">
        <v>88</v>
      </c>
      <c r="F69" s="8" t="s">
        <v>50</v>
      </c>
    </row>
    <row r="70" spans="1:6" x14ac:dyDescent="0.35">
      <c r="A70" s="9" t="s">
        <v>76</v>
      </c>
      <c r="B70" s="18">
        <f>B31</f>
        <v>0</v>
      </c>
      <c r="E70" s="19">
        <f>$C$196</f>
        <v>0</v>
      </c>
    </row>
    <row r="71" spans="1:6" x14ac:dyDescent="0.35">
      <c r="A71" s="9" t="s">
        <v>125</v>
      </c>
      <c r="B71" s="18">
        <f>B32</f>
        <v>13376</v>
      </c>
      <c r="E71" s="19">
        <f>E66</f>
        <v>465309714.64612126</v>
      </c>
    </row>
    <row r="72" spans="1:6" x14ac:dyDescent="0.35">
      <c r="A72" s="9" t="s">
        <v>126</v>
      </c>
      <c r="B72" s="18">
        <f>-B35</f>
        <v>0</v>
      </c>
      <c r="E72" s="19">
        <v>0</v>
      </c>
    </row>
    <row r="73" spans="1:6" x14ac:dyDescent="0.35">
      <c r="A73" s="20" t="s">
        <v>127</v>
      </c>
      <c r="B73" s="21">
        <f>SUM(B70:B72)</f>
        <v>13376</v>
      </c>
      <c r="C73" s="25"/>
      <c r="D73" s="25"/>
      <c r="E73" s="22">
        <f>SUM(E70:E72)</f>
        <v>465309714.64612126</v>
      </c>
      <c r="F73" s="25"/>
    </row>
    <row r="74" spans="1:6" x14ac:dyDescent="0.35">
      <c r="A74" s="4" t="s">
        <v>128</v>
      </c>
      <c r="D74" s="28">
        <f>IF(B73=0,0,E73/B73)</f>
        <v>34786.910484907392</v>
      </c>
      <c r="F74" s="26">
        <f>INDEX(BUDGET!$C$126:$R$126,$E$5)</f>
        <v>34988.714106198699</v>
      </c>
    </row>
    <row r="75" spans="1:6" x14ac:dyDescent="0.35">
      <c r="A75" s="9" t="s">
        <v>79</v>
      </c>
      <c r="B75" s="18">
        <f>B34</f>
        <v>9333.5</v>
      </c>
      <c r="E75" s="19">
        <f>B75*$D$74</f>
        <v>324683629.01088315</v>
      </c>
    </row>
    <row r="76" spans="1:6" x14ac:dyDescent="0.35">
      <c r="A76" s="9" t="s">
        <v>129</v>
      </c>
      <c r="B76" s="18">
        <f>B36</f>
        <v>0</v>
      </c>
      <c r="E76" s="19">
        <f>B76*$D$74</f>
        <v>0</v>
      </c>
    </row>
    <row r="77" spans="1:6" x14ac:dyDescent="0.35">
      <c r="A77" s="9" t="s">
        <v>82</v>
      </c>
      <c r="B77" s="18">
        <f>B37</f>
        <v>4042.5</v>
      </c>
      <c r="E77" s="19">
        <f>B77*$D$74</f>
        <v>140626085.63523814</v>
      </c>
    </row>
    <row r="78" spans="1:6" x14ac:dyDescent="0.35">
      <c r="A78" s="20" t="s">
        <v>130</v>
      </c>
      <c r="B78" s="21">
        <f>SUM(B75:B77)</f>
        <v>13376</v>
      </c>
      <c r="C78" s="25"/>
      <c r="D78" s="25"/>
      <c r="E78" s="22">
        <f>SUM(E75:E77)</f>
        <v>465309714.64612126</v>
      </c>
      <c r="F78" s="25"/>
    </row>
    <row r="79" spans="1:6" x14ac:dyDescent="0.35">
      <c r="A79" s="3" t="s">
        <v>1015</v>
      </c>
      <c r="B79" s="18">
        <f>B73-B78</f>
        <v>0</v>
      </c>
      <c r="E79" s="19">
        <f>E73-E78</f>
        <v>0</v>
      </c>
    </row>
    <row r="80" spans="1:6" x14ac:dyDescent="0.35">
      <c r="A80" s="3" t="s">
        <v>1014</v>
      </c>
      <c r="E80" s="19">
        <f>$C$197</f>
        <v>125748778.92</v>
      </c>
    </row>
    <row r="82" spans="1:13" x14ac:dyDescent="0.35">
      <c r="A82" s="6" t="s">
        <v>311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1:13" ht="24" customHeight="1" x14ac:dyDescent="0.35">
      <c r="A83" s="8" t="s">
        <v>2</v>
      </c>
      <c r="B83" s="8" t="s">
        <v>124</v>
      </c>
      <c r="C83" s="8"/>
      <c r="D83" s="8" t="s">
        <v>89</v>
      </c>
      <c r="E83" s="8" t="s">
        <v>88</v>
      </c>
      <c r="F83" s="8" t="s">
        <v>50</v>
      </c>
    </row>
    <row r="84" spans="1:13" x14ac:dyDescent="0.35">
      <c r="A84" s="9" t="s">
        <v>134</v>
      </c>
      <c r="B84" s="18">
        <f>$C$201</f>
        <v>0</v>
      </c>
      <c r="E84" s="19">
        <f>IF($C$201=0,0,$C$202)</f>
        <v>0</v>
      </c>
    </row>
    <row r="85" spans="1:13" x14ac:dyDescent="0.35">
      <c r="A85" s="9" t="s">
        <v>135</v>
      </c>
      <c r="B85" s="18">
        <f>B75</f>
        <v>9333.5</v>
      </c>
      <c r="E85" s="19">
        <f>E75</f>
        <v>324683629.01088315</v>
      </c>
    </row>
    <row r="86" spans="1:13" x14ac:dyDescent="0.35">
      <c r="A86" s="20" t="s">
        <v>136</v>
      </c>
      <c r="B86" s="21">
        <f>B84+B85</f>
        <v>9333.5</v>
      </c>
      <c r="C86" s="25"/>
      <c r="D86" s="25"/>
      <c r="E86" s="22">
        <f>E84+E85</f>
        <v>324683629.01088315</v>
      </c>
      <c r="F86" s="25"/>
    </row>
    <row r="87" spans="1:13" x14ac:dyDescent="0.35">
      <c r="A87" s="4" t="s">
        <v>128</v>
      </c>
      <c r="D87" s="28">
        <f>IF(B86=0,0,E86/B86)</f>
        <v>34786.910484907392</v>
      </c>
      <c r="F87" s="26">
        <f>INDEX(BUDGET!$C$127:$R$127,$E$5)</f>
        <v>34597.039719714601</v>
      </c>
    </row>
    <row r="88" spans="1:13" x14ac:dyDescent="0.35">
      <c r="A88" s="9" t="s">
        <v>137</v>
      </c>
      <c r="B88" s="18">
        <f>$C$203</f>
        <v>7210.5</v>
      </c>
      <c r="E88" s="19">
        <f>B88*$D$87</f>
        <v>250831018.05142474</v>
      </c>
    </row>
    <row r="89" spans="1:13" x14ac:dyDescent="0.35">
      <c r="A89" s="9" t="s">
        <v>139</v>
      </c>
      <c r="B89" s="18">
        <f>$C$204</f>
        <v>2123</v>
      </c>
      <c r="E89" s="19">
        <f>B89*$D$87</f>
        <v>73852610.959458396</v>
      </c>
    </row>
    <row r="90" spans="1:13" x14ac:dyDescent="0.35">
      <c r="A90" s="9" t="s">
        <v>140</v>
      </c>
      <c r="B90" s="18">
        <f>B86-B88-B89</f>
        <v>0</v>
      </c>
      <c r="E90" s="19">
        <f>B90*$D$87</f>
        <v>0</v>
      </c>
    </row>
    <row r="91" spans="1:13" x14ac:dyDescent="0.35">
      <c r="A91" s="3" t="s">
        <v>1016</v>
      </c>
      <c r="E91" s="19">
        <f>$C$205</f>
        <v>67731841.709999993</v>
      </c>
    </row>
    <row r="92" spans="1:13" x14ac:dyDescent="0.35">
      <c r="A92" s="3" t="s">
        <v>1017</v>
      </c>
      <c r="E92" s="19">
        <f>$C$202-E84</f>
        <v>1692346.91</v>
      </c>
    </row>
    <row r="94" spans="1:13" x14ac:dyDescent="0.35">
      <c r="A94" s="4" t="s">
        <v>11</v>
      </c>
    </row>
    <row r="95" spans="1:13" x14ac:dyDescent="0.35">
      <c r="A95" s="9" t="s">
        <v>143</v>
      </c>
      <c r="E95" s="19">
        <f>E88</f>
        <v>250831018.05142474</v>
      </c>
    </row>
    <row r="96" spans="1:13" x14ac:dyDescent="0.35">
      <c r="A96" s="9" t="s">
        <v>144</v>
      </c>
      <c r="E96" s="19">
        <f>E76</f>
        <v>0</v>
      </c>
    </row>
    <row r="97" spans="1:13" x14ac:dyDescent="0.35">
      <c r="A97" s="9" t="s">
        <v>145</v>
      </c>
      <c r="E97" s="19">
        <f>E90</f>
        <v>0</v>
      </c>
    </row>
    <row r="98" spans="1:13" x14ac:dyDescent="0.35">
      <c r="A98" s="20" t="s">
        <v>147</v>
      </c>
      <c r="B98" s="25"/>
      <c r="C98" s="25"/>
      <c r="D98" s="25"/>
      <c r="E98" s="22">
        <f>E95+E96+E97</f>
        <v>250831018.05142474</v>
      </c>
      <c r="F98" s="25"/>
    </row>
    <row r="99" spans="1:13" x14ac:dyDescent="0.35">
      <c r="A99" s="4" t="s">
        <v>148</v>
      </c>
      <c r="D99" s="28">
        <f>IF(B88=0,0,(E95+E96)/B88)</f>
        <v>34786.910484907392</v>
      </c>
      <c r="F99" s="26">
        <f>IF(INDEX(BUDGET!$C$95:$R$95,$E$5)=0,0,INDEX(BUDGET!$C$128:$R$128,$E$5)/INDEX(BUDGET!$C$95:$R$95,$E$5))</f>
        <v>34950.461074322637</v>
      </c>
    </row>
    <row r="100" spans="1:13" x14ac:dyDescent="0.35">
      <c r="A100" s="3" t="s">
        <v>149</v>
      </c>
      <c r="E100" s="19">
        <f>INDEX(BUDGET!$C$128:$R$128,$E$5)</f>
        <v>223263545.34277299</v>
      </c>
    </row>
    <row r="102" spans="1:13" x14ac:dyDescent="0.35">
      <c r="A102" s="6" t="s">
        <v>150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</row>
    <row r="103" spans="1:13" ht="30" customHeight="1" x14ac:dyDescent="0.35">
      <c r="A103" s="8" t="s">
        <v>47</v>
      </c>
      <c r="B103" s="8" t="s">
        <v>151</v>
      </c>
      <c r="C103" s="8" t="s">
        <v>152</v>
      </c>
      <c r="D103" s="8" t="s">
        <v>153</v>
      </c>
      <c r="E103" s="8" t="s">
        <v>154</v>
      </c>
      <c r="F103" s="8" t="s">
        <v>16</v>
      </c>
      <c r="G103" s="8" t="s">
        <v>17</v>
      </c>
      <c r="H103" s="8" t="s">
        <v>18</v>
      </c>
      <c r="I103" s="8" t="s">
        <v>19</v>
      </c>
      <c r="J103" s="8" t="s">
        <v>20</v>
      </c>
      <c r="K103" s="8" t="s">
        <v>21</v>
      </c>
      <c r="L103" s="8" t="s">
        <v>22</v>
      </c>
      <c r="M103" s="8" t="s">
        <v>155</v>
      </c>
    </row>
    <row r="104" spans="1:13" x14ac:dyDescent="0.35">
      <c r="A104" s="9" t="s">
        <v>307</v>
      </c>
      <c r="B104" s="27">
        <f>IF($B$32=0,0,B43/$B$32)</f>
        <v>3.1297846889952154</v>
      </c>
      <c r="C104" s="27">
        <f>IF($D$32=0,0,INDEX(BUDGET!$C$101:$R$101,$E$5)/$D$32)</f>
        <v>3.1297846889952288</v>
      </c>
      <c r="D104" s="26">
        <f>D43</f>
        <v>5884.3015478692896</v>
      </c>
      <c r="E104" s="26">
        <f>IF(INDEX(BUDGET!$C$101:$R$101,$E$5)=0,0,INDEX(BUDGET!$C$102:$R$102,$E$5)/INDEX(BUDGET!$C$101:$R$101,$E$5))</f>
        <v>5912.3699999999844</v>
      </c>
      <c r="F104" s="19">
        <f>F43</f>
        <v>18416.59688995215</v>
      </c>
      <c r="G104" s="19">
        <f>IF($D$32=0,0,INDEX(BUDGET!$C$102:$R$102,$E$5)/$D$32)</f>
        <v>18504.445101674675</v>
      </c>
      <c r="H104" s="19">
        <f>F104-G104</f>
        <v>-87.848211722524866</v>
      </c>
      <c r="I104" s="19">
        <f>(D104-E104)*B104</f>
        <v>-87.848211722443793</v>
      </c>
      <c r="J104" s="19">
        <f>(B104-C104)*E104</f>
        <v>-7.8768591649236237E-11</v>
      </c>
      <c r="K104" s="19">
        <v>0</v>
      </c>
      <c r="L104" s="19">
        <v>0</v>
      </c>
      <c r="M104" s="19">
        <f>H104-I104-J104-K104-L104</f>
        <v>-2.3043345009911941E-12</v>
      </c>
    </row>
    <row r="105" spans="1:13" x14ac:dyDescent="0.35">
      <c r="A105" s="20" t="s">
        <v>52</v>
      </c>
      <c r="B105" s="25"/>
      <c r="C105" s="25"/>
      <c r="D105" s="25"/>
      <c r="E105" s="25"/>
      <c r="F105" s="22">
        <f t="shared" ref="F105:M105" si="9">F104</f>
        <v>18416.59688995215</v>
      </c>
      <c r="G105" s="22">
        <f t="shared" si="9"/>
        <v>18504.445101674675</v>
      </c>
      <c r="H105" s="22">
        <f t="shared" si="9"/>
        <v>-87.848211722524866</v>
      </c>
      <c r="I105" s="22">
        <f t="shared" si="9"/>
        <v>-87.848211722443793</v>
      </c>
      <c r="J105" s="22">
        <f t="shared" si="9"/>
        <v>-7.8768591649236237E-11</v>
      </c>
      <c r="K105" s="22">
        <f t="shared" si="9"/>
        <v>0</v>
      </c>
      <c r="L105" s="22">
        <f t="shared" si="9"/>
        <v>0</v>
      </c>
      <c r="M105" s="22">
        <f t="shared" si="9"/>
        <v>-2.3043345009911941E-12</v>
      </c>
    </row>
    <row r="106" spans="1:13" x14ac:dyDescent="0.35">
      <c r="A106" s="9" t="s">
        <v>95</v>
      </c>
      <c r="B106" s="27">
        <f>IF($B$32=0,0,B46/$B$32)</f>
        <v>0.31107954545454547</v>
      </c>
      <c r="C106" s="27">
        <f>IF($D$32=0,0,INDEX(BUDGET!$C$103:$R$103,$E$5)/$D$32)</f>
        <v>0.39703995937429382</v>
      </c>
      <c r="D106" s="26">
        <f>D46</f>
        <v>17257.997793724498</v>
      </c>
      <c r="E106" s="26">
        <f>IF(INDEX(BUDGET!$C$103:$R$103,$E$5)=0,0,INDEX(BUDGET!$C$104:$R$104,$E$5)/INDEX(BUDGET!$C$103:$R$103,$E$5))</f>
        <v>16774.634009465673</v>
      </c>
      <c r="F106" s="19">
        <f>F46</f>
        <v>5368.6101091273649</v>
      </c>
      <c r="G106" s="19">
        <f>IF($D$32=0,0,INDEX(BUDGET!$C$104:$R$104,$E$5)/$D$32)</f>
        <v>6660.2000056368979</v>
      </c>
      <c r="H106" s="19">
        <f>F106-G106</f>
        <v>-1291.589896509533</v>
      </c>
      <c r="I106" s="19">
        <f>(D106-E106)*B106</f>
        <v>150.36458629642428</v>
      </c>
      <c r="J106" s="19">
        <f>(B106-C106)*E106</f>
        <v>-1441.954482805957</v>
      </c>
      <c r="K106" s="19">
        <v>0</v>
      </c>
      <c r="L106" s="19">
        <v>0</v>
      </c>
      <c r="M106" s="19">
        <f>H106-I106-J106-K106-L106</f>
        <v>-2.2737367544323206E-13</v>
      </c>
    </row>
    <row r="107" spans="1:13" x14ac:dyDescent="0.35">
      <c r="A107" s="20" t="s">
        <v>53</v>
      </c>
      <c r="B107" s="25"/>
      <c r="C107" s="25"/>
      <c r="D107" s="25"/>
      <c r="E107" s="25"/>
      <c r="F107" s="22">
        <f t="shared" ref="F107:M107" si="10">F106</f>
        <v>5368.6101091273649</v>
      </c>
      <c r="G107" s="22">
        <f t="shared" si="10"/>
        <v>6660.2000056368979</v>
      </c>
      <c r="H107" s="22">
        <f t="shared" si="10"/>
        <v>-1291.589896509533</v>
      </c>
      <c r="I107" s="22">
        <f t="shared" si="10"/>
        <v>150.36458629642428</v>
      </c>
      <c r="J107" s="22">
        <f t="shared" si="10"/>
        <v>-1441.954482805957</v>
      </c>
      <c r="K107" s="22">
        <f t="shared" si="10"/>
        <v>0</v>
      </c>
      <c r="L107" s="22">
        <f t="shared" si="10"/>
        <v>0</v>
      </c>
      <c r="M107" s="22">
        <f t="shared" si="10"/>
        <v>-2.2737367544323206E-13</v>
      </c>
    </row>
    <row r="108" spans="1:13" x14ac:dyDescent="0.35">
      <c r="A108" s="9" t="s">
        <v>156</v>
      </c>
      <c r="B108" s="27">
        <f>IF($B$32=0,0,B47/$B$32)</f>
        <v>1.7060504717022532E-2</v>
      </c>
      <c r="C108" s="27">
        <f>IF($D$32=0,0,INDEX(BUDGET!$C$105:$R$105,$E$5)/$D$32)</f>
        <v>1.9115513579858606E-2</v>
      </c>
      <c r="D108" s="26">
        <f>D47</f>
        <v>226832.48710667915</v>
      </c>
      <c r="E108" s="26">
        <f>IF(INDEX(BUDGET!$C$105:$R$105,$E$5)=0,0,INDEX(BUDGET!$C$106:$R$106,$E$5)/INDEX(BUDGET!$C$105:$R$105,$E$5))</f>
        <v>229500.00000000003</v>
      </c>
      <c r="F108" s="19">
        <f>F47</f>
        <v>3869.8767162574522</v>
      </c>
      <c r="G108" s="19">
        <f>IF($D$32=0,0,INDEX(BUDGET!$C$106:$R$106,$E$5)/$D$32)</f>
        <v>4387.0103665775505</v>
      </c>
      <c r="H108" s="19">
        <f>F108-G108</f>
        <v>-517.13365032009824</v>
      </c>
      <c r="I108" s="19">
        <f>(D108-E108)*B108</f>
        <v>-45.50911629921923</v>
      </c>
      <c r="J108" s="19">
        <f>(B108-C108)*E108</f>
        <v>-471.62453402087903</v>
      </c>
      <c r="K108" s="19">
        <v>0</v>
      </c>
      <c r="L108" s="19">
        <v>0</v>
      </c>
      <c r="M108" s="19">
        <f>H108-I108-J108-K108-L108</f>
        <v>0</v>
      </c>
    </row>
    <row r="109" spans="1:13" x14ac:dyDescent="0.35">
      <c r="A109" s="20" t="s">
        <v>54</v>
      </c>
      <c r="B109" s="25"/>
      <c r="C109" s="25"/>
      <c r="D109" s="25"/>
      <c r="E109" s="25"/>
      <c r="F109" s="22">
        <f t="shared" ref="F109:M109" si="11">F108</f>
        <v>3869.8767162574522</v>
      </c>
      <c r="G109" s="22">
        <f t="shared" si="11"/>
        <v>4387.0103665775505</v>
      </c>
      <c r="H109" s="22">
        <f t="shared" si="11"/>
        <v>-517.13365032009824</v>
      </c>
      <c r="I109" s="22">
        <f t="shared" si="11"/>
        <v>-45.50911629921923</v>
      </c>
      <c r="J109" s="22">
        <f t="shared" si="11"/>
        <v>-471.62453402087903</v>
      </c>
      <c r="K109" s="22">
        <f t="shared" si="11"/>
        <v>0</v>
      </c>
      <c r="L109" s="22">
        <f t="shared" si="11"/>
        <v>0</v>
      </c>
      <c r="M109" s="22">
        <f t="shared" si="11"/>
        <v>0</v>
      </c>
    </row>
    <row r="110" spans="1:13" x14ac:dyDescent="0.35">
      <c r="A110" s="9" t="s">
        <v>308</v>
      </c>
      <c r="B110" s="27">
        <f>IF($B$32=0,0,B49/$B$32)</f>
        <v>0</v>
      </c>
      <c r="C110" s="27">
        <f>IF($D$32=0,0,INDEX(BUDGET!$C$107:$R$107,$E$5)/$D$32)</f>
        <v>0</v>
      </c>
      <c r="D110" s="26">
        <f>D49</f>
        <v>0</v>
      </c>
      <c r="E110" s="26">
        <f>IF(INDEX(BUDGET!$C$107:$R$107,$E$5)=0,0,INDEX(BUDGET!$C$108:$R$108,$E$5)/INDEX(BUDGET!$C$107:$R$107,$E$5))</f>
        <v>0</v>
      </c>
      <c r="F110" s="19">
        <f t="shared" ref="F110:F115" si="12">F49</f>
        <v>0</v>
      </c>
      <c r="G110" s="19">
        <f>IF($D$32=0,0,INDEX(BUDGET!$C$108:$R$108,$E$5)/$D$32)</f>
        <v>0</v>
      </c>
      <c r="H110" s="19">
        <f t="shared" ref="H110:H115" si="13">F110-G110</f>
        <v>0</v>
      </c>
      <c r="I110" s="19">
        <f>(D110-E110)*B110</f>
        <v>0</v>
      </c>
      <c r="J110" s="19">
        <f>(B110-C110)*E110</f>
        <v>0</v>
      </c>
      <c r="K110" s="19">
        <v>0</v>
      </c>
      <c r="L110" s="19">
        <v>0</v>
      </c>
      <c r="M110" s="19">
        <f t="shared" ref="M110:M115" si="14">H110-I110-J110-K110-L110</f>
        <v>0</v>
      </c>
    </row>
    <row r="111" spans="1:13" x14ac:dyDescent="0.35">
      <c r="A111" s="9" t="s">
        <v>99</v>
      </c>
      <c r="B111" s="27">
        <f>IF($B$32=0,0,B50/$B$32)</f>
        <v>0</v>
      </c>
      <c r="C111" s="27">
        <f>IF($D$32=0,0,INDEX(BUDGET!$C$109:$R$109,$E$5)/$D$32)</f>
        <v>9.258293949483559E-4</v>
      </c>
      <c r="D111" s="26">
        <f>D50</f>
        <v>0</v>
      </c>
      <c r="E111" s="26">
        <f>IF(INDEX(BUDGET!$C$109:$R$109,$E$5)=0,0,INDEX(BUDGET!$C$110:$R$110,$E$5)/INDEX(BUDGET!$C$109:$R$109,$E$5))</f>
        <v>31542.625913469692</v>
      </c>
      <c r="F111" s="19">
        <f t="shared" si="12"/>
        <v>0</v>
      </c>
      <c r="G111" s="19">
        <f>IF($D$32=0,0,INDEX(BUDGET!$C$110:$R$110,$E$5)/$D$32)</f>
        <v>29.203090264549978</v>
      </c>
      <c r="H111" s="19">
        <f t="shared" si="13"/>
        <v>-29.203090264549978</v>
      </c>
      <c r="I111" s="19">
        <f>(D111-E111)*B111</f>
        <v>0</v>
      </c>
      <c r="J111" s="19">
        <f>(B111-C111)*E111</f>
        <v>-29.203090264549978</v>
      </c>
      <c r="K111" s="19">
        <v>0</v>
      </c>
      <c r="L111" s="19">
        <v>0</v>
      </c>
      <c r="M111" s="19">
        <f t="shared" si="14"/>
        <v>0</v>
      </c>
    </row>
    <row r="112" spans="1:13" x14ac:dyDescent="0.35">
      <c r="A112" s="9" t="s">
        <v>309</v>
      </c>
      <c r="B112" s="27">
        <f>IF($B$32=0,0,B51/$B$32)</f>
        <v>0</v>
      </c>
      <c r="C112" s="27">
        <f>IF($D$32=0,0,INDEX(BUDGET!$C$111:$R$111,$E$5)/$D$32)</f>
        <v>0</v>
      </c>
      <c r="D112" s="26">
        <f>D51</f>
        <v>0</v>
      </c>
      <c r="E112" s="26">
        <f>IF(INDEX(BUDGET!$C$111:$R$111,$E$5)=0,0,INDEX(BUDGET!$C$112:$R$112,$E$5)/INDEX(BUDGET!$C$111:$R$111,$E$5))</f>
        <v>0</v>
      </c>
      <c r="F112" s="19">
        <f t="shared" si="12"/>
        <v>0</v>
      </c>
      <c r="G112" s="19">
        <f>IF($D$32=0,0,INDEX(BUDGET!$C$112:$R$112,$E$5)/$D$32)</f>
        <v>0</v>
      </c>
      <c r="H112" s="19">
        <f t="shared" si="13"/>
        <v>0</v>
      </c>
      <c r="I112" s="19">
        <f>(D112-E112)*B112</f>
        <v>0</v>
      </c>
      <c r="J112" s="19">
        <f>(B112-C112)*E112</f>
        <v>0</v>
      </c>
      <c r="K112" s="19">
        <v>0</v>
      </c>
      <c r="L112" s="19">
        <v>0</v>
      </c>
      <c r="M112" s="19">
        <f t="shared" si="14"/>
        <v>0</v>
      </c>
    </row>
    <row r="113" spans="1:13" x14ac:dyDescent="0.35">
      <c r="A113" s="9" t="s">
        <v>101</v>
      </c>
      <c r="B113" s="27">
        <f>IF($B$32=0,0,B52/$B$32)</f>
        <v>2.0160735645933014E-2</v>
      </c>
      <c r="C113" s="27">
        <f>IF($D$32=0,0,INDEX(BUDGET!$C$113:$R$113,$E$5)/$D$32)</f>
        <v>2.0339075921734791E-2</v>
      </c>
      <c r="D113" s="26">
        <f>D52</f>
        <v>33799.844959105903</v>
      </c>
      <c r="E113" s="26">
        <f>IF(INDEX(BUDGET!$C$113:$R$113,$E$5)=0,0,INDEX(BUDGET!$C$114:$R$114,$E$5)/INDEX(BUDGET!$C$113:$R$113,$E$5))</f>
        <v>32219.380208561211</v>
      </c>
      <c r="F113" s="19">
        <f t="shared" si="12"/>
        <v>681.42973909405578</v>
      </c>
      <c r="G113" s="19">
        <f>IF($D$32=0,0,INDEX(BUDGET!$C$114:$R$114,$E$5)/$D$32)</f>
        <v>655.31242021316575</v>
      </c>
      <c r="H113" s="19">
        <f t="shared" si="13"/>
        <v>26.117318880890025</v>
      </c>
      <c r="I113" s="19">
        <f>(D113-E113)*B113</f>
        <v>31.863332033447001</v>
      </c>
      <c r="J113" s="19">
        <f>(B113-C113)*E113</f>
        <v>-5.746013152557099</v>
      </c>
      <c r="K113" s="19">
        <v>0</v>
      </c>
      <c r="L113" s="19">
        <v>0</v>
      </c>
      <c r="M113" s="19">
        <f t="shared" si="14"/>
        <v>1.2256862191861728E-13</v>
      </c>
    </row>
    <row r="114" spans="1:13" x14ac:dyDescent="0.35">
      <c r="A114" s="9" t="s">
        <v>310</v>
      </c>
      <c r="B114" s="27">
        <f>IF($B$32=0,0,B53/$B$32)</f>
        <v>0</v>
      </c>
      <c r="C114" s="27">
        <f>IF($D$32=0,0,INDEX(BUDGET!$C$115:$R$115,$E$5)/$D$32)</f>
        <v>0</v>
      </c>
      <c r="D114" s="26">
        <f>D53</f>
        <v>0</v>
      </c>
      <c r="E114" s="26">
        <f>IF(INDEX(BUDGET!$C$115:$R$115,$E$5)=0,0,INDEX(BUDGET!$C$116:$R$116,$E$5)/INDEX(BUDGET!$C$115:$R$115,$E$5))</f>
        <v>0</v>
      </c>
      <c r="F114" s="19">
        <f t="shared" si="12"/>
        <v>0</v>
      </c>
      <c r="G114" s="19">
        <f>IF($D$32=0,0,INDEX(BUDGET!$C$116:$R$116,$E$5)/$D$32)</f>
        <v>0</v>
      </c>
      <c r="H114" s="19">
        <f t="shared" si="13"/>
        <v>0</v>
      </c>
      <c r="I114" s="19">
        <f>(D114-E114)*B114</f>
        <v>0</v>
      </c>
      <c r="J114" s="19">
        <f>(B114-C114)*E114</f>
        <v>0</v>
      </c>
      <c r="K114" s="19">
        <v>0</v>
      </c>
      <c r="L114" s="19">
        <v>0</v>
      </c>
      <c r="M114" s="19">
        <f t="shared" si="14"/>
        <v>0</v>
      </c>
    </row>
    <row r="115" spans="1:13" x14ac:dyDescent="0.35">
      <c r="A115" s="9" t="s">
        <v>157</v>
      </c>
      <c r="F115" s="19">
        <f t="shared" si="12"/>
        <v>49.11829504826656</v>
      </c>
      <c r="G115" s="19">
        <f>IF($D$32=0,0,INDEX(BUDGET!$C$117:$R$117,$E$5)/$D$32)</f>
        <v>0</v>
      </c>
      <c r="H115" s="19">
        <f t="shared" si="13"/>
        <v>49.11829504826656</v>
      </c>
      <c r="I115" s="19">
        <v>0</v>
      </c>
      <c r="J115" s="19">
        <f>H115</f>
        <v>49.11829504826656</v>
      </c>
      <c r="K115" s="19">
        <v>0</v>
      </c>
      <c r="L115" s="19">
        <v>0</v>
      </c>
      <c r="M115" s="19">
        <f t="shared" si="14"/>
        <v>0</v>
      </c>
    </row>
    <row r="116" spans="1:13" x14ac:dyDescent="0.35">
      <c r="A116" s="20" t="s">
        <v>55</v>
      </c>
      <c r="B116" s="25"/>
      <c r="C116" s="25"/>
      <c r="D116" s="25"/>
      <c r="E116" s="25"/>
      <c r="F116" s="22">
        <f t="shared" ref="F116:M116" si="15">F110+F111+F112+F113+F114+F115</f>
        <v>730.54803414232231</v>
      </c>
      <c r="G116" s="22">
        <f t="shared" si="15"/>
        <v>684.51551047771568</v>
      </c>
      <c r="H116" s="22">
        <f t="shared" si="15"/>
        <v>46.032523664606607</v>
      </c>
      <c r="I116" s="22">
        <f t="shared" si="15"/>
        <v>31.863332033447001</v>
      </c>
      <c r="J116" s="22">
        <f t="shared" si="15"/>
        <v>14.169191631159485</v>
      </c>
      <c r="K116" s="22">
        <f t="shared" si="15"/>
        <v>0</v>
      </c>
      <c r="L116" s="22">
        <f t="shared" si="15"/>
        <v>0</v>
      </c>
      <c r="M116" s="22">
        <f t="shared" si="15"/>
        <v>1.2256862191861728E-13</v>
      </c>
    </row>
    <row r="117" spans="1:13" x14ac:dyDescent="0.35">
      <c r="A117" s="9" t="s">
        <v>158</v>
      </c>
      <c r="B117" s="27">
        <f>IF($B$32=0,0,B58/$B$32)</f>
        <v>0</v>
      </c>
      <c r="C117" s="27">
        <f>IF($D$32=0,0,INDEX(BUDGET!$C$118:$R$118,$E$5)/$D$32)</f>
        <v>0</v>
      </c>
      <c r="D117" s="26">
        <f>D58</f>
        <v>0</v>
      </c>
      <c r="E117" s="26">
        <f>IF(INDEX(BUDGET!$C$118:$R$118,$E$5)=0,0,INDEX(BUDGET!$C$119:$R$119,$E$5)/INDEX(BUDGET!$C$118:$R$118,$E$5))</f>
        <v>0</v>
      </c>
      <c r="F117" s="19">
        <f>F58</f>
        <v>0</v>
      </c>
      <c r="G117" s="19">
        <f>IF($D$32=0,0,INDEX(BUDGET!$C$119:$R$119,$E$5)/$D$32)</f>
        <v>0</v>
      </c>
      <c r="H117" s="19">
        <f>F117-G117</f>
        <v>0</v>
      </c>
      <c r="I117" s="19">
        <f>(D117-E117)*B117</f>
        <v>0</v>
      </c>
      <c r="J117" s="19">
        <f>(B117-C117)*E117</f>
        <v>0</v>
      </c>
      <c r="K117" s="19">
        <v>0</v>
      </c>
      <c r="L117" s="19">
        <v>0</v>
      </c>
      <c r="M117" s="19">
        <f>H117-I117-J117-K117-L117</f>
        <v>0</v>
      </c>
    </row>
    <row r="118" spans="1:13" x14ac:dyDescent="0.35">
      <c r="A118" s="20" t="s">
        <v>56</v>
      </c>
      <c r="B118" s="25"/>
      <c r="C118" s="25"/>
      <c r="D118" s="25"/>
      <c r="E118" s="25"/>
      <c r="F118" s="22">
        <f t="shared" ref="F118:M118" si="16">F117</f>
        <v>0</v>
      </c>
      <c r="G118" s="22">
        <f t="shared" si="16"/>
        <v>0</v>
      </c>
      <c r="H118" s="22">
        <f t="shared" si="16"/>
        <v>0</v>
      </c>
      <c r="I118" s="22">
        <f t="shared" si="16"/>
        <v>0</v>
      </c>
      <c r="J118" s="22">
        <f t="shared" si="16"/>
        <v>0</v>
      </c>
      <c r="K118" s="22">
        <f t="shared" si="16"/>
        <v>0</v>
      </c>
      <c r="L118" s="22">
        <f t="shared" si="16"/>
        <v>0</v>
      </c>
      <c r="M118" s="22">
        <f t="shared" si="16"/>
        <v>0</v>
      </c>
    </row>
    <row r="119" spans="1:13" x14ac:dyDescent="0.35">
      <c r="A119" s="9" t="s">
        <v>111</v>
      </c>
      <c r="F119" s="19">
        <f>F59</f>
        <v>3377.0784559197532</v>
      </c>
      <c r="G119" s="19">
        <f>IF($D$32=0,0,INDEX(BUDGET!$C$140:$R$140,$E$5)/$D$32)</f>
        <v>2105.5178435648718</v>
      </c>
      <c r="H119" s="19">
        <f>F119-G119</f>
        <v>1271.5606123548814</v>
      </c>
      <c r="I119" s="19">
        <f>IF($B$32=0,0,('BIAYA BERSAMA'!$D$125-INDEX(BUDGET!$C$140:$R$140,$E$5))/$B$32)</f>
        <v>793.9214129457481</v>
      </c>
      <c r="J119" s="19">
        <v>0</v>
      </c>
      <c r="K119" s="19">
        <f>IF($B$32=0,0,INDEX(BUDGET!$C$140:$R$140,$E$5)/$B$32)-G119</f>
        <v>-1089.8250314203708</v>
      </c>
      <c r="L119" s="19">
        <f>IF($B$32=0,0,(E59-'BIAYA BERSAMA'!$D$125)/$B$32)</f>
        <v>1567.464230829504</v>
      </c>
      <c r="M119" s="19">
        <f>H119-I119-J119-K119-L119</f>
        <v>0</v>
      </c>
    </row>
    <row r="120" spans="1:13" x14ac:dyDescent="0.35">
      <c r="A120" s="20" t="s">
        <v>159</v>
      </c>
      <c r="B120" s="25"/>
      <c r="C120" s="25"/>
      <c r="D120" s="25"/>
      <c r="E120" s="25"/>
      <c r="F120" s="22">
        <f t="shared" ref="F120:M120" si="17">F119</f>
        <v>3377.0784559197532</v>
      </c>
      <c r="G120" s="22">
        <f t="shared" si="17"/>
        <v>2105.5178435648718</v>
      </c>
      <c r="H120" s="22">
        <f t="shared" si="17"/>
        <v>1271.5606123548814</v>
      </c>
      <c r="I120" s="22">
        <f t="shared" si="17"/>
        <v>793.9214129457481</v>
      </c>
      <c r="J120" s="22">
        <f t="shared" si="17"/>
        <v>0</v>
      </c>
      <c r="K120" s="22">
        <f t="shared" si="17"/>
        <v>-1089.8250314203708</v>
      </c>
      <c r="L120" s="22">
        <f t="shared" si="17"/>
        <v>1567.464230829504</v>
      </c>
      <c r="M120" s="22">
        <f t="shared" si="17"/>
        <v>0</v>
      </c>
    </row>
    <row r="121" spans="1:13" x14ac:dyDescent="0.35">
      <c r="A121" s="9" t="s">
        <v>160</v>
      </c>
      <c r="F121" s="19">
        <f>F60</f>
        <v>2039.0278435556943</v>
      </c>
      <c r="G121" s="19">
        <f>IF($D$32=0,0,INDEX(BUDGET!$C$141:$R$141,$E$5)/$D$32)</f>
        <v>1329.7235257373443</v>
      </c>
      <c r="H121" s="19">
        <f>F121-G121</f>
        <v>709.30431781835</v>
      </c>
      <c r="I121" s="19">
        <f>IF($B$32=0,0,('BIAYA BERSAMA'!$D$127-INDEX(BUDGET!$C$141:$R$141,$E$5))/$B$32)</f>
        <v>451.16418842821963</v>
      </c>
      <c r="J121" s="19">
        <v>0</v>
      </c>
      <c r="K121" s="19">
        <f>IF($B$32=0,0,INDEX(BUDGET!$C$141:$R$141,$E$5)/$B$32)-G121</f>
        <v>-688.27057801776266</v>
      </c>
      <c r="L121" s="19">
        <f>IF($B$32=0,0,(E60-'BIAYA BERSAMA'!$D$127)/$B$32)</f>
        <v>946.41070740789303</v>
      </c>
      <c r="M121" s="19">
        <f>H121-I121-J121-K121-L121</f>
        <v>0</v>
      </c>
    </row>
    <row r="122" spans="1:13" x14ac:dyDescent="0.35">
      <c r="A122" s="9" t="s">
        <v>113</v>
      </c>
      <c r="F122" s="19">
        <f>F61</f>
        <v>68.596448019333081</v>
      </c>
      <c r="G122" s="19">
        <f>IF($D$32=0,0,INDEX(BUDGET!$C$122:$R$122,$E$5)/$D$32)</f>
        <v>172.76797969071995</v>
      </c>
      <c r="H122" s="19">
        <f>F122-G122</f>
        <v>-104.17153167138687</v>
      </c>
      <c r="I122" s="19">
        <f>IF($B$32=0,0,('BIAYA BERSAMA'!$D$128-INDEX(BUDGET!$C$122:$R$122,$E$5))/$B$32)</f>
        <v>74.209383468236922</v>
      </c>
      <c r="J122" s="19">
        <v>0</v>
      </c>
      <c r="K122" s="19">
        <f>IF($B$32=0,0,INDEX(BUDGET!$C$122:$R$122,$E$5)/$B$32)-G122</f>
        <v>-89.425444419925995</v>
      </c>
      <c r="L122" s="19">
        <f>IF($B$32=0,0,(E61-'BIAYA BERSAMA'!$D$128)/$B$32)</f>
        <v>-88.9554707196978</v>
      </c>
      <c r="M122" s="19">
        <f>H122-I122-J122-K122-L122</f>
        <v>0</v>
      </c>
    </row>
    <row r="123" spans="1:13" x14ac:dyDescent="0.35">
      <c r="A123" s="9" t="s">
        <v>161</v>
      </c>
      <c r="F123" s="19">
        <f>F62</f>
        <v>312.41398552040891</v>
      </c>
      <c r="G123" s="19">
        <f>IF($D$32=0,0,INDEX(BUDGET!$C$123:$R$123,$E$5)/$D$32)</f>
        <v>1022.5599830979274</v>
      </c>
      <c r="H123" s="19">
        <f>F123-G123</f>
        <v>-710.14599757751853</v>
      </c>
      <c r="I123" s="19">
        <f>IF($B$32=0,0,('BIAYA BERSAMA'!$D$129-INDEX(BUDGET!$C$123:$R$123,$E$5))/$B$32)</f>
        <v>-180.86458155204699</v>
      </c>
      <c r="J123" s="19">
        <v>0</v>
      </c>
      <c r="K123" s="19">
        <f>IF($B$32=0,0,INDEX(BUDGET!$C$123:$R$123,$E$5)/$B$32)-G123</f>
        <v>-529.28141602547157</v>
      </c>
      <c r="L123" s="19">
        <f>IF($B$32=0,0,(E62-'BIAYA BERSAMA'!$D$129)/$B$32)</f>
        <v>0</v>
      </c>
      <c r="M123" s="19">
        <f>H123-I123-J123-K123-L123</f>
        <v>0</v>
      </c>
    </row>
    <row r="124" spans="1:13" x14ac:dyDescent="0.35">
      <c r="A124" s="9" t="s">
        <v>162</v>
      </c>
      <c r="F124" s="19">
        <f>F63</f>
        <v>604.1620024129129</v>
      </c>
      <c r="G124" s="19">
        <f>IF($D$32=0,0,INDEX(BUDGET!$C$124:$R$124,$E$5)/$D$32)</f>
        <v>790.33065988051999</v>
      </c>
      <c r="H124" s="19">
        <f>F124-G124</f>
        <v>-186.16865746760709</v>
      </c>
      <c r="I124" s="19">
        <f>IF($B$32=0,0,('BIAYA BERSAMA'!$D$130-INDEX(BUDGET!$C$124:$R$124,$E$5))/$B$32)</f>
        <v>222.90986868653732</v>
      </c>
      <c r="J124" s="19">
        <v>0</v>
      </c>
      <c r="K124" s="19">
        <f>IF($B$32=0,0,INDEX(BUDGET!$C$124:$R$124,$E$5)/$B$32)-G124</f>
        <v>-409.07852615414441</v>
      </c>
      <c r="L124" s="19">
        <f>IF($B$32=0,0,(E63-'BIAYA BERSAMA'!$D$130)/$B$32)</f>
        <v>0</v>
      </c>
      <c r="M124" s="19">
        <f>H124-I124-J124-K124-L124</f>
        <v>0</v>
      </c>
    </row>
    <row r="125" spans="1:13" x14ac:dyDescent="0.35">
      <c r="A125" s="20" t="s">
        <v>163</v>
      </c>
      <c r="B125" s="25"/>
      <c r="C125" s="25"/>
      <c r="D125" s="25"/>
      <c r="E125" s="25"/>
      <c r="F125" s="22">
        <f t="shared" ref="F125:M125" si="18">F121+F122+F123+F124</f>
        <v>3024.200279508349</v>
      </c>
      <c r="G125" s="22">
        <f t="shared" si="18"/>
        <v>3315.382148406512</v>
      </c>
      <c r="H125" s="22">
        <f t="shared" si="18"/>
        <v>-291.18186889816252</v>
      </c>
      <c r="I125" s="22">
        <f t="shared" si="18"/>
        <v>567.41885903094681</v>
      </c>
      <c r="J125" s="22">
        <f t="shared" si="18"/>
        <v>0</v>
      </c>
      <c r="K125" s="22">
        <f t="shared" si="18"/>
        <v>-1716.0559646173044</v>
      </c>
      <c r="L125" s="22">
        <f t="shared" si="18"/>
        <v>857.45523668819521</v>
      </c>
      <c r="M125" s="22">
        <f t="shared" si="18"/>
        <v>0</v>
      </c>
    </row>
    <row r="126" spans="1:13" x14ac:dyDescent="0.35">
      <c r="A126" s="20" t="s">
        <v>164</v>
      </c>
      <c r="B126" s="25"/>
      <c r="C126" s="25"/>
      <c r="D126" s="25"/>
      <c r="E126" s="25"/>
      <c r="F126" s="22">
        <f t="shared" ref="F126:M126" si="19">F105+F107+F109+F116+F118+F120+F125</f>
        <v>34786.910484907385</v>
      </c>
      <c r="G126" s="22">
        <f t="shared" si="19"/>
        <v>35657.070976338218</v>
      </c>
      <c r="H126" s="22">
        <f t="shared" si="19"/>
        <v>-870.16049143083069</v>
      </c>
      <c r="I126" s="22">
        <f t="shared" si="19"/>
        <v>1410.2108622849032</v>
      </c>
      <c r="J126" s="22">
        <f t="shared" si="19"/>
        <v>-1899.4098251957553</v>
      </c>
      <c r="K126" s="22">
        <f t="shared" si="19"/>
        <v>-2805.8809960376752</v>
      </c>
      <c r="L126" s="22">
        <f t="shared" si="19"/>
        <v>2424.9194675176991</v>
      </c>
      <c r="M126" s="22">
        <f t="shared" si="19"/>
        <v>-2.4091395545158089E-12</v>
      </c>
    </row>
    <row r="127" spans="1:13" x14ac:dyDescent="0.35">
      <c r="A127" s="3" t="s">
        <v>165</v>
      </c>
      <c r="G127" s="19">
        <f>G126*$D$32-INDEX(BUDGET!$C$125:$R$125,$E$5)</f>
        <v>-4.76837158203125E-7</v>
      </c>
    </row>
    <row r="128" spans="1:13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30" spans="1:13" x14ac:dyDescent="0.35">
      <c r="A130" s="6" t="s">
        <v>1011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</row>
    <row r="131" spans="1:13" ht="24" customHeight="1" x14ac:dyDescent="0.35">
      <c r="A131" s="8" t="s">
        <v>2</v>
      </c>
      <c r="B131" s="8" t="s">
        <v>167</v>
      </c>
      <c r="C131" s="8" t="s">
        <v>168</v>
      </c>
      <c r="D131" s="8" t="s">
        <v>169</v>
      </c>
      <c r="E131" s="8" t="s">
        <v>18</v>
      </c>
    </row>
    <row r="132" spans="1:13" x14ac:dyDescent="0.35">
      <c r="A132" s="9" t="s">
        <v>170</v>
      </c>
      <c r="B132" s="29">
        <v>35</v>
      </c>
      <c r="C132" s="18">
        <f>-E44/10^6</f>
        <v>-246.34039999999993</v>
      </c>
      <c r="D132" s="30">
        <v>-246.34039999999999</v>
      </c>
      <c r="E132" s="18">
        <f t="shared" ref="E132:E143" si="20">C132-D132</f>
        <v>0</v>
      </c>
    </row>
    <row r="133" spans="1:13" x14ac:dyDescent="0.35">
      <c r="A133" s="9" t="s">
        <v>171</v>
      </c>
      <c r="B133" s="29">
        <v>36</v>
      </c>
      <c r="C133" s="18">
        <f>-E46/10^6</f>
        <v>-71.810528819687633</v>
      </c>
      <c r="D133" s="30">
        <v>-71.810528819687605</v>
      </c>
      <c r="E133" s="18">
        <f t="shared" si="20"/>
        <v>0</v>
      </c>
    </row>
    <row r="134" spans="1:13" x14ac:dyDescent="0.35">
      <c r="A134" s="9" t="s">
        <v>96</v>
      </c>
      <c r="B134" s="29">
        <v>37</v>
      </c>
      <c r="C134" s="18">
        <f>-E47/10^6</f>
        <v>-51.763470956659681</v>
      </c>
      <c r="D134" s="30">
        <v>-51.763470956659702</v>
      </c>
      <c r="E134" s="18">
        <f t="shared" si="20"/>
        <v>0</v>
      </c>
    </row>
    <row r="135" spans="1:13" x14ac:dyDescent="0.35">
      <c r="A135" s="9" t="s">
        <v>172</v>
      </c>
      <c r="B135" s="29">
        <v>38</v>
      </c>
      <c r="C135" s="18">
        <f>-E55/10^6</f>
        <v>-9.7718105046877035</v>
      </c>
      <c r="D135" s="30">
        <v>-9.11480419012209</v>
      </c>
      <c r="E135" s="18">
        <f t="shared" si="20"/>
        <v>-0.65700631456561354</v>
      </c>
    </row>
    <row r="136" spans="1:13" x14ac:dyDescent="0.35">
      <c r="A136" s="9" t="s">
        <v>173</v>
      </c>
      <c r="B136" s="29">
        <v>39</v>
      </c>
      <c r="C136" s="18">
        <f>-E58/10^6</f>
        <v>0</v>
      </c>
      <c r="D136" s="30">
        <v>0</v>
      </c>
      <c r="E136" s="18">
        <f t="shared" si="20"/>
        <v>0</v>
      </c>
    </row>
    <row r="137" spans="1:13" x14ac:dyDescent="0.35">
      <c r="A137" s="9" t="s">
        <v>174</v>
      </c>
      <c r="B137" s="29">
        <v>40</v>
      </c>
      <c r="C137" s="18">
        <f>-E59/10^6</f>
        <v>-45.171801426382615</v>
      </c>
      <c r="D137" s="30">
        <v>-54.419152744344501</v>
      </c>
      <c r="E137" s="18">
        <f t="shared" si="20"/>
        <v>9.2473513179618863</v>
      </c>
    </row>
    <row r="138" spans="1:13" x14ac:dyDescent="0.35">
      <c r="A138" s="9" t="s">
        <v>175</v>
      </c>
      <c r="B138" s="29">
        <v>41</v>
      </c>
      <c r="C138" s="18">
        <f>-E64/10^6</f>
        <v>-40.451702938703676</v>
      </c>
      <c r="D138" s="30">
        <v>-25.522976614774201</v>
      </c>
      <c r="E138" s="18">
        <f t="shared" si="20"/>
        <v>-14.928726323929475</v>
      </c>
    </row>
    <row r="139" spans="1:13" x14ac:dyDescent="0.35">
      <c r="A139" s="9" t="s">
        <v>176</v>
      </c>
      <c r="B139" s="29">
        <v>43</v>
      </c>
      <c r="C139" s="18">
        <f>-E72/10^6</f>
        <v>0</v>
      </c>
      <c r="D139" s="30">
        <v>0</v>
      </c>
      <c r="E139" s="18">
        <f t="shared" si="20"/>
        <v>0</v>
      </c>
    </row>
    <row r="140" spans="1:13" x14ac:dyDescent="0.35">
      <c r="A140" s="9" t="s">
        <v>179</v>
      </c>
      <c r="B140" s="29">
        <v>44</v>
      </c>
      <c r="C140" s="18">
        <f>-E70/10^6</f>
        <v>0</v>
      </c>
      <c r="D140" s="30">
        <v>0</v>
      </c>
      <c r="E140" s="18">
        <f t="shared" si="20"/>
        <v>0</v>
      </c>
    </row>
    <row r="141" spans="1:13" x14ac:dyDescent="0.35">
      <c r="A141" s="9" t="s">
        <v>180</v>
      </c>
      <c r="B141" s="29">
        <v>45</v>
      </c>
      <c r="C141" s="18">
        <f>E77/10^6</f>
        <v>140.62608563523813</v>
      </c>
      <c r="D141" s="30">
        <v>0</v>
      </c>
      <c r="E141" s="18">
        <f t="shared" si="20"/>
        <v>140.62608563523813</v>
      </c>
    </row>
    <row r="142" spans="1:13" x14ac:dyDescent="0.35">
      <c r="A142" s="9" t="s">
        <v>181</v>
      </c>
      <c r="B142" s="29">
        <v>46</v>
      </c>
      <c r="C142" s="18">
        <f>-E84/10^6</f>
        <v>0</v>
      </c>
      <c r="D142" s="30">
        <v>0</v>
      </c>
      <c r="E142" s="18">
        <f t="shared" si="20"/>
        <v>0</v>
      </c>
    </row>
    <row r="143" spans="1:13" x14ac:dyDescent="0.35">
      <c r="A143" s="9" t="s">
        <v>182</v>
      </c>
      <c r="B143" s="29">
        <v>47</v>
      </c>
      <c r="C143" s="18">
        <f>E89/10^6</f>
        <v>73.852610959458403</v>
      </c>
      <c r="D143" s="30">
        <v>0</v>
      </c>
      <c r="E143" s="18">
        <f t="shared" si="20"/>
        <v>73.852610959458403</v>
      </c>
    </row>
    <row r="144" spans="1:13" x14ac:dyDescent="0.35">
      <c r="A144" s="20" t="s">
        <v>312</v>
      </c>
      <c r="B144" s="31">
        <v>33</v>
      </c>
      <c r="C144" s="21">
        <f>SUM(C132:C143)</f>
        <v>-250.83101805142473</v>
      </c>
      <c r="D144" s="21">
        <f>SUM(D132:D143)</f>
        <v>-458.97133332558809</v>
      </c>
      <c r="E144" s="21">
        <f>SUM(E132:E143)</f>
        <v>208.1403152741633</v>
      </c>
    </row>
    <row r="146" spans="1:13" x14ac:dyDescent="0.35">
      <c r="A146" s="6" t="s">
        <v>184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</row>
    <row r="147" spans="1:13" x14ac:dyDescent="0.35">
      <c r="A147" s="8" t="s">
        <v>155</v>
      </c>
      <c r="B147" s="8"/>
      <c r="C147" s="8" t="s">
        <v>185</v>
      </c>
      <c r="D147" s="8" t="s">
        <v>186</v>
      </c>
    </row>
    <row r="148" spans="1:13" x14ac:dyDescent="0.35">
      <c r="A148" s="9" t="s">
        <v>187</v>
      </c>
      <c r="C148" s="26">
        <f>B33-B38</f>
        <v>0</v>
      </c>
      <c r="D148" s="5" t="str">
        <f>IF(ISERROR(C148),"GAGAL",IF(ABS(C148)&lt;=0.01,"LULUS","GAGAL"))</f>
        <v>LULUS</v>
      </c>
    </row>
    <row r="149" spans="1:13" x14ac:dyDescent="0.35">
      <c r="A149" s="9" t="s">
        <v>188</v>
      </c>
      <c r="C149" s="26">
        <f>E79</f>
        <v>0</v>
      </c>
      <c r="D149" s="5" t="str">
        <f>IF(ISERROR(C149),"GAGAL",IF(ABS(C149)&lt;=1,"LULUS","GAGAL"))</f>
        <v>LULUS</v>
      </c>
    </row>
    <row r="150" spans="1:13" x14ac:dyDescent="0.35">
      <c r="A150" s="9" t="s">
        <v>189</v>
      </c>
      <c r="C150" s="26">
        <f>B79</f>
        <v>0</v>
      </c>
      <c r="D150" s="5" t="str">
        <f>IF(ISERROR(C150),"GAGAL",IF(ABS(C150)&lt;=0.01,"LULUS","GAGAL"))</f>
        <v>LULUS</v>
      </c>
    </row>
    <row r="151" spans="1:13" x14ac:dyDescent="0.35">
      <c r="A151" s="9" t="s">
        <v>190</v>
      </c>
      <c r="C151" s="26">
        <f>$G$218-C222</f>
        <v>0</v>
      </c>
      <c r="D151" s="5" t="str">
        <f>IF(ISERROR(C151),"GAGAL",IF(ABS(C151)&lt;=1,"LULUS","GAGAL"))</f>
        <v>LULUS</v>
      </c>
    </row>
    <row r="152" spans="1:13" x14ac:dyDescent="0.35">
      <c r="A152" s="9" t="s">
        <v>191</v>
      </c>
      <c r="C152" s="26">
        <f>C226-C227</f>
        <v>0</v>
      </c>
      <c r="D152" s="5" t="str">
        <f>IF(ISERROR(C152),"GAGAL",IF(ABS(C152)&lt;=1,"LULUS","GAGAL"))</f>
        <v>LULUS</v>
      </c>
    </row>
    <row r="153" spans="1:13" x14ac:dyDescent="0.35">
      <c r="A153" s="9" t="s">
        <v>192</v>
      </c>
      <c r="C153" s="26">
        <f>SUMPRODUCT(ABS(M104:M126))</f>
        <v>7.7176931512218958E-12</v>
      </c>
      <c r="D153" s="5" t="str">
        <f>IF(ISERROR(C153),"GAGAL",IF(ABS(C153)&lt;=1,"LULUS","GAGAL"))</f>
        <v>LULUS</v>
      </c>
    </row>
    <row r="154" spans="1:13" x14ac:dyDescent="0.35">
      <c r="A154" s="9" t="s">
        <v>193</v>
      </c>
      <c r="C154" s="26">
        <f>G127</f>
        <v>-4.76837158203125E-7</v>
      </c>
      <c r="D154" s="5" t="str">
        <f>IF(ISERROR(C154),"GAGAL",IF(ABS(C154)&lt;=1,"LULUS","GAGAL"))</f>
        <v>LULUS</v>
      </c>
    </row>
    <row r="155" spans="1:13" x14ac:dyDescent="0.35">
      <c r="A155" s="9" t="s">
        <v>194</v>
      </c>
      <c r="C155" s="26">
        <f>INDEX(BUDGET!$C$142:$R$142,$E$5)</f>
        <v>-1.1175870895385742E-8</v>
      </c>
      <c r="D155" s="5" t="str">
        <f>IF(ISERROR(C155),"GAGAL",IF(ABS(C155)&lt;=1,"LULUS","GAGAL"))</f>
        <v>LULUS</v>
      </c>
    </row>
    <row r="156" spans="1:13" x14ac:dyDescent="0.35">
      <c r="A156" s="9" t="s">
        <v>195</v>
      </c>
      <c r="C156" s="26">
        <f>C144+E98/10^6</f>
        <v>0</v>
      </c>
      <c r="D156" s="5" t="str">
        <f>IF(ISERROR(C156),"GAGAL",IF(ABS(C156)&lt;=0.001,"LULUS","GAGAL"))</f>
        <v>LULUS</v>
      </c>
    </row>
    <row r="157" spans="1:13" x14ac:dyDescent="0.35">
      <c r="A157" s="9" t="s">
        <v>196</v>
      </c>
      <c r="C157" s="26">
        <f>SUMPRODUCT(--ISERROR(A8:M144))</f>
        <v>0</v>
      </c>
      <c r="D157" s="5" t="str">
        <f>IF(ISERROR(C157),"GAGAL",IF(ABS(C157)&lt;=0.5,"LULUS","GAGAL"))</f>
        <v>LULUS</v>
      </c>
    </row>
    <row r="158" spans="1:13" x14ac:dyDescent="0.35">
      <c r="A158" s="9" t="s">
        <v>197</v>
      </c>
      <c r="D158" s="5" t="str">
        <f>'BIAYA BERSAMA'!$D$139</f>
        <v>LULUS</v>
      </c>
    </row>
    <row r="189" spans="1:13" x14ac:dyDescent="0.35">
      <c r="A189" s="6" t="s">
        <v>198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190" spans="1:13" ht="24" customHeight="1" x14ac:dyDescent="0.35">
      <c r="A190" s="8" t="s">
        <v>2</v>
      </c>
      <c r="B190" s="8" t="s">
        <v>86</v>
      </c>
      <c r="C190" s="8" t="s">
        <v>185</v>
      </c>
      <c r="D190" s="8" t="s">
        <v>199</v>
      </c>
      <c r="E190" s="8" t="s">
        <v>200</v>
      </c>
    </row>
    <row r="191" spans="1:13" x14ac:dyDescent="0.35">
      <c r="A191" s="9" t="s">
        <v>201</v>
      </c>
      <c r="B191" s="9" t="s">
        <v>91</v>
      </c>
      <c r="C191" s="32">
        <v>0</v>
      </c>
      <c r="D191" s="9" t="s">
        <v>202</v>
      </c>
      <c r="E191" s="9" t="s">
        <v>314</v>
      </c>
    </row>
    <row r="192" spans="1:13" x14ac:dyDescent="0.35">
      <c r="A192" s="9" t="s">
        <v>77</v>
      </c>
      <c r="B192" s="9" t="s">
        <v>91</v>
      </c>
      <c r="C192" s="32">
        <v>13376</v>
      </c>
      <c r="D192" s="9" t="s">
        <v>202</v>
      </c>
      <c r="E192" s="9" t="s">
        <v>315</v>
      </c>
    </row>
    <row r="193" spans="1:5" x14ac:dyDescent="0.35">
      <c r="A193" s="9" t="s">
        <v>205</v>
      </c>
      <c r="B193" s="9" t="s">
        <v>91</v>
      </c>
      <c r="C193" s="32">
        <v>4042.5</v>
      </c>
      <c r="D193" s="9" t="s">
        <v>202</v>
      </c>
      <c r="E193" s="9" t="s">
        <v>316</v>
      </c>
    </row>
    <row r="194" spans="1:5" x14ac:dyDescent="0.35">
      <c r="A194" s="9" t="s">
        <v>207</v>
      </c>
      <c r="B194" s="9" t="s">
        <v>91</v>
      </c>
      <c r="C194" s="32">
        <v>0</v>
      </c>
      <c r="D194" s="9" t="s">
        <v>202</v>
      </c>
      <c r="E194" s="9" t="s">
        <v>317</v>
      </c>
    </row>
    <row r="195" spans="1:5" x14ac:dyDescent="0.35">
      <c r="A195" s="9" t="s">
        <v>209</v>
      </c>
      <c r="B195" s="9" t="s">
        <v>91</v>
      </c>
      <c r="C195" s="32">
        <v>0</v>
      </c>
      <c r="D195" s="9" t="s">
        <v>202</v>
      </c>
      <c r="E195" s="9" t="s">
        <v>318</v>
      </c>
    </row>
    <row r="196" spans="1:5" x14ac:dyDescent="0.35">
      <c r="A196" s="9" t="s">
        <v>211</v>
      </c>
      <c r="B196" s="9" t="s">
        <v>105</v>
      </c>
      <c r="C196" s="33">
        <v>0</v>
      </c>
      <c r="D196" s="9" t="s">
        <v>202</v>
      </c>
      <c r="E196" s="9" t="s">
        <v>319</v>
      </c>
    </row>
    <row r="197" spans="1:5" x14ac:dyDescent="0.35">
      <c r="A197" s="9" t="s">
        <v>320</v>
      </c>
      <c r="B197" s="9" t="s">
        <v>105</v>
      </c>
      <c r="C197" s="33">
        <v>125748778.92</v>
      </c>
      <c r="D197" s="9" t="s">
        <v>202</v>
      </c>
      <c r="E197" s="9" t="s">
        <v>321</v>
      </c>
    </row>
    <row r="198" spans="1:5" x14ac:dyDescent="0.35">
      <c r="A198" s="9" t="s">
        <v>322</v>
      </c>
      <c r="B198" s="9" t="s">
        <v>91</v>
      </c>
      <c r="C198" s="32">
        <v>0</v>
      </c>
      <c r="D198" s="9" t="s">
        <v>202</v>
      </c>
      <c r="E198" s="9" t="s">
        <v>323</v>
      </c>
    </row>
    <row r="199" spans="1:5" x14ac:dyDescent="0.35">
      <c r="A199" s="9" t="s">
        <v>218</v>
      </c>
      <c r="B199" s="9" t="s">
        <v>219</v>
      </c>
      <c r="C199" s="32">
        <v>2015</v>
      </c>
      <c r="D199" s="9" t="s">
        <v>202</v>
      </c>
      <c r="E199" s="9" t="s">
        <v>324</v>
      </c>
    </row>
    <row r="200" spans="1:5" x14ac:dyDescent="0.35">
      <c r="A200" s="9" t="s">
        <v>221</v>
      </c>
      <c r="B200" s="9" t="s">
        <v>222</v>
      </c>
      <c r="C200" s="32">
        <v>835.37102400000003</v>
      </c>
      <c r="D200" s="9" t="s">
        <v>202</v>
      </c>
      <c r="E200" s="9" t="s">
        <v>325</v>
      </c>
    </row>
    <row r="201" spans="1:5" x14ac:dyDescent="0.35">
      <c r="A201" s="9" t="s">
        <v>326</v>
      </c>
      <c r="B201" s="9" t="s">
        <v>91</v>
      </c>
      <c r="C201" s="32">
        <v>0</v>
      </c>
      <c r="D201" s="9" t="s">
        <v>202</v>
      </c>
      <c r="E201" s="9" t="s">
        <v>327</v>
      </c>
    </row>
    <row r="202" spans="1:5" x14ac:dyDescent="0.35">
      <c r="A202" s="9" t="s">
        <v>328</v>
      </c>
      <c r="B202" s="9" t="s">
        <v>105</v>
      </c>
      <c r="C202" s="33">
        <v>1692346.91</v>
      </c>
      <c r="D202" s="9" t="s">
        <v>202</v>
      </c>
      <c r="E202" s="9" t="s">
        <v>329</v>
      </c>
    </row>
    <row r="203" spans="1:5" x14ac:dyDescent="0.35">
      <c r="A203" s="9" t="s">
        <v>330</v>
      </c>
      <c r="B203" s="9" t="s">
        <v>91</v>
      </c>
      <c r="C203" s="32">
        <v>7210.5</v>
      </c>
      <c r="D203" s="9" t="s">
        <v>202</v>
      </c>
      <c r="E203" s="9" t="s">
        <v>331</v>
      </c>
    </row>
    <row r="204" spans="1:5" x14ac:dyDescent="0.35">
      <c r="A204" s="9" t="s">
        <v>332</v>
      </c>
      <c r="B204" s="9" t="s">
        <v>91</v>
      </c>
      <c r="C204" s="32">
        <v>2123</v>
      </c>
      <c r="D204" s="9" t="s">
        <v>202</v>
      </c>
      <c r="E204" s="9" t="s">
        <v>333</v>
      </c>
    </row>
    <row r="205" spans="1:5" x14ac:dyDescent="0.35">
      <c r="A205" s="9" t="s">
        <v>232</v>
      </c>
      <c r="B205" s="9" t="s">
        <v>105</v>
      </c>
      <c r="C205" s="33">
        <v>67731841.709999993</v>
      </c>
      <c r="D205" s="9" t="s">
        <v>202</v>
      </c>
      <c r="E205" s="9" t="s">
        <v>334</v>
      </c>
    </row>
    <row r="206" spans="1:5" x14ac:dyDescent="0.35">
      <c r="A206" s="9" t="s">
        <v>242</v>
      </c>
      <c r="B206" s="9" t="s">
        <v>243</v>
      </c>
      <c r="C206" s="35">
        <v>22.296700000000001</v>
      </c>
      <c r="D206" s="9" t="s">
        <v>212</v>
      </c>
      <c r="E206" s="9" t="s">
        <v>244</v>
      </c>
    </row>
    <row r="207" spans="1:5" x14ac:dyDescent="0.35">
      <c r="A207" s="9" t="s">
        <v>335</v>
      </c>
      <c r="B207" s="9" t="s">
        <v>105</v>
      </c>
      <c r="C207" s="33">
        <v>349709250</v>
      </c>
      <c r="D207" s="9" t="s">
        <v>202</v>
      </c>
      <c r="E207" s="9" t="s">
        <v>336</v>
      </c>
    </row>
    <row r="209" spans="1:13" x14ac:dyDescent="0.35">
      <c r="A209" s="6" t="s">
        <v>247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 spans="1:13" ht="24" customHeight="1" x14ac:dyDescent="0.35">
      <c r="A210" s="8" t="s">
        <v>248</v>
      </c>
      <c r="B210" s="8" t="s">
        <v>249</v>
      </c>
      <c r="C210" s="8" t="s">
        <v>250</v>
      </c>
      <c r="D210" s="8" t="s">
        <v>85</v>
      </c>
      <c r="E210" s="8" t="s">
        <v>86</v>
      </c>
      <c r="F210" s="8" t="s">
        <v>251</v>
      </c>
      <c r="G210" s="8" t="s">
        <v>88</v>
      </c>
      <c r="H210" s="8" t="s">
        <v>199</v>
      </c>
      <c r="I210" s="8" t="s">
        <v>200</v>
      </c>
    </row>
    <row r="211" spans="1:13" x14ac:dyDescent="0.35">
      <c r="A211" s="9" t="s">
        <v>4</v>
      </c>
      <c r="B211" s="9" t="s">
        <v>52</v>
      </c>
      <c r="C211" s="9" t="s">
        <v>337</v>
      </c>
      <c r="D211" s="32">
        <v>41864</v>
      </c>
      <c r="E211" s="9" t="s">
        <v>91</v>
      </c>
      <c r="F211" s="34">
        <v>5884.3015478692896</v>
      </c>
      <c r="G211" s="19">
        <f t="shared" ref="G211:G217" si="21">D211*F211</f>
        <v>246340399.99999994</v>
      </c>
      <c r="H211" s="9" t="s">
        <v>202</v>
      </c>
      <c r="I211" s="9" t="s">
        <v>338</v>
      </c>
    </row>
    <row r="212" spans="1:13" x14ac:dyDescent="0.35">
      <c r="A212" s="9" t="s">
        <v>258</v>
      </c>
      <c r="B212" s="9" t="s">
        <v>53</v>
      </c>
      <c r="C212" s="9" t="s">
        <v>259</v>
      </c>
      <c r="D212" s="32">
        <v>4161</v>
      </c>
      <c r="E212" s="9" t="s">
        <v>91</v>
      </c>
      <c r="F212" s="34">
        <v>17257.997793724498</v>
      </c>
      <c r="G212" s="19">
        <f t="shared" si="21"/>
        <v>71810528.819687635</v>
      </c>
      <c r="H212" s="9" t="s">
        <v>202</v>
      </c>
      <c r="I212" s="9" t="s">
        <v>339</v>
      </c>
    </row>
    <row r="213" spans="1:13" x14ac:dyDescent="0.35">
      <c r="A213" s="9" t="s">
        <v>54</v>
      </c>
      <c r="B213" s="9" t="s">
        <v>54</v>
      </c>
      <c r="C213" s="9" t="s">
        <v>54</v>
      </c>
      <c r="D213" s="32">
        <v>5088.1361730895096</v>
      </c>
      <c r="E213" s="9" t="s">
        <v>261</v>
      </c>
      <c r="F213" s="34">
        <v>10173.3658840402</v>
      </c>
      <c r="G213" s="19">
        <f t="shared" si="21"/>
        <v>51763470.956659682</v>
      </c>
      <c r="H213" s="9" t="s">
        <v>202</v>
      </c>
      <c r="I213" s="9" t="s">
        <v>339</v>
      </c>
    </row>
    <row r="214" spans="1:13" x14ac:dyDescent="0.35">
      <c r="A214" s="9" t="s">
        <v>273</v>
      </c>
      <c r="B214" s="9" t="s">
        <v>264</v>
      </c>
      <c r="C214" s="9" t="s">
        <v>274</v>
      </c>
      <c r="D214" s="32">
        <v>269.67</v>
      </c>
      <c r="E214" s="9" t="s">
        <v>91</v>
      </c>
      <c r="F214" s="34">
        <v>33799.844959105903</v>
      </c>
      <c r="G214" s="19">
        <f t="shared" si="21"/>
        <v>9114804.1901220903</v>
      </c>
      <c r="H214" s="9" t="s">
        <v>202</v>
      </c>
      <c r="I214" s="9" t="s">
        <v>339</v>
      </c>
    </row>
    <row r="215" spans="1:13" x14ac:dyDescent="0.35">
      <c r="A215" s="9" t="s">
        <v>285</v>
      </c>
      <c r="B215" s="9" t="s">
        <v>264</v>
      </c>
      <c r="C215" s="9" t="s">
        <v>280</v>
      </c>
      <c r="D215" s="32">
        <v>50</v>
      </c>
      <c r="E215" s="9" t="s">
        <v>283</v>
      </c>
      <c r="F215" s="34">
        <v>6600</v>
      </c>
      <c r="G215" s="19">
        <f t="shared" si="21"/>
        <v>330000</v>
      </c>
      <c r="H215" s="9" t="s">
        <v>202</v>
      </c>
      <c r="I215" s="9" t="s">
        <v>339</v>
      </c>
    </row>
    <row r="216" spans="1:13" x14ac:dyDescent="0.35">
      <c r="A216" s="9" t="s">
        <v>282</v>
      </c>
      <c r="B216" s="9" t="s">
        <v>264</v>
      </c>
      <c r="C216" s="9" t="s">
        <v>280</v>
      </c>
      <c r="D216" s="32">
        <v>5.25</v>
      </c>
      <c r="E216" s="9" t="s">
        <v>283</v>
      </c>
      <c r="F216" s="34">
        <v>23970.250393450198</v>
      </c>
      <c r="G216" s="19">
        <f t="shared" si="21"/>
        <v>125843.81456561355</v>
      </c>
      <c r="H216" s="9" t="s">
        <v>202</v>
      </c>
      <c r="I216" s="9" t="s">
        <v>339</v>
      </c>
    </row>
    <row r="217" spans="1:13" x14ac:dyDescent="0.35">
      <c r="A217" s="9" t="s">
        <v>340</v>
      </c>
      <c r="B217" s="9" t="s">
        <v>264</v>
      </c>
      <c r="C217" s="9" t="s">
        <v>280</v>
      </c>
      <c r="D217" s="32">
        <v>2.66</v>
      </c>
      <c r="E217" s="9" t="s">
        <v>91</v>
      </c>
      <c r="F217" s="34">
        <v>75625</v>
      </c>
      <c r="G217" s="19">
        <f t="shared" si="21"/>
        <v>201162.5</v>
      </c>
      <c r="H217" s="9" t="s">
        <v>202</v>
      </c>
      <c r="I217" s="9" t="s">
        <v>339</v>
      </c>
    </row>
    <row r="218" spans="1:13" x14ac:dyDescent="0.35">
      <c r="A218" s="20" t="s">
        <v>292</v>
      </c>
      <c r="B218" s="25"/>
      <c r="C218" s="25"/>
      <c r="D218" s="25"/>
      <c r="E218" s="25"/>
      <c r="F218" s="25"/>
      <c r="G218" s="22">
        <f>SUM(G211:G217)</f>
        <v>379686210.28103495</v>
      </c>
      <c r="H218" s="25"/>
      <c r="I218" s="25"/>
    </row>
    <row r="220" spans="1:13" x14ac:dyDescent="0.35">
      <c r="A220" s="6" t="s">
        <v>294</v>
      </c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</row>
    <row r="221" spans="1:13" ht="24" customHeight="1" x14ac:dyDescent="0.35">
      <c r="A221" s="8" t="s">
        <v>47</v>
      </c>
      <c r="B221" s="8"/>
      <c r="C221" s="8" t="s">
        <v>295</v>
      </c>
      <c r="D221" s="8" t="s">
        <v>296</v>
      </c>
      <c r="E221" s="8" t="s">
        <v>297</v>
      </c>
      <c r="F221" s="8" t="s">
        <v>298</v>
      </c>
    </row>
    <row r="222" spans="1:13" x14ac:dyDescent="0.35">
      <c r="A222" s="9" t="s">
        <v>299</v>
      </c>
      <c r="C222" s="33">
        <v>379686210.28103501</v>
      </c>
      <c r="D222" s="19">
        <f>E56</f>
        <v>379686210.28103501</v>
      </c>
      <c r="E222" s="19">
        <f>D222-C222</f>
        <v>0</v>
      </c>
      <c r="F222" s="9" t="s">
        <v>300</v>
      </c>
    </row>
    <row r="223" spans="1:13" x14ac:dyDescent="0.35">
      <c r="A223" s="9" t="s">
        <v>56</v>
      </c>
      <c r="C223" s="33">
        <v>0</v>
      </c>
      <c r="D223" s="19">
        <f>E58</f>
        <v>0</v>
      </c>
      <c r="E223" s="19">
        <f>D223-C223</f>
        <v>0</v>
      </c>
      <c r="F223" s="9" t="s">
        <v>301</v>
      </c>
    </row>
    <row r="224" spans="1:13" x14ac:dyDescent="0.35">
      <c r="A224" s="9" t="s">
        <v>159</v>
      </c>
      <c r="C224" s="33">
        <v>35480395.434560597</v>
      </c>
      <c r="D224" s="19">
        <f>E59</f>
        <v>45171801.426382616</v>
      </c>
      <c r="E224" s="19">
        <f>D224-C224</f>
        <v>9691405.9918220192</v>
      </c>
      <c r="F224" s="9" t="s">
        <v>302</v>
      </c>
    </row>
    <row r="225" spans="1:6" x14ac:dyDescent="0.35">
      <c r="A225" s="9" t="s">
        <v>303</v>
      </c>
      <c r="C225" s="33">
        <v>916428.41631350701</v>
      </c>
      <c r="D225" s="19">
        <f>E64</f>
        <v>40451702.938703679</v>
      </c>
      <c r="E225" s="19">
        <f>D225-C225</f>
        <v>39535274.522390172</v>
      </c>
      <c r="F225" s="9" t="s">
        <v>304</v>
      </c>
    </row>
    <row r="226" spans="1:6" x14ac:dyDescent="0.35">
      <c r="A226" s="20" t="s">
        <v>305</v>
      </c>
      <c r="B226" s="25"/>
      <c r="C226" s="22">
        <f>SUM(C222:C225)</f>
        <v>416083034.13190913</v>
      </c>
      <c r="D226" s="22">
        <f>SUM(D222:D225)</f>
        <v>465309714.64612126</v>
      </c>
      <c r="E226" s="22">
        <f>D226-C226</f>
        <v>49226680.514212132</v>
      </c>
      <c r="F226" s="25"/>
    </row>
    <row r="227" spans="1:6" x14ac:dyDescent="0.35">
      <c r="A227" s="3" t="s">
        <v>306</v>
      </c>
      <c r="C227" s="33">
        <v>416083034.13190901</v>
      </c>
    </row>
  </sheetData>
  <mergeCells count="1">
    <mergeCell ref="A128:M128"/>
  </mergeCells>
  <dataValidations count="1">
    <dataValidation type="list" sqref="C5" xr:uid="{00000000-0002-0000-0200-000000000000}">
      <formula1>"Sep-26,Okt-26,Nov-26,Des-26,Jan-27,Feb-27,Mar-27,Apr-27,Mei-27,Jun-27,Jul-27,Agu-27,Sep-27,Okt-27,Nov-27,Des-27"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228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ColWidth="8.6328125" defaultRowHeight="14.5" x14ac:dyDescent="0.35"/>
  <cols>
    <col min="1" max="1" width="58" customWidth="1"/>
    <col min="2" max="4" width="13" customWidth="1"/>
    <col min="5" max="5" width="15" customWidth="1"/>
    <col min="6" max="12" width="13" customWidth="1"/>
    <col min="13" max="13" width="9" customWidth="1"/>
  </cols>
  <sheetData>
    <row r="1" spans="1:13" ht="16.5" x14ac:dyDescent="0.35">
      <c r="A1" s="2" t="s">
        <v>341</v>
      </c>
    </row>
    <row r="2" spans="1:13" x14ac:dyDescent="0.35">
      <c r="A2" s="3" t="s">
        <v>40</v>
      </c>
    </row>
    <row r="3" spans="1:13" x14ac:dyDescent="0.35">
      <c r="A3" s="3" t="s">
        <v>41</v>
      </c>
    </row>
    <row r="5" spans="1:13" x14ac:dyDescent="0.35">
      <c r="A5" s="4" t="s">
        <v>42</v>
      </c>
      <c r="C5" s="15" t="s">
        <v>43</v>
      </c>
      <c r="D5" s="16" t="s">
        <v>44</v>
      </c>
      <c r="E5" s="17">
        <f>MATCH(C5,BUDGET!$C$4:$R$4,0)</f>
        <v>2</v>
      </c>
    </row>
    <row r="6" spans="1:13" x14ac:dyDescent="0.35">
      <c r="A6" s="4" t="s">
        <v>45</v>
      </c>
      <c r="C6" s="5" t="str">
        <f>IF(COUNTIF(D149:D159,"GAGAL")=0,"LULUS","GAGAL")</f>
        <v>LULUS</v>
      </c>
    </row>
    <row r="8" spans="1:13" x14ac:dyDescent="0.35">
      <c r="A8" s="6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0" customHeight="1" x14ac:dyDescent="0.35">
      <c r="A9" s="8" t="s">
        <v>47</v>
      </c>
      <c r="B9" s="8" t="s">
        <v>48</v>
      </c>
      <c r="C9" s="8" t="s">
        <v>49</v>
      </c>
      <c r="D9" s="8" t="s">
        <v>50</v>
      </c>
      <c r="E9" s="8" t="s">
        <v>51</v>
      </c>
      <c r="F9" s="8" t="s">
        <v>19</v>
      </c>
      <c r="G9" s="8" t="s">
        <v>20</v>
      </c>
      <c r="H9" s="8" t="s">
        <v>21</v>
      </c>
      <c r="I9" s="8" t="s">
        <v>22</v>
      </c>
    </row>
    <row r="10" spans="1:13" x14ac:dyDescent="0.35">
      <c r="A10" s="9" t="s">
        <v>52</v>
      </c>
      <c r="B10" s="18">
        <f>E44/10^6</f>
        <v>122.51829999999991</v>
      </c>
      <c r="C10" s="19">
        <f>F44</f>
        <v>16549.81764149668</v>
      </c>
      <c r="D10" s="19">
        <f t="shared" ref="D10:I10" si="0">G105</f>
        <v>17002.502665342818</v>
      </c>
      <c r="E10" s="19">
        <f t="shared" si="0"/>
        <v>-452.68502384613748</v>
      </c>
      <c r="F10" s="19">
        <f t="shared" si="0"/>
        <v>512.35427799537672</v>
      </c>
      <c r="G10" s="19">
        <f t="shared" si="0"/>
        <v>-965.03930184151602</v>
      </c>
      <c r="H10" s="19">
        <f t="shared" si="0"/>
        <v>0</v>
      </c>
      <c r="I10" s="19">
        <f t="shared" si="0"/>
        <v>0</v>
      </c>
    </row>
    <row r="11" spans="1:13" x14ac:dyDescent="0.35">
      <c r="A11" s="9" t="s">
        <v>53</v>
      </c>
      <c r="B11" s="18">
        <f>E46/10^6</f>
        <v>35.620507446247359</v>
      </c>
      <c r="C11" s="19">
        <f>F46</f>
        <v>4811.6314259418295</v>
      </c>
      <c r="D11" s="19">
        <f t="shared" ref="D11:I11" si="1">G107</f>
        <v>7164.2474691446396</v>
      </c>
      <c r="E11" s="19">
        <f t="shared" si="1"/>
        <v>-2352.61604320281</v>
      </c>
      <c r="F11" s="19">
        <f t="shared" si="1"/>
        <v>134.76466982442759</v>
      </c>
      <c r="G11" s="19">
        <f t="shared" si="1"/>
        <v>-2487.3807130272371</v>
      </c>
      <c r="H11" s="19">
        <f t="shared" si="1"/>
        <v>0</v>
      </c>
      <c r="I11" s="19">
        <f t="shared" si="1"/>
        <v>0</v>
      </c>
    </row>
    <row r="12" spans="1:13" x14ac:dyDescent="0.35">
      <c r="A12" s="9" t="s">
        <v>54</v>
      </c>
      <c r="B12" s="18">
        <f>E47/10^6</f>
        <v>29.661172464954099</v>
      </c>
      <c r="C12" s="19">
        <f>F47</f>
        <v>4006.6422348985684</v>
      </c>
      <c r="D12" s="19">
        <f t="shared" ref="D12:I12" si="2">G109</f>
        <v>4275.0389455708901</v>
      </c>
      <c r="E12" s="19">
        <f t="shared" si="2"/>
        <v>-268.39671067232166</v>
      </c>
      <c r="F12" s="19">
        <f t="shared" si="2"/>
        <v>-47.117456396298387</v>
      </c>
      <c r="G12" s="19">
        <f t="shared" si="2"/>
        <v>-221.27925427602329</v>
      </c>
      <c r="H12" s="19">
        <f t="shared" si="2"/>
        <v>0</v>
      </c>
      <c r="I12" s="19">
        <f t="shared" si="2"/>
        <v>0</v>
      </c>
    </row>
    <row r="13" spans="1:13" x14ac:dyDescent="0.35">
      <c r="A13" s="9" t="s">
        <v>55</v>
      </c>
      <c r="B13" s="18">
        <f>E55/10^6</f>
        <v>5.4466894475666834</v>
      </c>
      <c r="C13" s="19">
        <f>F55</f>
        <v>735.74084122202942</v>
      </c>
      <c r="D13" s="19">
        <f t="shared" ref="D13:I13" si="3">G116</f>
        <v>719.74157256280546</v>
      </c>
      <c r="E13" s="19">
        <f t="shared" si="3"/>
        <v>15.999268659223818</v>
      </c>
      <c r="F13" s="19">
        <f t="shared" si="3"/>
        <v>31.916720276432649</v>
      </c>
      <c r="G13" s="19">
        <f t="shared" si="3"/>
        <v>-15.917451617208862</v>
      </c>
      <c r="H13" s="19">
        <f t="shared" si="3"/>
        <v>0</v>
      </c>
      <c r="I13" s="19">
        <f t="shared" si="3"/>
        <v>0</v>
      </c>
    </row>
    <row r="14" spans="1:13" x14ac:dyDescent="0.35">
      <c r="A14" s="9" t="s">
        <v>56</v>
      </c>
      <c r="B14" s="18">
        <f>E58/10^6</f>
        <v>0</v>
      </c>
      <c r="C14" s="19">
        <f>F58</f>
        <v>0</v>
      </c>
      <c r="D14" s="19">
        <f t="shared" ref="D14:I14" si="4">G118</f>
        <v>0</v>
      </c>
      <c r="E14" s="19">
        <f t="shared" si="4"/>
        <v>0</v>
      </c>
      <c r="F14" s="19">
        <f t="shared" si="4"/>
        <v>0</v>
      </c>
      <c r="G14" s="19">
        <f t="shared" si="4"/>
        <v>0</v>
      </c>
      <c r="H14" s="19">
        <f t="shared" si="4"/>
        <v>0</v>
      </c>
      <c r="I14" s="19">
        <f t="shared" si="4"/>
        <v>0</v>
      </c>
    </row>
    <row r="15" spans="1:13" x14ac:dyDescent="0.35">
      <c r="A15" s="9" t="s">
        <v>57</v>
      </c>
      <c r="B15" s="18">
        <f>E59/10^6</f>
        <v>24.009428946727432</v>
      </c>
      <c r="C15" s="19">
        <f>F59</f>
        <v>3243.2026133631543</v>
      </c>
      <c r="D15" s="19">
        <f t="shared" ref="D15:I15" si="5">G120</f>
        <v>2105.5178435648718</v>
      </c>
      <c r="E15" s="19">
        <f t="shared" si="5"/>
        <v>1137.6847697982826</v>
      </c>
      <c r="F15" s="19">
        <f t="shared" si="5"/>
        <v>211.02723037223902</v>
      </c>
      <c r="G15" s="19">
        <f t="shared" si="5"/>
        <v>0</v>
      </c>
      <c r="H15" s="19">
        <f t="shared" si="5"/>
        <v>-506.93084884686164</v>
      </c>
      <c r="I15" s="19">
        <f t="shared" si="5"/>
        <v>1433.5883882729051</v>
      </c>
    </row>
    <row r="16" spans="1:13" x14ac:dyDescent="0.35">
      <c r="A16" s="9" t="s">
        <v>58</v>
      </c>
      <c r="B16" s="18">
        <f>E64/10^6</f>
        <v>21.67833258313258</v>
      </c>
      <c r="C16" s="19">
        <f>F64</f>
        <v>2928.3172474851522</v>
      </c>
      <c r="D16" s="19">
        <f t="shared" ref="D16:I17" si="6">G125</f>
        <v>2649.1450960020088</v>
      </c>
      <c r="E16" s="19">
        <f t="shared" si="6"/>
        <v>279.1721514831429</v>
      </c>
      <c r="F16" s="19">
        <f t="shared" si="6"/>
        <v>134.33126745092716</v>
      </c>
      <c r="G16" s="19">
        <f t="shared" si="6"/>
        <v>0</v>
      </c>
      <c r="H16" s="19">
        <f t="shared" si="6"/>
        <v>-637.81619155554915</v>
      </c>
      <c r="I16" s="19">
        <f t="shared" si="6"/>
        <v>782.65707558776478</v>
      </c>
    </row>
    <row r="17" spans="1:13" x14ac:dyDescent="0.35">
      <c r="A17" s="20" t="s">
        <v>9</v>
      </c>
      <c r="B17" s="21">
        <f>E66/10^6</f>
        <v>238.9344308886281</v>
      </c>
      <c r="C17" s="22">
        <f>F66</f>
        <v>32275.352004407414</v>
      </c>
      <c r="D17" s="22">
        <f t="shared" si="6"/>
        <v>33916.193592188036</v>
      </c>
      <c r="E17" s="22">
        <f t="shared" si="6"/>
        <v>-1640.8415877806201</v>
      </c>
      <c r="F17" s="22">
        <f t="shared" si="6"/>
        <v>977.27670952310484</v>
      </c>
      <c r="G17" s="22">
        <f t="shared" si="6"/>
        <v>-3689.6167207619856</v>
      </c>
      <c r="H17" s="22">
        <f t="shared" si="6"/>
        <v>-1144.7470404024107</v>
      </c>
      <c r="I17" s="22">
        <f t="shared" si="6"/>
        <v>2216.24546386067</v>
      </c>
    </row>
    <row r="18" spans="1:13" x14ac:dyDescent="0.35">
      <c r="A18" s="9" t="s">
        <v>59</v>
      </c>
      <c r="C18" s="19">
        <f>$B$32</f>
        <v>7403</v>
      </c>
      <c r="D18" s="19">
        <f>$D$32</f>
        <v>5620.63131313131</v>
      </c>
    </row>
    <row r="19" spans="1:13" x14ac:dyDescent="0.35">
      <c r="A19" s="9" t="s">
        <v>60</v>
      </c>
      <c r="C19" s="19">
        <f>F65</f>
        <v>6171.5198608483061</v>
      </c>
      <c r="D19" s="19">
        <f>G118+G120+G125</f>
        <v>4754.6629395668806</v>
      </c>
    </row>
    <row r="20" spans="1:13" x14ac:dyDescent="0.35">
      <c r="A20" s="9" t="s">
        <v>61</v>
      </c>
      <c r="B20" s="18">
        <f>E98/10^6</f>
        <v>238.9344308886281</v>
      </c>
      <c r="C20" s="19">
        <f>D99</f>
        <v>32275.352004407414</v>
      </c>
      <c r="D20" s="19">
        <f>F99</f>
        <v>34110.889740570143</v>
      </c>
    </row>
    <row r="21" spans="1:13" x14ac:dyDescent="0.35">
      <c r="A21" s="9" t="s">
        <v>62</v>
      </c>
      <c r="B21" s="18">
        <f>$C$208/10^6</f>
        <v>354.6037</v>
      </c>
      <c r="F21" s="3" t="s">
        <v>63</v>
      </c>
    </row>
    <row r="22" spans="1:13" x14ac:dyDescent="0.35">
      <c r="A22" s="9" t="s">
        <v>64</v>
      </c>
      <c r="B22" s="18">
        <f>B21-B20</f>
        <v>115.6692691113719</v>
      </c>
      <c r="C22" s="23">
        <f>IF(B21=0,0,B22/B21)</f>
        <v>0.32619306880151533</v>
      </c>
    </row>
    <row r="23" spans="1:13" x14ac:dyDescent="0.35">
      <c r="A23" s="3" t="s">
        <v>65</v>
      </c>
      <c r="B23" s="18">
        <f>E76/10^6</f>
        <v>0</v>
      </c>
      <c r="C23" s="23">
        <f>IF(E66=0,0,E76/E66)</f>
        <v>0</v>
      </c>
    </row>
    <row r="24" spans="1:13" x14ac:dyDescent="0.35">
      <c r="A24" s="3" t="s">
        <v>66</v>
      </c>
      <c r="B24" s="18">
        <f>-E72/10^6</f>
        <v>0</v>
      </c>
    </row>
    <row r="25" spans="1:13" x14ac:dyDescent="0.35">
      <c r="A25" s="3" t="s">
        <v>67</v>
      </c>
      <c r="B25" s="18">
        <f>(E77+E89-E70-E84)/10^6</f>
        <v>0</v>
      </c>
      <c r="C25" s="18">
        <f>IF(E66=0,0,B25*E65/E66)</f>
        <v>0</v>
      </c>
      <c r="F25" s="3" t="s">
        <v>68</v>
      </c>
    </row>
    <row r="26" spans="1:13" x14ac:dyDescent="0.35">
      <c r="A26" s="3" t="s">
        <v>69</v>
      </c>
    </row>
    <row r="28" spans="1:13" x14ac:dyDescent="0.35">
      <c r="A28" s="6" t="s">
        <v>70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x14ac:dyDescent="0.35">
      <c r="A29" s="4" t="s">
        <v>71</v>
      </c>
    </row>
    <row r="30" spans="1:13" ht="24" customHeight="1" x14ac:dyDescent="0.35">
      <c r="A30" s="8" t="s">
        <v>2</v>
      </c>
      <c r="B30" s="8" t="s">
        <v>72</v>
      </c>
      <c r="C30" s="8" t="s">
        <v>73</v>
      </c>
      <c r="D30" s="8" t="s">
        <v>74</v>
      </c>
      <c r="E30" s="8" t="s">
        <v>75</v>
      </c>
    </row>
    <row r="31" spans="1:13" x14ac:dyDescent="0.35">
      <c r="A31" s="9" t="s">
        <v>76</v>
      </c>
      <c r="B31" s="18">
        <f>$C$192</f>
        <v>0</v>
      </c>
    </row>
    <row r="32" spans="1:13" x14ac:dyDescent="0.35">
      <c r="A32" s="4" t="s">
        <v>77</v>
      </c>
      <c r="B32" s="24">
        <f>$C$193</f>
        <v>7403</v>
      </c>
      <c r="D32" s="24">
        <f>INDEX(BUDGET!$C$152:$R$152,$E$5)</f>
        <v>5620.63131313131</v>
      </c>
    </row>
    <row r="33" spans="1:6" x14ac:dyDescent="0.35">
      <c r="A33" s="20" t="s">
        <v>78</v>
      </c>
      <c r="B33" s="21">
        <f>B31+B32</f>
        <v>7403</v>
      </c>
      <c r="C33" s="25"/>
      <c r="D33" s="25"/>
      <c r="E33" s="25"/>
    </row>
    <row r="34" spans="1:6" x14ac:dyDescent="0.35">
      <c r="A34" s="9" t="s">
        <v>79</v>
      </c>
      <c r="B34" s="18">
        <f>B33-B35-B36-B37</f>
        <v>7403</v>
      </c>
      <c r="C34" s="23">
        <f>IF(B32=0,0,B34/B32)</f>
        <v>1</v>
      </c>
      <c r="D34" s="18">
        <f>INDEX(BUDGET!$C$148:$R$148,$E$5)</f>
        <v>5564.4250000000002</v>
      </c>
      <c r="E34" s="23">
        <f>IF(D32=0,0,D34/D32)</f>
        <v>0.99000000000000055</v>
      </c>
    </row>
    <row r="35" spans="1:6" x14ac:dyDescent="0.35">
      <c r="A35" s="9" t="s">
        <v>80</v>
      </c>
      <c r="B35" s="18">
        <f>$C$195</f>
        <v>0</v>
      </c>
      <c r="C35" s="23">
        <f>IF(B32=0,0,B35/B32)</f>
        <v>0</v>
      </c>
      <c r="D35" s="18">
        <f>INDEX(BUDGET!$C$149:$R$149,$E$5)</f>
        <v>0</v>
      </c>
      <c r="E35" s="23">
        <f>IF(D32=0,0,D35/D32)</f>
        <v>0</v>
      </c>
    </row>
    <row r="36" spans="1:6" x14ac:dyDescent="0.35">
      <c r="A36" s="9" t="s">
        <v>81</v>
      </c>
      <c r="B36" s="18">
        <f>$C$196</f>
        <v>0</v>
      </c>
      <c r="C36" s="23">
        <f>IF(B32=0,0,B36/B32)</f>
        <v>0</v>
      </c>
      <c r="D36" s="18">
        <f>INDEX(BUDGET!$C$150:$R$150,$E$5)</f>
        <v>56.206313131313102</v>
      </c>
      <c r="E36" s="23">
        <f>IF(D32=0,0,D36/D32)</f>
        <v>0.01</v>
      </c>
    </row>
    <row r="37" spans="1:6" x14ac:dyDescent="0.35">
      <c r="A37" s="9" t="s">
        <v>82</v>
      </c>
      <c r="B37" s="18">
        <f>$C$194</f>
        <v>0</v>
      </c>
      <c r="C37" s="23">
        <f>IF(B32=0,0,B37/B32)</f>
        <v>0</v>
      </c>
      <c r="D37" s="18">
        <f>INDEX(BUDGET!$C$151:$R$151,$E$5)</f>
        <v>0</v>
      </c>
      <c r="E37" s="23">
        <f>IF(D32=0,0,D37/D32)</f>
        <v>0</v>
      </c>
    </row>
    <row r="38" spans="1:6" x14ac:dyDescent="0.35">
      <c r="A38" s="20" t="s">
        <v>83</v>
      </c>
      <c r="B38" s="21">
        <f>SUM(B34:B37)</f>
        <v>7403</v>
      </c>
      <c r="C38" s="25"/>
      <c r="D38" s="25"/>
      <c r="E38" s="25"/>
    </row>
    <row r="40" spans="1:6" x14ac:dyDescent="0.35">
      <c r="A40" s="4" t="s">
        <v>84</v>
      </c>
    </row>
    <row r="41" spans="1:6" ht="24" customHeight="1" x14ac:dyDescent="0.35">
      <c r="A41" s="8" t="s">
        <v>47</v>
      </c>
      <c r="B41" s="8" t="s">
        <v>85</v>
      </c>
      <c r="C41" s="8" t="s">
        <v>86</v>
      </c>
      <c r="D41" s="8" t="s">
        <v>87</v>
      </c>
      <c r="E41" s="8" t="s">
        <v>88</v>
      </c>
      <c r="F41" s="8" t="s">
        <v>89</v>
      </c>
    </row>
    <row r="42" spans="1:6" x14ac:dyDescent="0.35">
      <c r="A42" s="4" t="s">
        <v>52</v>
      </c>
    </row>
    <row r="43" spans="1:6" x14ac:dyDescent="0.35">
      <c r="A43" s="9" t="s">
        <v>342</v>
      </c>
      <c r="B43" s="18">
        <f>D212</f>
        <v>26039</v>
      </c>
      <c r="C43" s="9" t="s">
        <v>91</v>
      </c>
      <c r="D43" s="26">
        <f>F212</f>
        <v>4705.1845308959601</v>
      </c>
      <c r="E43" s="19">
        <f>G212</f>
        <v>122518299.99999991</v>
      </c>
      <c r="F43" s="19">
        <f>IF($B$32=0,0,E43/$B$32)</f>
        <v>16549.81764149668</v>
      </c>
    </row>
    <row r="44" spans="1:6" x14ac:dyDescent="0.35">
      <c r="A44" s="20" t="s">
        <v>93</v>
      </c>
      <c r="B44" s="25"/>
      <c r="C44" s="25"/>
      <c r="D44" s="25"/>
      <c r="E44" s="22">
        <f>E43</f>
        <v>122518299.99999991</v>
      </c>
      <c r="F44" s="22">
        <f>IF($B$32=0,0,E44/$B$32)</f>
        <v>16549.81764149668</v>
      </c>
    </row>
    <row r="45" spans="1:6" x14ac:dyDescent="0.35">
      <c r="A45" s="4" t="s">
        <v>94</v>
      </c>
    </row>
    <row r="46" spans="1:6" x14ac:dyDescent="0.35">
      <c r="A46" s="9" t="s">
        <v>95</v>
      </c>
      <c r="B46" s="18">
        <f>D213</f>
        <v>2064</v>
      </c>
      <c r="C46" s="9" t="s">
        <v>91</v>
      </c>
      <c r="D46" s="26">
        <f>F213</f>
        <v>17257.997793724498</v>
      </c>
      <c r="E46" s="19">
        <f>G213</f>
        <v>35620507.446247362</v>
      </c>
      <c r="F46" s="19">
        <f>IF($B$32=0,0,E46/$B$32)</f>
        <v>4811.6314259418295</v>
      </c>
    </row>
    <row r="47" spans="1:6" x14ac:dyDescent="0.35">
      <c r="A47" s="9" t="s">
        <v>96</v>
      </c>
      <c r="B47" s="18">
        <f>D214/$C$207</f>
        <v>130.76245313575598</v>
      </c>
      <c r="C47" s="9" t="s">
        <v>97</v>
      </c>
      <c r="D47" s="26">
        <f>IF(B47=0,0,E47/B47)</f>
        <v>226832.48710667912</v>
      </c>
      <c r="E47" s="19">
        <f>G214</f>
        <v>29661172.464954101</v>
      </c>
      <c r="F47" s="19">
        <f>IF($B$32=0,0,E47/$B$32)</f>
        <v>4006.6422348985684</v>
      </c>
    </row>
    <row r="48" spans="1:6" x14ac:dyDescent="0.35">
      <c r="A48" s="4" t="s">
        <v>55</v>
      </c>
    </row>
    <row r="49" spans="1:6" x14ac:dyDescent="0.35">
      <c r="A49" s="9" t="s">
        <v>308</v>
      </c>
      <c r="B49" s="18">
        <v>0</v>
      </c>
      <c r="C49" s="9" t="s">
        <v>91</v>
      </c>
      <c r="D49" s="26">
        <v>0</v>
      </c>
      <c r="E49" s="19">
        <v>0</v>
      </c>
      <c r="F49" s="19">
        <f t="shared" ref="F49:F56" si="7">IF($B$32=0,0,E49/$B$32)</f>
        <v>0</v>
      </c>
    </row>
    <row r="50" spans="1:6" x14ac:dyDescent="0.35">
      <c r="A50" s="9" t="s">
        <v>99</v>
      </c>
      <c r="B50" s="18">
        <v>0</v>
      </c>
      <c r="C50" s="9" t="s">
        <v>91</v>
      </c>
      <c r="D50" s="26">
        <v>0</v>
      </c>
      <c r="E50" s="19">
        <v>0</v>
      </c>
      <c r="F50" s="19">
        <f t="shared" si="7"/>
        <v>0</v>
      </c>
    </row>
    <row r="51" spans="1:6" x14ac:dyDescent="0.35">
      <c r="A51" s="9" t="s">
        <v>100</v>
      </c>
      <c r="B51" s="18">
        <v>0</v>
      </c>
      <c r="C51" s="9" t="s">
        <v>91</v>
      </c>
      <c r="D51" s="26">
        <v>0</v>
      </c>
      <c r="E51" s="19">
        <v>0</v>
      </c>
      <c r="F51" s="19">
        <f t="shared" si="7"/>
        <v>0</v>
      </c>
    </row>
    <row r="52" spans="1:6" x14ac:dyDescent="0.35">
      <c r="A52" s="9" t="s">
        <v>101</v>
      </c>
      <c r="B52" s="18">
        <f>D215</f>
        <v>149.5</v>
      </c>
      <c r="C52" s="9" t="s">
        <v>91</v>
      </c>
      <c r="D52" s="26">
        <f>F215</f>
        <v>33799.844959105903</v>
      </c>
      <c r="E52" s="19">
        <f>G215</f>
        <v>5053076.8213863326</v>
      </c>
      <c r="F52" s="19">
        <f t="shared" si="7"/>
        <v>682.57150093020834</v>
      </c>
    </row>
    <row r="53" spans="1:6" x14ac:dyDescent="0.35">
      <c r="A53" s="9" t="s">
        <v>310</v>
      </c>
      <c r="B53" s="18">
        <v>0</v>
      </c>
      <c r="C53" s="9" t="s">
        <v>91</v>
      </c>
      <c r="D53" s="26">
        <v>0</v>
      </c>
      <c r="E53" s="19">
        <v>0</v>
      </c>
      <c r="F53" s="19">
        <f t="shared" si="7"/>
        <v>0</v>
      </c>
    </row>
    <row r="54" spans="1:6" x14ac:dyDescent="0.35">
      <c r="A54" s="9" t="s">
        <v>104</v>
      </c>
      <c r="C54" s="9" t="s">
        <v>105</v>
      </c>
      <c r="E54" s="19">
        <f>SUMIF($C$212:$C$218,"Other cost",$G$212:$G$218)</f>
        <v>393612.62618035061</v>
      </c>
      <c r="F54" s="19">
        <f t="shared" si="7"/>
        <v>53.169340291820966</v>
      </c>
    </row>
    <row r="55" spans="1:6" x14ac:dyDescent="0.35">
      <c r="A55" s="20" t="s">
        <v>106</v>
      </c>
      <c r="B55" s="25"/>
      <c r="C55" s="25"/>
      <c r="D55" s="25"/>
      <c r="E55" s="22">
        <f>E49+E50+E51+E52+E53+E54</f>
        <v>5446689.4475666834</v>
      </c>
      <c r="F55" s="22">
        <f t="shared" si="7"/>
        <v>735.74084122202942</v>
      </c>
    </row>
    <row r="56" spans="1:6" x14ac:dyDescent="0.35">
      <c r="A56" s="20" t="s">
        <v>107</v>
      </c>
      <c r="B56" s="25"/>
      <c r="C56" s="25"/>
      <c r="D56" s="25"/>
      <c r="E56" s="22">
        <f>E44+E46+E47+E55</f>
        <v>193246669.35876808</v>
      </c>
      <c r="F56" s="22">
        <f t="shared" si="7"/>
        <v>26103.83214355911</v>
      </c>
    </row>
    <row r="57" spans="1:6" x14ac:dyDescent="0.35">
      <c r="A57" s="4" t="s">
        <v>108</v>
      </c>
    </row>
    <row r="58" spans="1:6" x14ac:dyDescent="0.35">
      <c r="A58" s="9" t="s">
        <v>109</v>
      </c>
      <c r="B58" s="18">
        <f>$C$199</f>
        <v>0</v>
      </c>
      <c r="C58" s="9" t="s">
        <v>110</v>
      </c>
      <c r="D58" s="26">
        <f>IF(B58=0,0,E58/B58)</f>
        <v>0</v>
      </c>
      <c r="E58" s="10">
        <f>'BIAYA BERSAMA'!E116</f>
        <v>0</v>
      </c>
      <c r="F58" s="19">
        <f t="shared" ref="F58:F66" si="8">IF($B$32=0,0,E58/$B$32)</f>
        <v>0</v>
      </c>
    </row>
    <row r="59" spans="1:6" x14ac:dyDescent="0.35">
      <c r="A59" s="9" t="s">
        <v>111</v>
      </c>
      <c r="C59" s="9"/>
      <c r="E59" s="10">
        <f>'BIAYA BERSAMA'!E115</f>
        <v>24009428.946727432</v>
      </c>
      <c r="F59" s="19">
        <f t="shared" si="8"/>
        <v>3243.2026133631543</v>
      </c>
    </row>
    <row r="60" spans="1:6" x14ac:dyDescent="0.35">
      <c r="A60" s="9" t="s">
        <v>112</v>
      </c>
      <c r="C60" s="9"/>
      <c r="E60" s="10">
        <f>'BIAYA BERSAMA'!E117</f>
        <v>14496522.591719322</v>
      </c>
      <c r="F60" s="19">
        <f t="shared" si="8"/>
        <v>1958.1956763095127</v>
      </c>
    </row>
    <row r="61" spans="1:6" x14ac:dyDescent="0.35">
      <c r="A61" s="9" t="s">
        <v>113</v>
      </c>
      <c r="C61" s="9"/>
      <c r="E61" s="10">
        <f>'BIAYA BERSAMA'!E118</f>
        <v>552489.25218412024</v>
      </c>
      <c r="F61" s="19">
        <f t="shared" si="8"/>
        <v>74.630454165084458</v>
      </c>
    </row>
    <row r="62" spans="1:6" x14ac:dyDescent="0.35">
      <c r="A62" s="9" t="s">
        <v>114</v>
      </c>
      <c r="C62" s="9"/>
      <c r="E62" s="10">
        <f>'BIAYA BERSAMA'!E119</f>
        <v>2516243.5405312027</v>
      </c>
      <c r="F62" s="19">
        <f t="shared" si="8"/>
        <v>339.89511556547382</v>
      </c>
    </row>
    <row r="63" spans="1:6" x14ac:dyDescent="0.35">
      <c r="A63" s="9" t="s">
        <v>115</v>
      </c>
      <c r="C63" s="9"/>
      <c r="E63" s="10">
        <f>'BIAYA BERSAMA'!E120</f>
        <v>4113077.1986979344</v>
      </c>
      <c r="F63" s="19">
        <f t="shared" si="8"/>
        <v>555.59600144508101</v>
      </c>
    </row>
    <row r="64" spans="1:6" x14ac:dyDescent="0.35">
      <c r="A64" s="20" t="s">
        <v>116</v>
      </c>
      <c r="B64" s="25"/>
      <c r="C64" s="25"/>
      <c r="D64" s="25"/>
      <c r="E64" s="22">
        <f>E60+E61+E62+E63</f>
        <v>21678332.58313258</v>
      </c>
      <c r="F64" s="22">
        <f t="shared" si="8"/>
        <v>2928.3172474851522</v>
      </c>
    </row>
    <row r="65" spans="1:6" x14ac:dyDescent="0.35">
      <c r="A65" s="20" t="s">
        <v>117</v>
      </c>
      <c r="B65" s="25"/>
      <c r="C65" s="25"/>
      <c r="D65" s="25"/>
      <c r="E65" s="22">
        <f>E58+E59+E64</f>
        <v>45687761.529860012</v>
      </c>
      <c r="F65" s="22">
        <f t="shared" si="8"/>
        <v>6171.5198608483061</v>
      </c>
    </row>
    <row r="66" spans="1:6" x14ac:dyDescent="0.35">
      <c r="A66" s="20" t="s">
        <v>118</v>
      </c>
      <c r="B66" s="25"/>
      <c r="C66" s="25"/>
      <c r="D66" s="25"/>
      <c r="E66" s="22">
        <f>E56+E65</f>
        <v>238934430.8886281</v>
      </c>
      <c r="F66" s="22">
        <f t="shared" si="8"/>
        <v>32275.352004407414</v>
      </c>
    </row>
    <row r="68" spans="1:6" x14ac:dyDescent="0.35">
      <c r="A68" s="4" t="s">
        <v>123</v>
      </c>
    </row>
    <row r="69" spans="1:6" ht="24" customHeight="1" x14ac:dyDescent="0.35">
      <c r="A69" s="8" t="s">
        <v>2</v>
      </c>
      <c r="B69" s="8" t="s">
        <v>124</v>
      </c>
      <c r="C69" s="8"/>
      <c r="D69" s="8" t="s">
        <v>89</v>
      </c>
      <c r="E69" s="8" t="s">
        <v>88</v>
      </c>
      <c r="F69" s="8" t="s">
        <v>50</v>
      </c>
    </row>
    <row r="70" spans="1:6" x14ac:dyDescent="0.35">
      <c r="A70" s="9" t="s">
        <v>76</v>
      </c>
      <c r="B70" s="18">
        <f>B31</f>
        <v>0</v>
      </c>
      <c r="E70" s="19">
        <f>$C$197</f>
        <v>0</v>
      </c>
    </row>
    <row r="71" spans="1:6" x14ac:dyDescent="0.35">
      <c r="A71" s="9" t="s">
        <v>125</v>
      </c>
      <c r="B71" s="18">
        <f>B32</f>
        <v>7403</v>
      </c>
      <c r="E71" s="19">
        <f>E66</f>
        <v>238934430.8886281</v>
      </c>
    </row>
    <row r="72" spans="1:6" x14ac:dyDescent="0.35">
      <c r="A72" s="9" t="s">
        <v>126</v>
      </c>
      <c r="B72" s="18">
        <f>-B35</f>
        <v>0</v>
      </c>
      <c r="E72" s="19">
        <v>0</v>
      </c>
    </row>
    <row r="73" spans="1:6" x14ac:dyDescent="0.35">
      <c r="A73" s="20" t="s">
        <v>127</v>
      </c>
      <c r="B73" s="21">
        <f>SUM(B70:B72)</f>
        <v>7403</v>
      </c>
      <c r="C73" s="25"/>
      <c r="D73" s="25"/>
      <c r="E73" s="22">
        <f>SUM(E70:E72)</f>
        <v>238934430.8886281</v>
      </c>
      <c r="F73" s="25"/>
    </row>
    <row r="74" spans="1:6" x14ac:dyDescent="0.35">
      <c r="A74" s="4" t="s">
        <v>128</v>
      </c>
      <c r="D74" s="28">
        <f>IF(B73=0,0,E73/B73)</f>
        <v>32275.352004407414</v>
      </c>
      <c r="F74" s="26">
        <f>INDEX(BUDGET!$C$179:$R$179,$E$5)</f>
        <v>33916.193592187999</v>
      </c>
    </row>
    <row r="75" spans="1:6" x14ac:dyDescent="0.35">
      <c r="A75" s="9" t="s">
        <v>79</v>
      </c>
      <c r="B75" s="18">
        <f>B34</f>
        <v>7403</v>
      </c>
      <c r="E75" s="19">
        <f>B75*$D$74</f>
        <v>238934430.8886281</v>
      </c>
    </row>
    <row r="76" spans="1:6" x14ac:dyDescent="0.35">
      <c r="A76" s="9" t="s">
        <v>129</v>
      </c>
      <c r="B76" s="18">
        <f>B36</f>
        <v>0</v>
      </c>
      <c r="E76" s="19">
        <f>B76*$D$74</f>
        <v>0</v>
      </c>
    </row>
    <row r="77" spans="1:6" x14ac:dyDescent="0.35">
      <c r="A77" s="9" t="s">
        <v>82</v>
      </c>
      <c r="B77" s="18">
        <f>B37</f>
        <v>0</v>
      </c>
      <c r="E77" s="19">
        <f>B77*$D$74</f>
        <v>0</v>
      </c>
    </row>
    <row r="78" spans="1:6" x14ac:dyDescent="0.35">
      <c r="A78" s="20" t="s">
        <v>130</v>
      </c>
      <c r="B78" s="21">
        <f>SUM(B75:B77)</f>
        <v>7403</v>
      </c>
      <c r="C78" s="25"/>
      <c r="D78" s="25"/>
      <c r="E78" s="22">
        <f>SUM(E75:E77)</f>
        <v>238934430.8886281</v>
      </c>
      <c r="F78" s="25"/>
    </row>
    <row r="79" spans="1:6" x14ac:dyDescent="0.35">
      <c r="A79" s="3" t="s">
        <v>131</v>
      </c>
      <c r="B79" s="18">
        <f>B73-B78</f>
        <v>0</v>
      </c>
      <c r="E79" s="19">
        <f>E73-E78</f>
        <v>0</v>
      </c>
    </row>
    <row r="80" spans="1:6" x14ac:dyDescent="0.35">
      <c r="A80" s="3" t="s">
        <v>132</v>
      </c>
      <c r="E80" s="19">
        <f>$C$198</f>
        <v>0</v>
      </c>
    </row>
    <row r="82" spans="1:13" x14ac:dyDescent="0.35">
      <c r="A82" s="6" t="s">
        <v>343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1:13" ht="24" customHeight="1" x14ac:dyDescent="0.35">
      <c r="A83" s="8" t="s">
        <v>2</v>
      </c>
      <c r="B83" s="8" t="s">
        <v>124</v>
      </c>
      <c r="C83" s="8"/>
      <c r="D83" s="8" t="s">
        <v>89</v>
      </c>
      <c r="E83" s="8" t="s">
        <v>88</v>
      </c>
      <c r="F83" s="8" t="s">
        <v>50</v>
      </c>
    </row>
    <row r="84" spans="1:13" x14ac:dyDescent="0.35">
      <c r="A84" s="9" t="s">
        <v>134</v>
      </c>
      <c r="B84" s="18">
        <f>$C$202</f>
        <v>0</v>
      </c>
      <c r="E84" s="19">
        <f>IF($C$202=0,0,$C$203)</f>
        <v>0</v>
      </c>
    </row>
    <row r="85" spans="1:13" x14ac:dyDescent="0.35">
      <c r="A85" s="9" t="s">
        <v>135</v>
      </c>
      <c r="B85" s="18">
        <f>B75</f>
        <v>7403</v>
      </c>
      <c r="E85" s="19">
        <f>E75</f>
        <v>238934430.8886281</v>
      </c>
    </row>
    <row r="86" spans="1:13" x14ac:dyDescent="0.35">
      <c r="A86" s="20" t="s">
        <v>136</v>
      </c>
      <c r="B86" s="21">
        <f>B84+B85</f>
        <v>7403</v>
      </c>
      <c r="C86" s="25"/>
      <c r="D86" s="25"/>
      <c r="E86" s="22">
        <f>E84+E85</f>
        <v>238934430.8886281</v>
      </c>
      <c r="F86" s="25"/>
    </row>
    <row r="87" spans="1:13" x14ac:dyDescent="0.35">
      <c r="A87" s="4" t="s">
        <v>128</v>
      </c>
      <c r="D87" s="28">
        <f>IF(B86=0,0,E86/B86)</f>
        <v>32275.352004407414</v>
      </c>
      <c r="F87" s="26">
        <f>INDEX(BUDGET!$C$180:$R$180,$E$5)</f>
        <v>33768.3019265076</v>
      </c>
    </row>
    <row r="88" spans="1:13" x14ac:dyDescent="0.35">
      <c r="A88" s="9" t="s">
        <v>137</v>
      </c>
      <c r="B88" s="18">
        <f>$C$204</f>
        <v>7403</v>
      </c>
      <c r="E88" s="19">
        <f>B88*$D$87</f>
        <v>238934430.8886281</v>
      </c>
    </row>
    <row r="89" spans="1:13" x14ac:dyDescent="0.35">
      <c r="A89" s="9" t="s">
        <v>139</v>
      </c>
      <c r="B89" s="18">
        <f>$C$205</f>
        <v>0</v>
      </c>
      <c r="E89" s="19">
        <f>B89*$D$87</f>
        <v>0</v>
      </c>
    </row>
    <row r="90" spans="1:13" x14ac:dyDescent="0.35">
      <c r="A90" s="9" t="s">
        <v>140</v>
      </c>
      <c r="B90" s="18">
        <f>B86-B88-B89</f>
        <v>0</v>
      </c>
      <c r="E90" s="19">
        <f>B90*$D$87</f>
        <v>0</v>
      </c>
    </row>
    <row r="91" spans="1:13" x14ac:dyDescent="0.35">
      <c r="A91" s="3" t="s">
        <v>141</v>
      </c>
      <c r="E91" s="19">
        <f>$C$206</f>
        <v>-974521.91</v>
      </c>
    </row>
    <row r="92" spans="1:13" x14ac:dyDescent="0.35">
      <c r="A92" s="3" t="s">
        <v>142</v>
      </c>
      <c r="E92" s="19">
        <f>$C$203-E84</f>
        <v>-974521.91</v>
      </c>
    </row>
    <row r="94" spans="1:13" x14ac:dyDescent="0.35">
      <c r="A94" s="4" t="s">
        <v>11</v>
      </c>
    </row>
    <row r="95" spans="1:13" x14ac:dyDescent="0.35">
      <c r="A95" s="9" t="s">
        <v>143</v>
      </c>
      <c r="E95" s="19">
        <f>E88</f>
        <v>238934430.8886281</v>
      </c>
    </row>
    <row r="96" spans="1:13" x14ac:dyDescent="0.35">
      <c r="A96" s="9" t="s">
        <v>144</v>
      </c>
      <c r="E96" s="19">
        <f>E76</f>
        <v>0</v>
      </c>
    </row>
    <row r="97" spans="1:13" x14ac:dyDescent="0.35">
      <c r="A97" s="9" t="s">
        <v>145</v>
      </c>
      <c r="E97" s="19">
        <f>E90</f>
        <v>0</v>
      </c>
    </row>
    <row r="98" spans="1:13" x14ac:dyDescent="0.35">
      <c r="A98" s="20" t="s">
        <v>147</v>
      </c>
      <c r="B98" s="25"/>
      <c r="C98" s="25"/>
      <c r="D98" s="25"/>
      <c r="E98" s="22">
        <f>E95+E96+E97</f>
        <v>238934430.8886281</v>
      </c>
      <c r="F98" s="25"/>
    </row>
    <row r="99" spans="1:13" x14ac:dyDescent="0.35">
      <c r="A99" s="4" t="s">
        <v>148</v>
      </c>
      <c r="D99" s="28">
        <f>IF(B88=0,0,(E95+E96)/B88)</f>
        <v>32275.352004407414</v>
      </c>
      <c r="F99" s="26">
        <f>IF(INDEX(BUDGET!$C$148:$R$148,$E$5)=0,0,INDEX(BUDGET!$C$181:$R$181,$E$5)/INDEX(BUDGET!$C$148:$R$148,$E$5))</f>
        <v>34110.889740570143</v>
      </c>
    </row>
    <row r="100" spans="1:13" x14ac:dyDescent="0.35">
      <c r="A100" s="3" t="s">
        <v>149</v>
      </c>
      <c r="E100" s="19">
        <f>INDEX(BUDGET!$C$181:$R$181,$E$5)</f>
        <v>189807487.64467201</v>
      </c>
    </row>
    <row r="102" spans="1:13" x14ac:dyDescent="0.35">
      <c r="A102" s="6" t="s">
        <v>150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</row>
    <row r="103" spans="1:13" ht="30" customHeight="1" x14ac:dyDescent="0.35">
      <c r="A103" s="8" t="s">
        <v>47</v>
      </c>
      <c r="B103" s="8" t="s">
        <v>151</v>
      </c>
      <c r="C103" s="8" t="s">
        <v>152</v>
      </c>
      <c r="D103" s="8" t="s">
        <v>153</v>
      </c>
      <c r="E103" s="8" t="s">
        <v>154</v>
      </c>
      <c r="F103" s="8" t="s">
        <v>16</v>
      </c>
      <c r="G103" s="8" t="s">
        <v>17</v>
      </c>
      <c r="H103" s="8" t="s">
        <v>18</v>
      </c>
      <c r="I103" s="8" t="s">
        <v>19</v>
      </c>
      <c r="J103" s="8" t="s">
        <v>20</v>
      </c>
      <c r="K103" s="8" t="s">
        <v>21</v>
      </c>
      <c r="L103" s="8" t="s">
        <v>22</v>
      </c>
      <c r="M103" s="8" t="s">
        <v>155</v>
      </c>
    </row>
    <row r="104" spans="1:13" x14ac:dyDescent="0.35">
      <c r="A104" s="9" t="s">
        <v>342</v>
      </c>
      <c r="B104" s="27">
        <f>IF($B$32=0,0,B43/$B$32)</f>
        <v>3.5173578279076052</v>
      </c>
      <c r="C104" s="27">
        <f>IF($D$32=0,0,INDEX(BUDGET!$C$154:$R$154,$E$5)/$D$32)</f>
        <v>3.7290115330874301</v>
      </c>
      <c r="D104" s="26">
        <f>D43</f>
        <v>4705.1845308959601</v>
      </c>
      <c r="E104" s="26">
        <f>IF(INDEX(BUDGET!$C$154:$R$154,$E$5)=0,0,INDEX(BUDGET!$C$155:$R$155,$E$5)/INDEX(BUDGET!$C$154:$R$154,$E$5))</f>
        <v>4559.520000000005</v>
      </c>
      <c r="F104" s="19">
        <f>F43</f>
        <v>16549.81764149668</v>
      </c>
      <c r="G104" s="19">
        <f>IF($D$32=0,0,INDEX(BUDGET!$C$155:$R$155,$E$5)/$D$32)</f>
        <v>17002.502665342818</v>
      </c>
      <c r="H104" s="19">
        <f>F104-G104</f>
        <v>-452.68502384613748</v>
      </c>
      <c r="I104" s="19">
        <f>(D104-E104)*B104</f>
        <v>512.35427799537672</v>
      </c>
      <c r="J104" s="19">
        <f>(B104-C104)*E104</f>
        <v>-965.03930184151602</v>
      </c>
      <c r="K104" s="19">
        <v>0</v>
      </c>
      <c r="L104" s="19">
        <v>0</v>
      </c>
      <c r="M104" s="19">
        <f>H104-I104-J104-K104-L104</f>
        <v>1.8189894035458565E-12</v>
      </c>
    </row>
    <row r="105" spans="1:13" x14ac:dyDescent="0.35">
      <c r="A105" s="20" t="s">
        <v>52</v>
      </c>
      <c r="B105" s="25"/>
      <c r="C105" s="25"/>
      <c r="D105" s="25"/>
      <c r="E105" s="25"/>
      <c r="F105" s="22">
        <f t="shared" ref="F105:M105" si="9">F104</f>
        <v>16549.81764149668</v>
      </c>
      <c r="G105" s="22">
        <f t="shared" si="9"/>
        <v>17002.502665342818</v>
      </c>
      <c r="H105" s="22">
        <f t="shared" si="9"/>
        <v>-452.68502384613748</v>
      </c>
      <c r="I105" s="22">
        <f t="shared" si="9"/>
        <v>512.35427799537672</v>
      </c>
      <c r="J105" s="22">
        <f t="shared" si="9"/>
        <v>-965.03930184151602</v>
      </c>
      <c r="K105" s="22">
        <f t="shared" si="9"/>
        <v>0</v>
      </c>
      <c r="L105" s="22">
        <f t="shared" si="9"/>
        <v>0</v>
      </c>
      <c r="M105" s="22">
        <f t="shared" si="9"/>
        <v>1.8189894035458565E-12</v>
      </c>
    </row>
    <row r="106" spans="1:13" x14ac:dyDescent="0.35">
      <c r="A106" s="9" t="s">
        <v>95</v>
      </c>
      <c r="B106" s="27">
        <f>IF($B$32=0,0,B46/$B$32)</f>
        <v>0.27880588950425506</v>
      </c>
      <c r="C106" s="27">
        <f>IF($D$32=0,0,INDEX(BUDGET!$C$156:$R$156,$E$5)/$D$32)</f>
        <v>0.4270881537625183</v>
      </c>
      <c r="D106" s="26">
        <f>D46</f>
        <v>17257.997793724498</v>
      </c>
      <c r="E106" s="26">
        <f>IF(INDEX(BUDGET!$C$156:$R$156,$E$5)=0,0,INDEX(BUDGET!$C$157:$R$157,$E$5)/INDEX(BUDGET!$C$156:$R$156,$E$5))</f>
        <v>16774.634009465663</v>
      </c>
      <c r="F106" s="19">
        <f>F46</f>
        <v>4811.6314259418295</v>
      </c>
      <c r="G106" s="19">
        <f>IF($D$32=0,0,INDEX(BUDGET!$C$157:$R$157,$E$5)/$D$32)</f>
        <v>7164.2474691446396</v>
      </c>
      <c r="H106" s="19">
        <f>F106-G106</f>
        <v>-2352.61604320281</v>
      </c>
      <c r="I106" s="19">
        <f>(D106-E106)*B106</f>
        <v>134.76466982442759</v>
      </c>
      <c r="J106" s="19">
        <f>(B106-C106)*E106</f>
        <v>-2487.3807130272371</v>
      </c>
      <c r="K106" s="19">
        <v>0</v>
      </c>
      <c r="L106" s="19">
        <v>0</v>
      </c>
      <c r="M106" s="19">
        <f>H106-I106-J106-K106-L106</f>
        <v>-4.5474735088646412E-13</v>
      </c>
    </row>
    <row r="107" spans="1:13" x14ac:dyDescent="0.35">
      <c r="A107" s="20" t="s">
        <v>53</v>
      </c>
      <c r="B107" s="25"/>
      <c r="C107" s="25"/>
      <c r="D107" s="25"/>
      <c r="E107" s="25"/>
      <c r="F107" s="22">
        <f t="shared" ref="F107:M107" si="10">F106</f>
        <v>4811.6314259418295</v>
      </c>
      <c r="G107" s="22">
        <f t="shared" si="10"/>
        <v>7164.2474691446396</v>
      </c>
      <c r="H107" s="22">
        <f t="shared" si="10"/>
        <v>-2352.61604320281</v>
      </c>
      <c r="I107" s="22">
        <f t="shared" si="10"/>
        <v>134.76466982442759</v>
      </c>
      <c r="J107" s="22">
        <f t="shared" si="10"/>
        <v>-2487.3807130272371</v>
      </c>
      <c r="K107" s="22">
        <f t="shared" si="10"/>
        <v>0</v>
      </c>
      <c r="L107" s="22">
        <f t="shared" si="10"/>
        <v>0</v>
      </c>
      <c r="M107" s="22">
        <f t="shared" si="10"/>
        <v>-4.5474735088646412E-13</v>
      </c>
    </row>
    <row r="108" spans="1:13" x14ac:dyDescent="0.35">
      <c r="A108" s="9" t="s">
        <v>156</v>
      </c>
      <c r="B108" s="27">
        <f>IF($B$32=0,0,B47/$B$32)</f>
        <v>1.7663440920674858E-2</v>
      </c>
      <c r="C108" s="27">
        <f>IF($D$32=0,0,INDEX(BUDGET!$C$158:$R$158,$E$5)/$D$32)</f>
        <v>1.8627620677868863E-2</v>
      </c>
      <c r="D108" s="26">
        <f>D47</f>
        <v>226832.48710667912</v>
      </c>
      <c r="E108" s="26">
        <f>IF(INDEX(BUDGET!$C$158:$R$158,$E$5)=0,0,INDEX(BUDGET!$C$159:$R$159,$E$5)/INDEX(BUDGET!$C$158:$R$158,$E$5))</f>
        <v>229499.99999999924</v>
      </c>
      <c r="F108" s="19">
        <f>F47</f>
        <v>4006.6422348985684</v>
      </c>
      <c r="G108" s="19">
        <f>IF($D$32=0,0,INDEX(BUDGET!$C$159:$R$159,$E$5)/$D$32)</f>
        <v>4275.0389455708901</v>
      </c>
      <c r="H108" s="19">
        <f>F108-G108</f>
        <v>-268.39671067232166</v>
      </c>
      <c r="I108" s="19">
        <f>(D108-E108)*B108</f>
        <v>-47.117456396298387</v>
      </c>
      <c r="J108" s="19">
        <f>(B108-C108)*E108</f>
        <v>-221.27925427602329</v>
      </c>
      <c r="K108" s="19">
        <v>0</v>
      </c>
      <c r="L108" s="19">
        <v>0</v>
      </c>
      <c r="M108" s="19">
        <f>H108-I108-J108-K108-L108</f>
        <v>2.8421709430404007E-14</v>
      </c>
    </row>
    <row r="109" spans="1:13" x14ac:dyDescent="0.35">
      <c r="A109" s="20" t="s">
        <v>54</v>
      </c>
      <c r="B109" s="25"/>
      <c r="C109" s="25"/>
      <c r="D109" s="25"/>
      <c r="E109" s="25"/>
      <c r="F109" s="22">
        <f t="shared" ref="F109:M109" si="11">F108</f>
        <v>4006.6422348985684</v>
      </c>
      <c r="G109" s="22">
        <f t="shared" si="11"/>
        <v>4275.0389455708901</v>
      </c>
      <c r="H109" s="22">
        <f t="shared" si="11"/>
        <v>-268.39671067232166</v>
      </c>
      <c r="I109" s="22">
        <f t="shared" si="11"/>
        <v>-47.117456396298387</v>
      </c>
      <c r="J109" s="22">
        <f t="shared" si="11"/>
        <v>-221.27925427602329</v>
      </c>
      <c r="K109" s="22">
        <f t="shared" si="11"/>
        <v>0</v>
      </c>
      <c r="L109" s="22">
        <f t="shared" si="11"/>
        <v>0</v>
      </c>
      <c r="M109" s="22">
        <f t="shared" si="11"/>
        <v>2.8421709430404007E-14</v>
      </c>
    </row>
    <row r="110" spans="1:13" x14ac:dyDescent="0.35">
      <c r="A110" s="9" t="s">
        <v>308</v>
      </c>
      <c r="B110" s="27">
        <f>IF($B$32=0,0,B49/$B$32)</f>
        <v>0</v>
      </c>
      <c r="C110" s="27">
        <f>IF($D$32=0,0,INDEX(BUDGET!$C$160:$R$160,$E$5)/$D$32)</f>
        <v>0</v>
      </c>
      <c r="D110" s="26">
        <f>D49</f>
        <v>0</v>
      </c>
      <c r="E110" s="26">
        <f>IF(INDEX(BUDGET!$C$160:$R$160,$E$5)=0,0,INDEX(BUDGET!$C$161:$R$161,$E$5)/INDEX(BUDGET!$C$160:$R$160,$E$5))</f>
        <v>0</v>
      </c>
      <c r="F110" s="19">
        <f t="shared" ref="F110:F115" si="12">F49</f>
        <v>0</v>
      </c>
      <c r="G110" s="19">
        <f>IF($D$32=0,0,INDEX(BUDGET!$C$161:$R$161,$E$5)/$D$32)</f>
        <v>0</v>
      </c>
      <c r="H110" s="19">
        <f t="shared" ref="H110:H115" si="13">F110-G110</f>
        <v>0</v>
      </c>
      <c r="I110" s="19">
        <f>(D110-E110)*B110</f>
        <v>0</v>
      </c>
      <c r="J110" s="19">
        <f>(B110-C110)*E110</f>
        <v>0</v>
      </c>
      <c r="K110" s="19">
        <v>0</v>
      </c>
      <c r="L110" s="19">
        <v>0</v>
      </c>
      <c r="M110" s="19">
        <f t="shared" ref="M110:M115" si="14">H110-I110-J110-K110-L110</f>
        <v>0</v>
      </c>
    </row>
    <row r="111" spans="1:13" x14ac:dyDescent="0.35">
      <c r="A111" s="9" t="s">
        <v>99</v>
      </c>
      <c r="B111" s="27">
        <f>IF($B$32=0,0,B50/$B$32)</f>
        <v>0</v>
      </c>
      <c r="C111" s="27">
        <f>IF($D$32=0,0,INDEX(BUDGET!$C$162:$R$162,$E$5)/$D$32)</f>
        <v>1.073387143876415E-4</v>
      </c>
      <c r="D111" s="26">
        <f>D50</f>
        <v>0</v>
      </c>
      <c r="E111" s="26">
        <f>IF(INDEX(BUDGET!$C$162:$R$162,$E$5)=0,0,INDEX(BUDGET!$C$163:$R$163,$E$5)/INDEX(BUDGET!$C$162:$R$162,$E$5))</f>
        <v>31542.625913469536</v>
      </c>
      <c r="F111" s="19">
        <f t="shared" si="12"/>
        <v>0</v>
      </c>
      <c r="G111" s="19">
        <f>IF($D$32=0,0,INDEX(BUDGET!$C$163:$R$163,$E$5)/$D$32)</f>
        <v>3.3857449139621258</v>
      </c>
      <c r="H111" s="19">
        <f t="shared" si="13"/>
        <v>-3.3857449139621258</v>
      </c>
      <c r="I111" s="19">
        <f>(D111-E111)*B111</f>
        <v>0</v>
      </c>
      <c r="J111" s="19">
        <f>(B111-C111)*E111</f>
        <v>-3.3857449139621258</v>
      </c>
      <c r="K111" s="19">
        <v>0</v>
      </c>
      <c r="L111" s="19">
        <v>0</v>
      </c>
      <c r="M111" s="19">
        <f t="shared" si="14"/>
        <v>0</v>
      </c>
    </row>
    <row r="112" spans="1:13" x14ac:dyDescent="0.35">
      <c r="A112" s="9" t="s">
        <v>100</v>
      </c>
      <c r="B112" s="27">
        <f>IF($B$32=0,0,B51/$B$32)</f>
        <v>0</v>
      </c>
      <c r="C112" s="27">
        <f>IF($D$32=0,0,INDEX(BUDGET!$C$164:$R$164,$E$5)/$D$32)</f>
        <v>0</v>
      </c>
      <c r="D112" s="26">
        <f>D51</f>
        <v>0</v>
      </c>
      <c r="E112" s="26">
        <f>IF(INDEX(BUDGET!$C$164:$R$164,$E$5)=0,0,INDEX(BUDGET!$C$165:$R$165,$E$5)/INDEX(BUDGET!$C$164:$R$164,$E$5))</f>
        <v>0</v>
      </c>
      <c r="F112" s="19">
        <f t="shared" si="12"/>
        <v>0</v>
      </c>
      <c r="G112" s="19">
        <f>IF($D$32=0,0,INDEX(BUDGET!$C$165:$R$165,$E$5)/$D$32)</f>
        <v>0</v>
      </c>
      <c r="H112" s="19">
        <f t="shared" si="13"/>
        <v>0</v>
      </c>
      <c r="I112" s="19">
        <f>(D112-E112)*B112</f>
        <v>0</v>
      </c>
      <c r="J112" s="19">
        <f>(B112-C112)*E112</f>
        <v>0</v>
      </c>
      <c r="K112" s="19">
        <v>0</v>
      </c>
      <c r="L112" s="19">
        <v>0</v>
      </c>
      <c r="M112" s="19">
        <f t="shared" si="14"/>
        <v>0</v>
      </c>
    </row>
    <row r="113" spans="1:13" x14ac:dyDescent="0.35">
      <c r="A113" s="9" t="s">
        <v>101</v>
      </c>
      <c r="B113" s="27">
        <f>IF($B$32=0,0,B52/$B$32)</f>
        <v>2.0194515736863435E-2</v>
      </c>
      <c r="C113" s="27">
        <f>IF($D$32=0,0,INDEX(BUDGET!$C$166:$R$166,$E$5)/$D$32)</f>
        <v>2.0648809176150213E-2</v>
      </c>
      <c r="D113" s="26">
        <f>D52</f>
        <v>33799.844959105903</v>
      </c>
      <c r="E113" s="26">
        <f>IF(INDEX(BUDGET!$C$166:$R$166,$E$5)=0,0,INDEX(BUDGET!$C$167:$R$167,$E$5)/INDEX(BUDGET!$C$166:$R$166,$E$5))</f>
        <v>32219.380208561215</v>
      </c>
      <c r="F113" s="19">
        <f t="shared" si="12"/>
        <v>682.57150093020834</v>
      </c>
      <c r="G113" s="19">
        <f>IF($D$32=0,0,INDEX(BUDGET!$C$167:$R$167,$E$5)/$D$32)</f>
        <v>665.2918337004113</v>
      </c>
      <c r="H113" s="19">
        <f t="shared" si="13"/>
        <v>17.279667229797042</v>
      </c>
      <c r="I113" s="19">
        <f>(D113-E113)*B113</f>
        <v>31.916720276432649</v>
      </c>
      <c r="J113" s="19">
        <f>(B113-C113)*E113</f>
        <v>-14.637053046635639</v>
      </c>
      <c r="K113" s="19">
        <v>0</v>
      </c>
      <c r="L113" s="19">
        <v>0</v>
      </c>
      <c r="M113" s="19">
        <f t="shared" si="14"/>
        <v>3.1974423109204508E-14</v>
      </c>
    </row>
    <row r="114" spans="1:13" x14ac:dyDescent="0.35">
      <c r="A114" s="9" t="s">
        <v>310</v>
      </c>
      <c r="B114" s="27">
        <f>IF($B$32=0,0,B53/$B$32)</f>
        <v>0</v>
      </c>
      <c r="C114" s="27">
        <f>IF($D$32=0,0,INDEX(BUDGET!$C$168:$R$168,$E$5)/$D$32)</f>
        <v>0</v>
      </c>
      <c r="D114" s="26">
        <f>D53</f>
        <v>0</v>
      </c>
      <c r="E114" s="26">
        <f>IF(INDEX(BUDGET!$C$168:$R$168,$E$5)=0,0,INDEX(BUDGET!$C$169:$R$169,$E$5)/INDEX(BUDGET!$C$168:$R$168,$E$5))</f>
        <v>0</v>
      </c>
      <c r="F114" s="19">
        <f t="shared" si="12"/>
        <v>0</v>
      </c>
      <c r="G114" s="19">
        <f>IF($D$32=0,0,INDEX(BUDGET!$C$169:$R$169,$E$5)/$D$32)</f>
        <v>0</v>
      </c>
      <c r="H114" s="19">
        <f t="shared" si="13"/>
        <v>0</v>
      </c>
      <c r="I114" s="19">
        <f>(D114-E114)*B114</f>
        <v>0</v>
      </c>
      <c r="J114" s="19">
        <f>(B114-C114)*E114</f>
        <v>0</v>
      </c>
      <c r="K114" s="19">
        <v>0</v>
      </c>
      <c r="L114" s="19">
        <v>0</v>
      </c>
      <c r="M114" s="19">
        <f t="shared" si="14"/>
        <v>0</v>
      </c>
    </row>
    <row r="115" spans="1:13" x14ac:dyDescent="0.35">
      <c r="A115" s="9" t="s">
        <v>157</v>
      </c>
      <c r="F115" s="19">
        <f t="shared" si="12"/>
        <v>53.169340291820966</v>
      </c>
      <c r="G115" s="19">
        <f>IF($D$32=0,0,INDEX(BUDGET!$C$170:$R$170,$E$5)/$D$32)</f>
        <v>51.063993948432064</v>
      </c>
      <c r="H115" s="19">
        <f t="shared" si="13"/>
        <v>2.1053463433889021</v>
      </c>
      <c r="I115" s="19">
        <v>0</v>
      </c>
      <c r="J115" s="19">
        <f>H115</f>
        <v>2.1053463433889021</v>
      </c>
      <c r="K115" s="19">
        <v>0</v>
      </c>
      <c r="L115" s="19">
        <v>0</v>
      </c>
      <c r="M115" s="19">
        <f t="shared" si="14"/>
        <v>0</v>
      </c>
    </row>
    <row r="116" spans="1:13" x14ac:dyDescent="0.35">
      <c r="A116" s="20" t="s">
        <v>55</v>
      </c>
      <c r="B116" s="25"/>
      <c r="C116" s="25"/>
      <c r="D116" s="25"/>
      <c r="E116" s="25"/>
      <c r="F116" s="22">
        <f t="shared" ref="F116:M116" si="15">F110+F111+F112+F113+F114+F115</f>
        <v>735.7408412220293</v>
      </c>
      <c r="G116" s="22">
        <f t="shared" si="15"/>
        <v>719.74157256280546</v>
      </c>
      <c r="H116" s="22">
        <f t="shared" si="15"/>
        <v>15.999268659223818</v>
      </c>
      <c r="I116" s="22">
        <f t="shared" si="15"/>
        <v>31.916720276432649</v>
      </c>
      <c r="J116" s="22">
        <f t="shared" si="15"/>
        <v>-15.917451617208862</v>
      </c>
      <c r="K116" s="22">
        <f t="shared" si="15"/>
        <v>0</v>
      </c>
      <c r="L116" s="22">
        <f t="shared" si="15"/>
        <v>0</v>
      </c>
      <c r="M116" s="22">
        <f t="shared" si="15"/>
        <v>3.1974423109204508E-14</v>
      </c>
    </row>
    <row r="117" spans="1:13" x14ac:dyDescent="0.35">
      <c r="A117" s="9" t="s">
        <v>158</v>
      </c>
      <c r="B117" s="27">
        <f>IF($B$32=0,0,B58/$B$32)</f>
        <v>0</v>
      </c>
      <c r="C117" s="27">
        <f>IF($D$32=0,0,INDEX(BUDGET!$C$171:$R$171,$E$5)/$D$32)</f>
        <v>3.7290115330874301</v>
      </c>
      <c r="D117" s="26">
        <f>D58</f>
        <v>0</v>
      </c>
      <c r="E117" s="26">
        <f>IF(INDEX(BUDGET!$C$171:$R$171,$E$5)=0,0,INDEX(BUDGET!$C$172:$R$172,$E$5)/INDEX(BUDGET!$C$171:$R$171,$E$5))</f>
        <v>0</v>
      </c>
      <c r="F117" s="19">
        <f>F58</f>
        <v>0</v>
      </c>
      <c r="G117" s="19">
        <f>IF($D$32=0,0,INDEX(BUDGET!$C$172:$R$172,$E$5)/$D$32)</f>
        <v>0</v>
      </c>
      <c r="H117" s="19">
        <f>F117-G117</f>
        <v>0</v>
      </c>
      <c r="I117" s="19">
        <f>(D117-E117)*B117</f>
        <v>0</v>
      </c>
      <c r="J117" s="19">
        <f>(B117-C117)*E117</f>
        <v>0</v>
      </c>
      <c r="K117" s="19">
        <v>0</v>
      </c>
      <c r="L117" s="19">
        <v>0</v>
      </c>
      <c r="M117" s="19">
        <f>H117-I117-J117-K117-L117</f>
        <v>0</v>
      </c>
    </row>
    <row r="118" spans="1:13" x14ac:dyDescent="0.35">
      <c r="A118" s="20" t="s">
        <v>56</v>
      </c>
      <c r="B118" s="25"/>
      <c r="C118" s="25"/>
      <c r="D118" s="25"/>
      <c r="E118" s="25"/>
      <c r="F118" s="22">
        <f t="shared" ref="F118:M118" si="16">F117</f>
        <v>0</v>
      </c>
      <c r="G118" s="22">
        <f t="shared" si="16"/>
        <v>0</v>
      </c>
      <c r="H118" s="22">
        <f t="shared" si="16"/>
        <v>0</v>
      </c>
      <c r="I118" s="22">
        <f t="shared" si="16"/>
        <v>0</v>
      </c>
      <c r="J118" s="22">
        <f t="shared" si="16"/>
        <v>0</v>
      </c>
      <c r="K118" s="22">
        <f t="shared" si="16"/>
        <v>0</v>
      </c>
      <c r="L118" s="22">
        <f t="shared" si="16"/>
        <v>0</v>
      </c>
      <c r="M118" s="22">
        <f t="shared" si="16"/>
        <v>0</v>
      </c>
    </row>
    <row r="119" spans="1:13" x14ac:dyDescent="0.35">
      <c r="A119" s="9" t="s">
        <v>111</v>
      </c>
      <c r="F119" s="19">
        <f>F59</f>
        <v>3243.2026133631543</v>
      </c>
      <c r="G119" s="19">
        <f>IF($D$32=0,0,INDEX(BUDGET!$C$193:$R$193,$E$5)/$D$32)</f>
        <v>2105.5178435648718</v>
      </c>
      <c r="H119" s="19">
        <f>F119-G119</f>
        <v>1137.6847697982826</v>
      </c>
      <c r="I119" s="19">
        <f>IF($B$32=0,0,('BIAYA BERSAMA'!$E$125-INDEX(BUDGET!$C$193:$R$193,$E$5))/$B$32)</f>
        <v>211.02723037223902</v>
      </c>
      <c r="J119" s="19">
        <v>0</v>
      </c>
      <c r="K119" s="19">
        <f>IF($B$32=0,0,INDEX(BUDGET!$C$193:$R$193,$E$5)/$B$32)-G119</f>
        <v>-506.93084884686164</v>
      </c>
      <c r="L119" s="19">
        <f>IF($B$32=0,0,(E59-'BIAYA BERSAMA'!$E$125)/$B$32)</f>
        <v>1433.5883882729051</v>
      </c>
      <c r="M119" s="19">
        <f>H119-I119-J119-K119-L119</f>
        <v>0</v>
      </c>
    </row>
    <row r="120" spans="1:13" x14ac:dyDescent="0.35">
      <c r="A120" s="20" t="s">
        <v>159</v>
      </c>
      <c r="B120" s="25"/>
      <c r="C120" s="25"/>
      <c r="D120" s="25"/>
      <c r="E120" s="25"/>
      <c r="F120" s="22">
        <f t="shared" ref="F120:M120" si="17">F119</f>
        <v>3243.2026133631543</v>
      </c>
      <c r="G120" s="22">
        <f t="shared" si="17"/>
        <v>2105.5178435648718</v>
      </c>
      <c r="H120" s="22">
        <f t="shared" si="17"/>
        <v>1137.6847697982826</v>
      </c>
      <c r="I120" s="22">
        <f t="shared" si="17"/>
        <v>211.02723037223902</v>
      </c>
      <c r="J120" s="22">
        <f t="shared" si="17"/>
        <v>0</v>
      </c>
      <c r="K120" s="22">
        <f t="shared" si="17"/>
        <v>-506.93084884686164</v>
      </c>
      <c r="L120" s="22">
        <f t="shared" si="17"/>
        <v>1433.5883882729051</v>
      </c>
      <c r="M120" s="22">
        <f t="shared" si="17"/>
        <v>0</v>
      </c>
    </row>
    <row r="121" spans="1:13" x14ac:dyDescent="0.35">
      <c r="A121" s="9" t="s">
        <v>160</v>
      </c>
      <c r="F121" s="19">
        <f>F60</f>
        <v>1958.1956763095127</v>
      </c>
      <c r="G121" s="19">
        <f>IF($D$32=0,0,INDEX(BUDGET!$C$194:$R$194,$E$5)/$D$32)</f>
        <v>1329.7235257373445</v>
      </c>
      <c r="H121" s="19">
        <f>F121-G121</f>
        <v>628.47215057216818</v>
      </c>
      <c r="I121" s="19">
        <f>IF($B$32=0,0,('BIAYA BERSAMA'!$E$127-INDEX(BUDGET!$C$194:$R$194,$E$5))/$B$32)</f>
        <v>83.041871178642126</v>
      </c>
      <c r="J121" s="19">
        <v>0</v>
      </c>
      <c r="K121" s="19">
        <f>IF($B$32=0,0,INDEX(BUDGET!$C$194:$R$194,$E$5)/$B$32)-G121</f>
        <v>-320.1482607681852</v>
      </c>
      <c r="L121" s="19">
        <f>IF($B$32=0,0,(E60-'BIAYA BERSAMA'!$E$127)/$B$32)</f>
        <v>865.5785401617112</v>
      </c>
      <c r="M121" s="19">
        <f>H121-I121-J121-K121-L121</f>
        <v>0</v>
      </c>
    </row>
    <row r="122" spans="1:13" x14ac:dyDescent="0.35">
      <c r="A122" s="9" t="s">
        <v>113</v>
      </c>
      <c r="F122" s="19">
        <f>F61</f>
        <v>74.630454165084458</v>
      </c>
      <c r="G122" s="19">
        <f>IF($D$32=0,0,INDEX(BUDGET!$C$175:$R$175,$E$5)/$D$32)</f>
        <v>172.76797969072035</v>
      </c>
      <c r="H122" s="19">
        <f>F122-G122</f>
        <v>-98.137525525635894</v>
      </c>
      <c r="I122" s="19">
        <f>IF($B$32=0,0,('BIAYA BERSAMA'!$E$128-INDEX(BUDGET!$C$175:$R$175,$E$5))/$B$32)</f>
        <v>26.380080760360507</v>
      </c>
      <c r="J122" s="19">
        <v>0</v>
      </c>
      <c r="K122" s="19">
        <f>IF($B$32=0,0,INDEX(BUDGET!$C$175:$R$175,$E$5)/$B$32)-G122</f>
        <v>-41.596141712049928</v>
      </c>
      <c r="L122" s="19">
        <f>IF($B$32=0,0,(E61-'BIAYA BERSAMA'!$E$128)/$B$32)</f>
        <v>-82.921464573946466</v>
      </c>
      <c r="M122" s="19">
        <f>H122-I122-J122-K122-L122</f>
        <v>0</v>
      </c>
    </row>
    <row r="123" spans="1:13" x14ac:dyDescent="0.35">
      <c r="A123" s="9" t="s">
        <v>161</v>
      </c>
      <c r="F123" s="19">
        <f>F62</f>
        <v>339.89511556547382</v>
      </c>
      <c r="G123" s="19">
        <f>IF($D$32=0,0,INDEX(BUDGET!$C$176:$R$176,$E$5)/$D$32)</f>
        <v>384.41250602232174</v>
      </c>
      <c r="H123" s="19">
        <f>F123-G123</f>
        <v>-44.51739045684792</v>
      </c>
      <c r="I123" s="19">
        <f>IF($B$32=0,0,('BIAYA BERSAMA'!$E$129-INDEX(BUDGET!$C$176:$R$176,$E$5))/$B$32)</f>
        <v>48.03492800524959</v>
      </c>
      <c r="J123" s="19">
        <v>0</v>
      </c>
      <c r="K123" s="19">
        <f>IF($B$32=0,0,INDEX(BUDGET!$C$176:$R$176,$E$5)/$B$32)-G123</f>
        <v>-92.552318462097503</v>
      </c>
      <c r="L123" s="19">
        <f>IF($B$32=0,0,(E62-'BIAYA BERSAMA'!$E$129)/$B$32)</f>
        <v>0</v>
      </c>
      <c r="M123" s="19">
        <f>H123-I123-J123-K123-L123</f>
        <v>0</v>
      </c>
    </row>
    <row r="124" spans="1:13" x14ac:dyDescent="0.35">
      <c r="A124" s="9" t="s">
        <v>162</v>
      </c>
      <c r="F124" s="19">
        <f>F63</f>
        <v>555.59600144508101</v>
      </c>
      <c r="G124" s="19">
        <f>IF($D$32=0,0,INDEX(BUDGET!$C$177:$R$177,$E$5)/$D$32)</f>
        <v>762.24108455162252</v>
      </c>
      <c r="H124" s="19">
        <f>F124-G124</f>
        <v>-206.64508310654151</v>
      </c>
      <c r="I124" s="19">
        <f>IF($B$32=0,0,('BIAYA BERSAMA'!$E$130-INDEX(BUDGET!$C$177:$R$177,$E$5))/$B$32)</f>
        <v>-23.125612493325075</v>
      </c>
      <c r="J124" s="19">
        <v>0</v>
      </c>
      <c r="K124" s="19">
        <f>IF($B$32=0,0,INDEX(BUDGET!$C$177:$R$177,$E$5)/$B$32)-G124</f>
        <v>-183.51947061321653</v>
      </c>
      <c r="L124" s="19">
        <f>IF($B$32=0,0,(E63-'BIAYA BERSAMA'!$E$130)/$B$32)</f>
        <v>0</v>
      </c>
      <c r="M124" s="19">
        <f>H124-I124-J124-K124-L124</f>
        <v>8.5265128291212022E-14</v>
      </c>
    </row>
    <row r="125" spans="1:13" x14ac:dyDescent="0.35">
      <c r="A125" s="20" t="s">
        <v>163</v>
      </c>
      <c r="B125" s="25"/>
      <c r="C125" s="25"/>
      <c r="D125" s="25"/>
      <c r="E125" s="25"/>
      <c r="F125" s="22">
        <f t="shared" ref="F125:M125" si="18">F121+F122+F123+F124</f>
        <v>2928.3172474851522</v>
      </c>
      <c r="G125" s="22">
        <f t="shared" si="18"/>
        <v>2649.1450960020088</v>
      </c>
      <c r="H125" s="22">
        <f t="shared" si="18"/>
        <v>279.1721514831429</v>
      </c>
      <c r="I125" s="22">
        <f t="shared" si="18"/>
        <v>134.33126745092716</v>
      </c>
      <c r="J125" s="22">
        <f t="shared" si="18"/>
        <v>0</v>
      </c>
      <c r="K125" s="22">
        <f t="shared" si="18"/>
        <v>-637.81619155554915</v>
      </c>
      <c r="L125" s="22">
        <f t="shared" si="18"/>
        <v>782.65707558776478</v>
      </c>
      <c r="M125" s="22">
        <f t="shared" si="18"/>
        <v>8.5265128291212022E-14</v>
      </c>
    </row>
    <row r="126" spans="1:13" x14ac:dyDescent="0.35">
      <c r="A126" s="20" t="s">
        <v>164</v>
      </c>
      <c r="B126" s="25"/>
      <c r="C126" s="25"/>
      <c r="D126" s="25"/>
      <c r="E126" s="25"/>
      <c r="F126" s="22">
        <f t="shared" ref="F126:M126" si="19">F105+F107+F109+F116+F118+F120+F125</f>
        <v>32275.352004407414</v>
      </c>
      <c r="G126" s="22">
        <f t="shared" si="19"/>
        <v>33916.193592188036</v>
      </c>
      <c r="H126" s="22">
        <f t="shared" si="19"/>
        <v>-1640.8415877806201</v>
      </c>
      <c r="I126" s="22">
        <f t="shared" si="19"/>
        <v>977.27670952310484</v>
      </c>
      <c r="J126" s="22">
        <f t="shared" si="19"/>
        <v>-3689.6167207619856</v>
      </c>
      <c r="K126" s="22">
        <f t="shared" si="19"/>
        <v>-1144.7470404024107</v>
      </c>
      <c r="L126" s="22">
        <f t="shared" si="19"/>
        <v>2216.24546386067</v>
      </c>
      <c r="M126" s="22">
        <f t="shared" si="19"/>
        <v>1.5099033134902129E-12</v>
      </c>
    </row>
    <row r="127" spans="1:13" x14ac:dyDescent="0.35">
      <c r="A127" s="3" t="s">
        <v>165</v>
      </c>
      <c r="G127" s="19">
        <f>G126*$D$32-INDEX(BUDGET!$C$178:$R$178,$E$5)</f>
        <v>-4.4703483581542969E-7</v>
      </c>
    </row>
    <row r="128" spans="1:13" ht="25.5" customHeight="1" x14ac:dyDescent="0.35">
      <c r="A128" s="1" t="s">
        <v>166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30" spans="1:13" x14ac:dyDescent="0.35">
      <c r="A130" s="6" t="s">
        <v>344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</row>
    <row r="131" spans="1:13" ht="24" customHeight="1" x14ac:dyDescent="0.35">
      <c r="A131" s="8" t="s">
        <v>2</v>
      </c>
      <c r="B131" s="8" t="s">
        <v>167</v>
      </c>
      <c r="C131" s="8" t="s">
        <v>168</v>
      </c>
      <c r="D131" s="8" t="s">
        <v>169</v>
      </c>
      <c r="E131" s="8" t="s">
        <v>18</v>
      </c>
    </row>
    <row r="132" spans="1:13" x14ac:dyDescent="0.35">
      <c r="A132" s="9" t="s">
        <v>170</v>
      </c>
      <c r="B132" s="29">
        <v>50</v>
      </c>
      <c r="C132" s="18">
        <f>-E44/10^6</f>
        <v>-122.51829999999991</v>
      </c>
      <c r="D132" s="30">
        <v>-122.5183</v>
      </c>
      <c r="E132" s="18">
        <f t="shared" ref="E132:E143" si="20">C132-D132</f>
        <v>0</v>
      </c>
    </row>
    <row r="133" spans="1:13" x14ac:dyDescent="0.35">
      <c r="A133" s="9" t="s">
        <v>171</v>
      </c>
      <c r="B133" s="29">
        <v>51</v>
      </c>
      <c r="C133" s="18">
        <f>-E46/10^6</f>
        <v>-35.620507446247359</v>
      </c>
      <c r="D133" s="30">
        <v>-35.620507446247402</v>
      </c>
      <c r="E133" s="18">
        <f t="shared" si="20"/>
        <v>0</v>
      </c>
    </row>
    <row r="134" spans="1:13" x14ac:dyDescent="0.35">
      <c r="A134" s="9" t="s">
        <v>96</v>
      </c>
      <c r="B134" s="29">
        <v>52</v>
      </c>
      <c r="C134" s="18">
        <f>-E47/10^6</f>
        <v>-29.661172464954099</v>
      </c>
      <c r="D134" s="30">
        <v>-29.661172464954099</v>
      </c>
      <c r="E134" s="18">
        <f t="shared" si="20"/>
        <v>0</v>
      </c>
    </row>
    <row r="135" spans="1:13" x14ac:dyDescent="0.35">
      <c r="A135" s="9" t="s">
        <v>172</v>
      </c>
      <c r="B135" s="29">
        <v>53</v>
      </c>
      <c r="C135" s="18">
        <f>-E55/10^6</f>
        <v>-5.4466894475666834</v>
      </c>
      <c r="D135" s="30">
        <v>-5.0530768213863304</v>
      </c>
      <c r="E135" s="18">
        <f t="shared" si="20"/>
        <v>-0.39361262618035298</v>
      </c>
    </row>
    <row r="136" spans="1:13" x14ac:dyDescent="0.35">
      <c r="A136" s="9" t="s">
        <v>173</v>
      </c>
      <c r="B136" s="29">
        <v>54</v>
      </c>
      <c r="C136" s="18">
        <f>-E58/10^6</f>
        <v>0</v>
      </c>
      <c r="D136" s="30">
        <v>0</v>
      </c>
      <c r="E136" s="18">
        <f t="shared" si="20"/>
        <v>0</v>
      </c>
    </row>
    <row r="137" spans="1:13" x14ac:dyDescent="0.35">
      <c r="A137" s="9" t="s">
        <v>174</v>
      </c>
      <c r="B137" s="29">
        <v>55</v>
      </c>
      <c r="C137" s="18">
        <f>-E59/10^6</f>
        <v>-24.009428946727432</v>
      </c>
      <c r="D137" s="30">
        <v>-28.9245223767707</v>
      </c>
      <c r="E137" s="18">
        <f t="shared" si="20"/>
        <v>4.9150934300432674</v>
      </c>
    </row>
    <row r="138" spans="1:13" x14ac:dyDescent="0.35">
      <c r="A138" s="9" t="s">
        <v>175</v>
      </c>
      <c r="B138" s="29">
        <v>56</v>
      </c>
      <c r="C138" s="18">
        <f>-E64/10^6</f>
        <v>-21.67833258313258</v>
      </c>
      <c r="D138" s="30">
        <v>-13.7105965931325</v>
      </c>
      <c r="E138" s="18">
        <f t="shared" si="20"/>
        <v>-7.9677359900000795</v>
      </c>
    </row>
    <row r="139" spans="1:13" x14ac:dyDescent="0.35">
      <c r="A139" s="9" t="s">
        <v>176</v>
      </c>
      <c r="B139" s="29">
        <v>58</v>
      </c>
      <c r="C139" s="18">
        <f>-E72/10^6</f>
        <v>0</v>
      </c>
      <c r="D139" s="30">
        <v>0</v>
      </c>
      <c r="E139" s="18">
        <f t="shared" si="20"/>
        <v>0</v>
      </c>
    </row>
    <row r="140" spans="1:13" x14ac:dyDescent="0.35">
      <c r="A140" s="9" t="s">
        <v>179</v>
      </c>
      <c r="B140" s="29">
        <v>59</v>
      </c>
      <c r="C140" s="18">
        <f>-E70/10^6</f>
        <v>0</v>
      </c>
      <c r="D140" s="30">
        <v>0</v>
      </c>
      <c r="E140" s="18">
        <f t="shared" si="20"/>
        <v>0</v>
      </c>
    </row>
    <row r="141" spans="1:13" x14ac:dyDescent="0.35">
      <c r="A141" s="9" t="s">
        <v>180</v>
      </c>
      <c r="B141" s="29">
        <v>60</v>
      </c>
      <c r="C141" s="18">
        <f>E77/10^6</f>
        <v>0</v>
      </c>
      <c r="D141" s="30">
        <v>0</v>
      </c>
      <c r="E141" s="18">
        <f t="shared" si="20"/>
        <v>0</v>
      </c>
    </row>
    <row r="142" spans="1:13" x14ac:dyDescent="0.35">
      <c r="A142" s="9" t="s">
        <v>181</v>
      </c>
      <c r="B142" s="29">
        <v>61</v>
      </c>
      <c r="C142" s="18">
        <f>-E84/10^6</f>
        <v>0</v>
      </c>
      <c r="D142" s="30">
        <v>0</v>
      </c>
      <c r="E142" s="18">
        <f t="shared" si="20"/>
        <v>0</v>
      </c>
    </row>
    <row r="143" spans="1:13" x14ac:dyDescent="0.35">
      <c r="A143" s="9" t="s">
        <v>182</v>
      </c>
      <c r="B143" s="29">
        <v>62</v>
      </c>
      <c r="C143" s="18">
        <f>E89/10^6</f>
        <v>0</v>
      </c>
      <c r="D143" s="30">
        <v>0</v>
      </c>
      <c r="E143" s="18">
        <f t="shared" si="20"/>
        <v>0</v>
      </c>
    </row>
    <row r="144" spans="1:13" x14ac:dyDescent="0.35">
      <c r="A144" s="20" t="s">
        <v>345</v>
      </c>
      <c r="B144" s="31">
        <v>48</v>
      </c>
      <c r="C144" s="21">
        <f>SUM(C132:C143)</f>
        <v>-238.93443088862804</v>
      </c>
      <c r="D144" s="21">
        <f>SUM(D132:D143)</f>
        <v>-235.48817570249102</v>
      </c>
      <c r="E144" s="21">
        <f>SUM(E132:E143)</f>
        <v>-3.4462551861371651</v>
      </c>
    </row>
    <row r="145" spans="1:13" ht="24" customHeight="1" x14ac:dyDescent="0.35">
      <c r="A145" s="1" t="s">
        <v>313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7" spans="1:13" x14ac:dyDescent="0.35">
      <c r="A147" s="6" t="s">
        <v>184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</row>
    <row r="148" spans="1:13" x14ac:dyDescent="0.35">
      <c r="A148" s="8" t="s">
        <v>155</v>
      </c>
      <c r="B148" s="8"/>
      <c r="C148" s="8" t="s">
        <v>185</v>
      </c>
      <c r="D148" s="8" t="s">
        <v>186</v>
      </c>
    </row>
    <row r="149" spans="1:13" x14ac:dyDescent="0.35">
      <c r="A149" s="9" t="s">
        <v>187</v>
      </c>
      <c r="C149" s="26">
        <f>B33-B38</f>
        <v>0</v>
      </c>
      <c r="D149" s="5" t="str">
        <f>IF(ISERROR(C149),"GAGAL",IF(ABS(C149)&lt;=0.01,"LULUS","GAGAL"))</f>
        <v>LULUS</v>
      </c>
    </row>
    <row r="150" spans="1:13" x14ac:dyDescent="0.35">
      <c r="A150" s="9" t="s">
        <v>188</v>
      </c>
      <c r="C150" s="26">
        <f>E79</f>
        <v>0</v>
      </c>
      <c r="D150" s="5" t="str">
        <f>IF(ISERROR(C150),"GAGAL",IF(ABS(C150)&lt;=1,"LULUS","GAGAL"))</f>
        <v>LULUS</v>
      </c>
    </row>
    <row r="151" spans="1:13" x14ac:dyDescent="0.35">
      <c r="A151" s="9" t="s">
        <v>189</v>
      </c>
      <c r="C151" s="26">
        <f>B79</f>
        <v>0</v>
      </c>
      <c r="D151" s="5" t="str">
        <f>IF(ISERROR(C151),"GAGAL",IF(ABS(C151)&lt;=0.01,"LULUS","GAGAL"))</f>
        <v>LULUS</v>
      </c>
    </row>
    <row r="152" spans="1:13" x14ac:dyDescent="0.35">
      <c r="A152" s="9" t="s">
        <v>190</v>
      </c>
      <c r="C152" s="26">
        <f>$G$219-C223</f>
        <v>0</v>
      </c>
      <c r="D152" s="5" t="str">
        <f>IF(ISERROR(C152),"GAGAL",IF(ABS(C152)&lt;=1,"LULUS","GAGAL"))</f>
        <v>LULUS</v>
      </c>
    </row>
    <row r="153" spans="1:13" x14ac:dyDescent="0.35">
      <c r="A153" s="9" t="s">
        <v>191</v>
      </c>
      <c r="C153" s="26">
        <f>C227-C228</f>
        <v>2.6822090148925781E-7</v>
      </c>
      <c r="D153" s="5" t="str">
        <f>IF(ISERROR(C153),"GAGAL",IF(ABS(C153)&lt;=1,"LULUS","GAGAL"))</f>
        <v>LULUS</v>
      </c>
    </row>
    <row r="154" spans="1:13" x14ac:dyDescent="0.35">
      <c r="A154" s="9" t="s">
        <v>192</v>
      </c>
      <c r="C154" s="26">
        <f>SUMPRODUCT(ABS(M104:M126))</f>
        <v>6.3486993440164952E-12</v>
      </c>
      <c r="D154" s="5" t="str">
        <f>IF(ISERROR(C154),"GAGAL",IF(ABS(C154)&lt;=1,"LULUS","GAGAL"))</f>
        <v>LULUS</v>
      </c>
    </row>
    <row r="155" spans="1:13" x14ac:dyDescent="0.35">
      <c r="A155" s="9" t="s">
        <v>193</v>
      </c>
      <c r="C155" s="26">
        <f>G127</f>
        <v>-4.4703483581542969E-7</v>
      </c>
      <c r="D155" s="5" t="str">
        <f>IF(ISERROR(C155),"GAGAL",IF(ABS(C155)&lt;=1,"LULUS","GAGAL"))</f>
        <v>LULUS</v>
      </c>
    </row>
    <row r="156" spans="1:13" x14ac:dyDescent="0.35">
      <c r="A156" s="9" t="s">
        <v>194</v>
      </c>
      <c r="C156" s="26">
        <f>INDEX(BUDGET!$C$195:$R$195,$E$5)</f>
        <v>-4.3306499719619751E-8</v>
      </c>
      <c r="D156" s="5" t="str">
        <f>IF(ISERROR(C156),"GAGAL",IF(ABS(C156)&lt;=1,"LULUS","GAGAL"))</f>
        <v>LULUS</v>
      </c>
    </row>
    <row r="157" spans="1:13" x14ac:dyDescent="0.35">
      <c r="A157" s="9" t="s">
        <v>195</v>
      </c>
      <c r="C157" s="26">
        <f>C144+E98/10^6</f>
        <v>0</v>
      </c>
      <c r="D157" s="5" t="str">
        <f>IF(ISERROR(C157),"GAGAL",IF(ABS(C157)&lt;=0.001,"LULUS","GAGAL"))</f>
        <v>LULUS</v>
      </c>
    </row>
    <row r="158" spans="1:13" x14ac:dyDescent="0.35">
      <c r="A158" s="9" t="s">
        <v>196</v>
      </c>
      <c r="C158" s="26">
        <f>SUMPRODUCT(--ISERROR(A8:M144))</f>
        <v>0</v>
      </c>
      <c r="D158" s="5" t="str">
        <f>IF(ISERROR(C158),"GAGAL",IF(ABS(C158)&lt;=0.5,"LULUS","GAGAL"))</f>
        <v>LULUS</v>
      </c>
    </row>
    <row r="159" spans="1:13" x14ac:dyDescent="0.35">
      <c r="A159" s="9" t="s">
        <v>197</v>
      </c>
      <c r="D159" s="5" t="str">
        <f>'BIAYA BERSAMA'!$D$139</f>
        <v>LULUS</v>
      </c>
    </row>
    <row r="190" spans="1:13" x14ac:dyDescent="0.35">
      <c r="A190" s="6" t="s">
        <v>198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 spans="1:13" ht="24" customHeight="1" x14ac:dyDescent="0.35">
      <c r="A191" s="8" t="s">
        <v>2</v>
      </c>
      <c r="B191" s="8" t="s">
        <v>86</v>
      </c>
      <c r="C191" s="8" t="s">
        <v>185</v>
      </c>
      <c r="D191" s="8" t="s">
        <v>199</v>
      </c>
      <c r="E191" s="8" t="s">
        <v>200</v>
      </c>
    </row>
    <row r="192" spans="1:13" x14ac:dyDescent="0.35">
      <c r="A192" s="9" t="s">
        <v>201</v>
      </c>
      <c r="B192" s="9" t="s">
        <v>91</v>
      </c>
      <c r="C192" s="32">
        <v>0</v>
      </c>
      <c r="D192" s="9" t="s">
        <v>202</v>
      </c>
      <c r="E192" s="9" t="s">
        <v>314</v>
      </c>
    </row>
    <row r="193" spans="1:5" x14ac:dyDescent="0.35">
      <c r="A193" s="9" t="s">
        <v>77</v>
      </c>
      <c r="B193" s="9" t="s">
        <v>91</v>
      </c>
      <c r="C193" s="32">
        <v>7403</v>
      </c>
      <c r="D193" s="9" t="s">
        <v>202</v>
      </c>
      <c r="E193" s="9" t="s">
        <v>315</v>
      </c>
    </row>
    <row r="194" spans="1:5" x14ac:dyDescent="0.35">
      <c r="A194" s="9" t="s">
        <v>205</v>
      </c>
      <c r="B194" s="9" t="s">
        <v>91</v>
      </c>
      <c r="C194" s="32">
        <v>0</v>
      </c>
      <c r="D194" s="9" t="s">
        <v>202</v>
      </c>
      <c r="E194" s="9" t="s">
        <v>316</v>
      </c>
    </row>
    <row r="195" spans="1:5" x14ac:dyDescent="0.35">
      <c r="A195" s="9" t="s">
        <v>207</v>
      </c>
      <c r="B195" s="9" t="s">
        <v>91</v>
      </c>
      <c r="C195" s="32">
        <v>0</v>
      </c>
      <c r="D195" s="9" t="s">
        <v>202</v>
      </c>
      <c r="E195" s="9" t="s">
        <v>317</v>
      </c>
    </row>
    <row r="196" spans="1:5" x14ac:dyDescent="0.35">
      <c r="A196" s="9" t="s">
        <v>209</v>
      </c>
      <c r="B196" s="9" t="s">
        <v>91</v>
      </c>
      <c r="C196" s="32">
        <v>0</v>
      </c>
      <c r="D196" s="9" t="s">
        <v>202</v>
      </c>
      <c r="E196" s="9" t="s">
        <v>318</v>
      </c>
    </row>
    <row r="197" spans="1:5" x14ac:dyDescent="0.35">
      <c r="A197" s="9" t="s">
        <v>211</v>
      </c>
      <c r="B197" s="9" t="s">
        <v>105</v>
      </c>
      <c r="C197" s="33">
        <v>0</v>
      </c>
      <c r="D197" s="9" t="s">
        <v>202</v>
      </c>
      <c r="E197" s="9" t="s">
        <v>319</v>
      </c>
    </row>
    <row r="198" spans="1:5" x14ac:dyDescent="0.35">
      <c r="A198" s="9" t="s">
        <v>320</v>
      </c>
      <c r="B198" s="9" t="s">
        <v>105</v>
      </c>
      <c r="C198" s="33">
        <v>0</v>
      </c>
      <c r="D198" s="9" t="s">
        <v>202</v>
      </c>
      <c r="E198" s="9" t="s">
        <v>346</v>
      </c>
    </row>
    <row r="199" spans="1:5" x14ac:dyDescent="0.35">
      <c r="A199" s="9" t="s">
        <v>322</v>
      </c>
      <c r="B199" s="9" t="s">
        <v>91</v>
      </c>
      <c r="C199" s="32">
        <v>0</v>
      </c>
      <c r="D199" s="9" t="s">
        <v>202</v>
      </c>
      <c r="E199" s="9" t="s">
        <v>323</v>
      </c>
    </row>
    <row r="200" spans="1:5" x14ac:dyDescent="0.35">
      <c r="A200" s="9" t="s">
        <v>218</v>
      </c>
      <c r="B200" s="9" t="s">
        <v>219</v>
      </c>
      <c r="C200" s="32">
        <v>1071</v>
      </c>
      <c r="D200" s="9" t="s">
        <v>202</v>
      </c>
      <c r="E200" s="9" t="s">
        <v>324</v>
      </c>
    </row>
    <row r="201" spans="1:5" x14ac:dyDescent="0.35">
      <c r="A201" s="9" t="s">
        <v>221</v>
      </c>
      <c r="B201" s="9" t="s">
        <v>222</v>
      </c>
      <c r="C201" s="32">
        <v>503.00853333333299</v>
      </c>
      <c r="D201" s="9" t="s">
        <v>202</v>
      </c>
      <c r="E201" s="9" t="s">
        <v>325</v>
      </c>
    </row>
    <row r="202" spans="1:5" x14ac:dyDescent="0.35">
      <c r="A202" s="9" t="s">
        <v>326</v>
      </c>
      <c r="B202" s="9" t="s">
        <v>91</v>
      </c>
      <c r="C202" s="32">
        <v>0</v>
      </c>
      <c r="D202" s="9" t="s">
        <v>202</v>
      </c>
      <c r="E202" s="9" t="s">
        <v>347</v>
      </c>
    </row>
    <row r="203" spans="1:5" x14ac:dyDescent="0.35">
      <c r="A203" s="9" t="s">
        <v>328</v>
      </c>
      <c r="B203" s="9" t="s">
        <v>105</v>
      </c>
      <c r="C203" s="33">
        <v>-974521.91</v>
      </c>
      <c r="D203" s="9" t="s">
        <v>202</v>
      </c>
      <c r="E203" s="9" t="s">
        <v>329</v>
      </c>
    </row>
    <row r="204" spans="1:5" x14ac:dyDescent="0.35">
      <c r="A204" s="9" t="s">
        <v>330</v>
      </c>
      <c r="B204" s="9" t="s">
        <v>91</v>
      </c>
      <c r="C204" s="32">
        <v>7403</v>
      </c>
      <c r="D204" s="9" t="s">
        <v>202</v>
      </c>
      <c r="E204" s="9" t="s">
        <v>348</v>
      </c>
    </row>
    <row r="205" spans="1:5" x14ac:dyDescent="0.35">
      <c r="A205" s="9" t="s">
        <v>332</v>
      </c>
      <c r="B205" s="9" t="s">
        <v>91</v>
      </c>
      <c r="C205" s="32">
        <v>0</v>
      </c>
      <c r="D205" s="9" t="s">
        <v>202</v>
      </c>
      <c r="E205" s="9" t="s">
        <v>349</v>
      </c>
    </row>
    <row r="206" spans="1:5" x14ac:dyDescent="0.35">
      <c r="A206" s="9" t="s">
        <v>232</v>
      </c>
      <c r="B206" s="9" t="s">
        <v>105</v>
      </c>
      <c r="C206" s="33">
        <v>-974521.91</v>
      </c>
      <c r="D206" s="9" t="s">
        <v>202</v>
      </c>
      <c r="E206" s="9" t="s">
        <v>350</v>
      </c>
    </row>
    <row r="207" spans="1:5" x14ac:dyDescent="0.35">
      <c r="A207" s="9" t="s">
        <v>242</v>
      </c>
      <c r="B207" s="9" t="s">
        <v>243</v>
      </c>
      <c r="C207" s="35">
        <v>22.296700000000001</v>
      </c>
      <c r="D207" s="9" t="s">
        <v>212</v>
      </c>
      <c r="E207" s="9" t="s">
        <v>244</v>
      </c>
    </row>
    <row r="208" spans="1:5" x14ac:dyDescent="0.35">
      <c r="A208" s="9" t="s">
        <v>351</v>
      </c>
      <c r="B208" s="9" t="s">
        <v>105</v>
      </c>
      <c r="C208" s="33">
        <v>354603700</v>
      </c>
      <c r="D208" s="9" t="s">
        <v>202</v>
      </c>
      <c r="E208" s="9" t="s">
        <v>352</v>
      </c>
    </row>
    <row r="210" spans="1:13" x14ac:dyDescent="0.35">
      <c r="A210" s="6" t="s">
        <v>247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 spans="1:13" ht="24" customHeight="1" x14ac:dyDescent="0.35">
      <c r="A211" s="8" t="s">
        <v>248</v>
      </c>
      <c r="B211" s="8" t="s">
        <v>249</v>
      </c>
      <c r="C211" s="8" t="s">
        <v>250</v>
      </c>
      <c r="D211" s="8" t="s">
        <v>85</v>
      </c>
      <c r="E211" s="8" t="s">
        <v>86</v>
      </c>
      <c r="F211" s="8" t="s">
        <v>251</v>
      </c>
      <c r="G211" s="8" t="s">
        <v>88</v>
      </c>
      <c r="H211" s="8" t="s">
        <v>199</v>
      </c>
      <c r="I211" s="8" t="s">
        <v>200</v>
      </c>
    </row>
    <row r="212" spans="1:13" x14ac:dyDescent="0.35">
      <c r="A212" s="9" t="s">
        <v>353</v>
      </c>
      <c r="B212" s="9" t="s">
        <v>52</v>
      </c>
      <c r="C212" s="9" t="s">
        <v>337</v>
      </c>
      <c r="D212" s="32">
        <v>26039</v>
      </c>
      <c r="E212" s="9" t="s">
        <v>91</v>
      </c>
      <c r="F212" s="34">
        <v>4705.1845308959601</v>
      </c>
      <c r="G212" s="19">
        <f t="shared" ref="G212:G218" si="21">D212*F212</f>
        <v>122518299.99999991</v>
      </c>
      <c r="H212" s="9" t="s">
        <v>202</v>
      </c>
      <c r="I212" s="9" t="s">
        <v>354</v>
      </c>
    </row>
    <row r="213" spans="1:13" x14ac:dyDescent="0.35">
      <c r="A213" s="9" t="s">
        <v>258</v>
      </c>
      <c r="B213" s="9" t="s">
        <v>53</v>
      </c>
      <c r="C213" s="9" t="s">
        <v>259</v>
      </c>
      <c r="D213" s="32">
        <v>2064</v>
      </c>
      <c r="E213" s="9" t="s">
        <v>91</v>
      </c>
      <c r="F213" s="34">
        <v>17257.997793724498</v>
      </c>
      <c r="G213" s="19">
        <f t="shared" si="21"/>
        <v>35620507.446247362</v>
      </c>
      <c r="H213" s="9" t="s">
        <v>202</v>
      </c>
      <c r="I213" s="9" t="s">
        <v>355</v>
      </c>
    </row>
    <row r="214" spans="1:13" x14ac:dyDescent="0.35">
      <c r="A214" s="9" t="s">
        <v>54</v>
      </c>
      <c r="B214" s="9" t="s">
        <v>54</v>
      </c>
      <c r="C214" s="9" t="s">
        <v>54</v>
      </c>
      <c r="D214" s="32">
        <v>2915.5711888320102</v>
      </c>
      <c r="E214" s="9" t="s">
        <v>261</v>
      </c>
      <c r="F214" s="34">
        <v>10173.3658840402</v>
      </c>
      <c r="G214" s="19">
        <f t="shared" si="21"/>
        <v>29661172.464954101</v>
      </c>
      <c r="H214" s="9" t="s">
        <v>202</v>
      </c>
      <c r="I214" s="9" t="s">
        <v>355</v>
      </c>
    </row>
    <row r="215" spans="1:13" x14ac:dyDescent="0.35">
      <c r="A215" s="9" t="s">
        <v>273</v>
      </c>
      <c r="B215" s="9" t="s">
        <v>264</v>
      </c>
      <c r="C215" s="9" t="s">
        <v>274</v>
      </c>
      <c r="D215" s="32">
        <v>149.5</v>
      </c>
      <c r="E215" s="9" t="s">
        <v>91</v>
      </c>
      <c r="F215" s="34">
        <v>33799.844959105903</v>
      </c>
      <c r="G215" s="19">
        <f t="shared" si="21"/>
        <v>5053076.8213863326</v>
      </c>
      <c r="H215" s="9" t="s">
        <v>202</v>
      </c>
      <c r="I215" s="9" t="s">
        <v>355</v>
      </c>
    </row>
    <row r="216" spans="1:13" x14ac:dyDescent="0.35">
      <c r="A216" s="9" t="s">
        <v>285</v>
      </c>
      <c r="B216" s="9" t="s">
        <v>264</v>
      </c>
      <c r="C216" s="9" t="s">
        <v>280</v>
      </c>
      <c r="D216" s="32">
        <v>29</v>
      </c>
      <c r="E216" s="9" t="s">
        <v>283</v>
      </c>
      <c r="F216" s="34">
        <v>6600</v>
      </c>
      <c r="G216" s="19">
        <f t="shared" si="21"/>
        <v>191400</v>
      </c>
      <c r="H216" s="9" t="s">
        <v>202</v>
      </c>
      <c r="I216" s="9" t="s">
        <v>355</v>
      </c>
    </row>
    <row r="217" spans="1:13" x14ac:dyDescent="0.35">
      <c r="A217" s="9" t="s">
        <v>282</v>
      </c>
      <c r="B217" s="9" t="s">
        <v>264</v>
      </c>
      <c r="C217" s="9" t="s">
        <v>280</v>
      </c>
      <c r="D217" s="32">
        <v>3</v>
      </c>
      <c r="E217" s="9" t="s">
        <v>283</v>
      </c>
      <c r="F217" s="34">
        <v>23970.250393450198</v>
      </c>
      <c r="G217" s="19">
        <f t="shared" si="21"/>
        <v>71910.751180350591</v>
      </c>
      <c r="H217" s="9" t="s">
        <v>202</v>
      </c>
      <c r="I217" s="9" t="s">
        <v>355</v>
      </c>
    </row>
    <row r="218" spans="1:13" x14ac:dyDescent="0.35">
      <c r="A218" s="9" t="s">
        <v>356</v>
      </c>
      <c r="B218" s="9" t="s">
        <v>264</v>
      </c>
      <c r="C218" s="9" t="s">
        <v>280</v>
      </c>
      <c r="D218" s="32">
        <v>1.7230000000000001</v>
      </c>
      <c r="E218" s="9" t="s">
        <v>91</v>
      </c>
      <c r="F218" s="34">
        <v>75625</v>
      </c>
      <c r="G218" s="19">
        <f t="shared" si="21"/>
        <v>130301.875</v>
      </c>
      <c r="H218" s="9" t="s">
        <v>202</v>
      </c>
      <c r="I218" s="9" t="s">
        <v>355</v>
      </c>
    </row>
    <row r="219" spans="1:13" x14ac:dyDescent="0.35">
      <c r="A219" s="20" t="s">
        <v>292</v>
      </c>
      <c r="B219" s="25"/>
      <c r="C219" s="25"/>
      <c r="D219" s="25"/>
      <c r="E219" s="25"/>
      <c r="F219" s="25"/>
      <c r="G219" s="22">
        <f>SUM(G212:G218)</f>
        <v>193246669.35876808</v>
      </c>
      <c r="H219" s="25"/>
      <c r="I219" s="25"/>
    </row>
    <row r="221" spans="1:13" x14ac:dyDescent="0.35">
      <c r="A221" s="6" t="s">
        <v>294</v>
      </c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</row>
    <row r="222" spans="1:13" ht="24" customHeight="1" x14ac:dyDescent="0.35">
      <c r="A222" s="8" t="s">
        <v>47</v>
      </c>
      <c r="B222" s="8"/>
      <c r="C222" s="8" t="s">
        <v>295</v>
      </c>
      <c r="D222" s="8" t="s">
        <v>296</v>
      </c>
      <c r="E222" s="8" t="s">
        <v>297</v>
      </c>
      <c r="F222" s="8" t="s">
        <v>298</v>
      </c>
    </row>
    <row r="223" spans="1:13" x14ac:dyDescent="0.35">
      <c r="A223" s="9" t="s">
        <v>299</v>
      </c>
      <c r="C223" s="33">
        <v>193246669.35876799</v>
      </c>
      <c r="D223" s="19">
        <f>E56</f>
        <v>193246669.35876808</v>
      </c>
      <c r="E223" s="19">
        <f>D223-C223</f>
        <v>0</v>
      </c>
      <c r="F223" s="9" t="s">
        <v>300</v>
      </c>
    </row>
    <row r="224" spans="1:13" x14ac:dyDescent="0.35">
      <c r="A224" s="9" t="s">
        <v>56</v>
      </c>
      <c r="C224" s="33">
        <v>0</v>
      </c>
      <c r="D224" s="19">
        <f>E58</f>
        <v>0</v>
      </c>
      <c r="E224" s="19">
        <f>D224-C224</f>
        <v>0</v>
      </c>
      <c r="F224" s="9" t="s">
        <v>301</v>
      </c>
    </row>
    <row r="225" spans="1:6" x14ac:dyDescent="0.35">
      <c r="A225" s="9" t="s">
        <v>159</v>
      </c>
      <c r="C225" s="33">
        <v>18858314.397227999</v>
      </c>
      <c r="D225" s="19">
        <f>E59</f>
        <v>24009428.946727432</v>
      </c>
      <c r="E225" s="19">
        <f>D225-C225</f>
        <v>5151114.5494994335</v>
      </c>
      <c r="F225" s="9" t="s">
        <v>302</v>
      </c>
    </row>
    <row r="226" spans="1:6" x14ac:dyDescent="0.35">
      <c r="A226" s="9" t="s">
        <v>303</v>
      </c>
      <c r="C226" s="33">
        <v>551816.25930429995</v>
      </c>
      <c r="D226" s="19">
        <f>E64</f>
        <v>21678332.58313258</v>
      </c>
      <c r="E226" s="19">
        <f>D226-C226</f>
        <v>21126516.32382828</v>
      </c>
      <c r="F226" s="9" t="s">
        <v>304</v>
      </c>
    </row>
    <row r="227" spans="1:6" x14ac:dyDescent="0.35">
      <c r="A227" s="20" t="s">
        <v>305</v>
      </c>
      <c r="B227" s="25"/>
      <c r="C227" s="22">
        <f>SUM(C223:C226)</f>
        <v>212656800.01530027</v>
      </c>
      <c r="D227" s="22">
        <f>SUM(D223:D226)</f>
        <v>238934430.88862807</v>
      </c>
      <c r="E227" s="22">
        <f>D227-C227</f>
        <v>26277630.873327792</v>
      </c>
      <c r="F227" s="25"/>
    </row>
    <row r="228" spans="1:6" x14ac:dyDescent="0.35">
      <c r="A228" s="3" t="s">
        <v>306</v>
      </c>
      <c r="C228" s="33">
        <v>212656800.01530001</v>
      </c>
    </row>
  </sheetData>
  <mergeCells count="2">
    <mergeCell ref="A128:M128"/>
    <mergeCell ref="A145:M145"/>
  </mergeCells>
  <dataValidations count="1">
    <dataValidation type="list" sqref="C5" xr:uid="{00000000-0002-0000-0300-000000000000}">
      <formula1>"Sep-26,Okt-26,Nov-26,Des-26,Jan-27,Feb-27,Mar-27,Apr-27,Mei-27,Jun-27,Jul-27,Agu-27,Sep-27,Okt-27,Nov-27,Des-27"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77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6328125" defaultRowHeight="14.5" x14ac:dyDescent="0.35"/>
  <cols>
    <col min="1" max="1" width="50" customWidth="1"/>
    <col min="2" max="2" width="24" customWidth="1"/>
    <col min="3" max="3" width="13" customWidth="1"/>
    <col min="4" max="5" width="14" customWidth="1"/>
    <col min="6" max="6" width="13" customWidth="1"/>
    <col min="7" max="7" width="16" customWidth="1"/>
    <col min="8" max="9" width="11" customWidth="1"/>
    <col min="10" max="10" width="20" customWidth="1"/>
    <col min="11" max="11" width="40" customWidth="1"/>
    <col min="12" max="12" width="44" customWidth="1"/>
  </cols>
  <sheetData>
    <row r="1" spans="1:12" ht="16.5" x14ac:dyDescent="0.35">
      <c r="A1" s="2" t="s">
        <v>357</v>
      </c>
    </row>
    <row r="2" spans="1:12" x14ac:dyDescent="0.35">
      <c r="A2" s="3" t="s">
        <v>358</v>
      </c>
    </row>
    <row r="3" spans="1:12" x14ac:dyDescent="0.35">
      <c r="A3" s="3" t="s">
        <v>41</v>
      </c>
    </row>
    <row r="5" spans="1:12" x14ac:dyDescent="0.35">
      <c r="A5" s="4" t="s">
        <v>42</v>
      </c>
      <c r="C5" s="15" t="s">
        <v>43</v>
      </c>
      <c r="D5" s="16" t="s">
        <v>44</v>
      </c>
      <c r="E5" s="17">
        <f>MATCH(C5,BUDGET!$C$4:$R$4,0)</f>
        <v>2</v>
      </c>
    </row>
    <row r="6" spans="1:12" x14ac:dyDescent="0.35">
      <c r="A6" s="4" t="s">
        <v>359</v>
      </c>
      <c r="C6" s="5" t="str">
        <f>IF(COUNTIF(D72:D75,"GAGAL")=0,"LULUS","GAGAL")</f>
        <v>LULUS</v>
      </c>
    </row>
    <row r="7" spans="1:12" x14ac:dyDescent="0.35">
      <c r="A7" s="4" t="s">
        <v>360</v>
      </c>
      <c r="C7" s="36">
        <v>0</v>
      </c>
      <c r="D7" s="3" t="s">
        <v>361</v>
      </c>
    </row>
    <row r="9" spans="1:12" x14ac:dyDescent="0.35">
      <c r="A9" s="6" t="s">
        <v>362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ht="24" customHeight="1" x14ac:dyDescent="0.35">
      <c r="A10" s="8" t="s">
        <v>2</v>
      </c>
      <c r="B10" s="8" t="s">
        <v>48</v>
      </c>
      <c r="C10" s="8" t="s">
        <v>363</v>
      </c>
      <c r="D10" s="8" t="s">
        <v>18</v>
      </c>
    </row>
    <row r="11" spans="1:12" x14ac:dyDescent="0.35">
      <c r="A11" s="9" t="s">
        <v>364</v>
      </c>
      <c r="B11" s="18">
        <f>(D68+E68+F68)/10^6</f>
        <v>84.761260254939387</v>
      </c>
      <c r="C11" s="18">
        <f>INDEX(BUDGET!$C$198:$R$198,$E$5)/10^6</f>
        <v>41.069007181355701</v>
      </c>
      <c r="D11" s="18">
        <f>B11-C11</f>
        <v>43.692253073583686</v>
      </c>
      <c r="E11" s="3" t="s">
        <v>365</v>
      </c>
    </row>
    <row r="12" spans="1:12" x14ac:dyDescent="0.35">
      <c r="A12" s="9" t="s">
        <v>366</v>
      </c>
      <c r="B12" s="18">
        <f>(B68+C68)/10^6</f>
        <v>270.82070324928662</v>
      </c>
    </row>
    <row r="13" spans="1:12" x14ac:dyDescent="0.35">
      <c r="A13" s="9" t="s">
        <v>367</v>
      </c>
      <c r="B13" s="18">
        <f>(E68+F68)/10^6</f>
        <v>72.127659904447825</v>
      </c>
    </row>
    <row r="14" spans="1:12" x14ac:dyDescent="0.35">
      <c r="A14" s="4" t="s">
        <v>368</v>
      </c>
      <c r="B14" s="24">
        <f>G68/10^6</f>
        <v>355.581963504226</v>
      </c>
      <c r="C14" s="18">
        <f>INDEX(BUDGET!$C$199:$R$199,$E$5)/10^6</f>
        <v>41.069007181355701</v>
      </c>
      <c r="D14" s="18">
        <f>B14-C14</f>
        <v>314.51295632287031</v>
      </c>
    </row>
    <row r="15" spans="1:12" x14ac:dyDescent="0.35">
      <c r="A15" s="9" t="s">
        <v>369</v>
      </c>
      <c r="B15" s="19">
        <f>C43</f>
        <v>17571.48</v>
      </c>
    </row>
    <row r="16" spans="1:12" x14ac:dyDescent="0.35">
      <c r="A16" s="9" t="s">
        <v>370</v>
      </c>
      <c r="B16" s="19">
        <f>H68</f>
        <v>20236.312678512339</v>
      </c>
    </row>
    <row r="17" spans="1:12" x14ac:dyDescent="0.35">
      <c r="A17" s="9" t="s">
        <v>371</v>
      </c>
      <c r="B17" s="18">
        <f>416714799.61/10^6</f>
        <v>416.71479961</v>
      </c>
    </row>
    <row r="18" spans="1:12" x14ac:dyDescent="0.35">
      <c r="A18" s="4" t="s">
        <v>372</v>
      </c>
      <c r="B18" s="24">
        <f>B17-B14</f>
        <v>61.132836105774004</v>
      </c>
      <c r="C18" s="23">
        <f>IF(B17=0,0,B18/B17)</f>
        <v>0.14670185979232733</v>
      </c>
    </row>
    <row r="20" spans="1:12" x14ac:dyDescent="0.35">
      <c r="A20" s="6" t="s">
        <v>373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ht="36" customHeight="1" x14ac:dyDescent="0.35">
      <c r="A21" s="8" t="s">
        <v>374</v>
      </c>
      <c r="B21" s="8" t="s">
        <v>375</v>
      </c>
      <c r="C21" s="8" t="s">
        <v>369</v>
      </c>
      <c r="D21" s="8" t="s">
        <v>376</v>
      </c>
      <c r="E21" s="8" t="s">
        <v>377</v>
      </c>
      <c r="F21" s="8" t="s">
        <v>378</v>
      </c>
      <c r="G21" s="8" t="s">
        <v>379</v>
      </c>
      <c r="H21" s="8" t="s">
        <v>218</v>
      </c>
      <c r="I21" s="8" t="s">
        <v>222</v>
      </c>
      <c r="J21" s="8" t="s">
        <v>380</v>
      </c>
      <c r="K21" s="8" t="s">
        <v>381</v>
      </c>
      <c r="L21" s="8" t="s">
        <v>27</v>
      </c>
    </row>
    <row r="22" spans="1:12" x14ac:dyDescent="0.35">
      <c r="A22" s="9" t="s">
        <v>382</v>
      </c>
      <c r="B22" s="9" t="s">
        <v>383</v>
      </c>
      <c r="C22" s="32">
        <v>5124.6000000000004</v>
      </c>
      <c r="D22" s="32">
        <v>4950</v>
      </c>
      <c r="E22" s="32">
        <v>0</v>
      </c>
      <c r="F22" s="32">
        <v>0</v>
      </c>
      <c r="G22" s="33">
        <v>257400</v>
      </c>
      <c r="H22" s="32">
        <v>421.02738032149801</v>
      </c>
      <c r="I22" s="32">
        <v>1982.0326399999999</v>
      </c>
      <c r="J22" s="9" t="s">
        <v>384</v>
      </c>
      <c r="K22" s="9" t="s">
        <v>385</v>
      </c>
      <c r="L22" s="9" t="s">
        <v>386</v>
      </c>
    </row>
    <row r="23" spans="1:12" x14ac:dyDescent="0.35">
      <c r="A23" s="9" t="s">
        <v>387</v>
      </c>
      <c r="B23" s="9" t="s">
        <v>383</v>
      </c>
      <c r="C23" s="32">
        <v>5047.2</v>
      </c>
      <c r="D23" s="32">
        <v>4807</v>
      </c>
      <c r="E23" s="32">
        <v>0</v>
      </c>
      <c r="F23" s="32">
        <v>0</v>
      </c>
      <c r="G23" s="33">
        <v>316800</v>
      </c>
      <c r="H23" s="32">
        <v>414.97261967850199</v>
      </c>
      <c r="I23" s="32">
        <v>1982.0326399999999</v>
      </c>
      <c r="J23" s="9" t="s">
        <v>384</v>
      </c>
      <c r="K23" s="9" t="s">
        <v>388</v>
      </c>
      <c r="L23" s="9" t="s">
        <v>389</v>
      </c>
    </row>
    <row r="24" spans="1:12" x14ac:dyDescent="0.35">
      <c r="A24" s="9" t="s">
        <v>390</v>
      </c>
      <c r="B24" s="9" t="s">
        <v>383</v>
      </c>
      <c r="C24" s="32">
        <v>5874</v>
      </c>
      <c r="D24" s="32">
        <v>0</v>
      </c>
      <c r="E24" s="32">
        <v>4784.8</v>
      </c>
      <c r="F24" s="32">
        <v>740.94</v>
      </c>
      <c r="G24" s="33">
        <v>11730364.34</v>
      </c>
      <c r="H24" s="32">
        <v>237</v>
      </c>
      <c r="I24" s="32">
        <v>0</v>
      </c>
      <c r="J24" s="9" t="s">
        <v>391</v>
      </c>
      <c r="K24" s="9" t="s">
        <v>392</v>
      </c>
      <c r="L24" s="9" t="s">
        <v>393</v>
      </c>
    </row>
    <row r="25" spans="1:12" x14ac:dyDescent="0.35">
      <c r="A25" s="9" t="s">
        <v>394</v>
      </c>
      <c r="B25" s="9" t="s">
        <v>395</v>
      </c>
      <c r="C25" s="32">
        <v>626</v>
      </c>
      <c r="D25" s="32">
        <v>0</v>
      </c>
      <c r="E25" s="32">
        <v>0</v>
      </c>
      <c r="F25" s="32">
        <v>0</v>
      </c>
      <c r="G25" s="33">
        <v>23956.192959582801</v>
      </c>
      <c r="H25" s="32">
        <v>44.762946544980402</v>
      </c>
      <c r="I25" s="32">
        <v>369.94887999999997</v>
      </c>
      <c r="J25" s="9" t="s">
        <v>396</v>
      </c>
      <c r="K25" s="9" t="s">
        <v>397</v>
      </c>
      <c r="L25" s="9" t="s">
        <v>398</v>
      </c>
    </row>
    <row r="26" spans="1:12" x14ac:dyDescent="0.35">
      <c r="A26" s="9" t="s">
        <v>399</v>
      </c>
      <c r="B26" s="9" t="s">
        <v>383</v>
      </c>
      <c r="C26" s="32">
        <v>899.68</v>
      </c>
      <c r="D26" s="32">
        <v>0</v>
      </c>
      <c r="E26" s="32">
        <v>833</v>
      </c>
      <c r="F26" s="32">
        <v>0</v>
      </c>
      <c r="G26" s="33">
        <v>305079.81753198599</v>
      </c>
      <c r="H26" s="32">
        <v>73.575358539765304</v>
      </c>
      <c r="I26" s="32">
        <v>423.79846666666703</v>
      </c>
      <c r="J26" s="9" t="s">
        <v>400</v>
      </c>
      <c r="K26" s="9" t="s">
        <v>401</v>
      </c>
      <c r="L26" s="9" t="s">
        <v>402</v>
      </c>
    </row>
    <row r="27" spans="1:12" x14ac:dyDescent="0.35">
      <c r="A27" s="3" t="s">
        <v>403</v>
      </c>
      <c r="B27" s="3" t="s">
        <v>383</v>
      </c>
      <c r="C27" s="32">
        <v>0</v>
      </c>
      <c r="D27" s="32">
        <v>0</v>
      </c>
      <c r="E27" s="32">
        <v>0</v>
      </c>
      <c r="F27" s="32">
        <v>0</v>
      </c>
      <c r="G27" s="33">
        <v>0</v>
      </c>
      <c r="H27" s="32">
        <v>0</v>
      </c>
      <c r="I27" s="32">
        <v>0</v>
      </c>
      <c r="J27" s="3" t="s">
        <v>404</v>
      </c>
      <c r="K27" s="3" t="s">
        <v>405</v>
      </c>
      <c r="L27" s="3" t="s">
        <v>406</v>
      </c>
    </row>
    <row r="28" spans="1:12" x14ac:dyDescent="0.35">
      <c r="A28" s="3" t="s">
        <v>407</v>
      </c>
      <c r="B28" s="3" t="s">
        <v>383</v>
      </c>
      <c r="C28" s="32">
        <v>0</v>
      </c>
      <c r="D28" s="32">
        <v>0</v>
      </c>
      <c r="E28" s="32">
        <v>0</v>
      </c>
      <c r="F28" s="32">
        <v>0</v>
      </c>
      <c r="G28" s="33">
        <v>0</v>
      </c>
      <c r="H28" s="32">
        <v>0</v>
      </c>
      <c r="I28" s="32">
        <v>0</v>
      </c>
      <c r="J28" s="3" t="s">
        <v>408</v>
      </c>
      <c r="K28" s="3" t="s">
        <v>409</v>
      </c>
      <c r="L28" s="3" t="s">
        <v>406</v>
      </c>
    </row>
    <row r="29" spans="1:12" x14ac:dyDescent="0.35">
      <c r="A29" s="3" t="s">
        <v>410</v>
      </c>
      <c r="B29" s="3" t="s">
        <v>383</v>
      </c>
      <c r="C29" s="32">
        <v>0</v>
      </c>
      <c r="D29" s="32">
        <v>0</v>
      </c>
      <c r="E29" s="32">
        <v>0</v>
      </c>
      <c r="F29" s="32">
        <v>0</v>
      </c>
      <c r="G29" s="33">
        <v>0</v>
      </c>
      <c r="H29" s="32">
        <v>0</v>
      </c>
      <c r="I29" s="32">
        <v>0</v>
      </c>
      <c r="J29" s="3" t="s">
        <v>346</v>
      </c>
      <c r="K29" s="3" t="s">
        <v>411</v>
      </c>
      <c r="L29" s="3" t="s">
        <v>406</v>
      </c>
    </row>
    <row r="30" spans="1:12" x14ac:dyDescent="0.35">
      <c r="A30" s="3" t="s">
        <v>412</v>
      </c>
      <c r="B30" s="3" t="s">
        <v>383</v>
      </c>
      <c r="C30" s="32">
        <v>0</v>
      </c>
      <c r="D30" s="32">
        <v>0</v>
      </c>
      <c r="E30" s="32">
        <v>0</v>
      </c>
      <c r="F30" s="32">
        <v>0</v>
      </c>
      <c r="G30" s="33">
        <v>0</v>
      </c>
      <c r="H30" s="32">
        <v>0</v>
      </c>
      <c r="I30" s="32">
        <v>0</v>
      </c>
      <c r="J30" s="3" t="s">
        <v>413</v>
      </c>
      <c r="K30" s="3" t="s">
        <v>414</v>
      </c>
      <c r="L30" s="3" t="s">
        <v>406</v>
      </c>
    </row>
    <row r="31" spans="1:12" x14ac:dyDescent="0.35">
      <c r="A31" s="3" t="s">
        <v>415</v>
      </c>
      <c r="B31" s="3" t="s">
        <v>383</v>
      </c>
      <c r="C31" s="32">
        <v>0</v>
      </c>
      <c r="D31" s="32">
        <v>0</v>
      </c>
      <c r="E31" s="32">
        <v>0</v>
      </c>
      <c r="F31" s="32">
        <v>0</v>
      </c>
      <c r="G31" s="33">
        <v>0</v>
      </c>
      <c r="H31" s="32">
        <v>0</v>
      </c>
      <c r="I31" s="32">
        <v>0</v>
      </c>
      <c r="J31" s="3" t="s">
        <v>416</v>
      </c>
      <c r="K31" s="3" t="s">
        <v>417</v>
      </c>
      <c r="L31" s="3" t="s">
        <v>406</v>
      </c>
    </row>
    <row r="32" spans="1:12" x14ac:dyDescent="0.35">
      <c r="A32" s="3" t="s">
        <v>418</v>
      </c>
      <c r="B32" s="3" t="s">
        <v>419</v>
      </c>
      <c r="C32" s="32">
        <v>0</v>
      </c>
      <c r="D32" s="32">
        <v>0</v>
      </c>
      <c r="E32" s="32">
        <v>0</v>
      </c>
      <c r="F32" s="32">
        <v>0</v>
      </c>
      <c r="G32" s="33">
        <v>0</v>
      </c>
      <c r="H32" s="32">
        <v>0</v>
      </c>
      <c r="I32" s="32">
        <v>0</v>
      </c>
      <c r="J32" s="3" t="s">
        <v>416</v>
      </c>
      <c r="K32" s="3" t="s">
        <v>420</v>
      </c>
      <c r="L32" s="3" t="s">
        <v>406</v>
      </c>
    </row>
    <row r="33" spans="1:12" x14ac:dyDescent="0.35">
      <c r="A33" s="3" t="s">
        <v>421</v>
      </c>
      <c r="B33" s="3" t="s">
        <v>4</v>
      </c>
      <c r="C33" s="32">
        <v>0</v>
      </c>
      <c r="D33" s="32">
        <v>0</v>
      </c>
      <c r="E33" s="32">
        <v>0</v>
      </c>
      <c r="F33" s="32">
        <v>0</v>
      </c>
      <c r="G33" s="33">
        <v>0</v>
      </c>
      <c r="H33" s="32">
        <v>0</v>
      </c>
      <c r="I33" s="32">
        <v>0</v>
      </c>
      <c r="J33" s="3" t="s">
        <v>422</v>
      </c>
      <c r="K33" s="3" t="s">
        <v>423</v>
      </c>
      <c r="L33" s="3" t="s">
        <v>406</v>
      </c>
    </row>
    <row r="34" spans="1:12" x14ac:dyDescent="0.35">
      <c r="A34" s="3" t="s">
        <v>424</v>
      </c>
      <c r="B34" s="3" t="s">
        <v>4</v>
      </c>
      <c r="C34" s="32">
        <v>0</v>
      </c>
      <c r="D34" s="32">
        <v>0</v>
      </c>
      <c r="E34" s="32">
        <v>0</v>
      </c>
      <c r="F34" s="32">
        <v>0</v>
      </c>
      <c r="G34" s="33">
        <v>0</v>
      </c>
      <c r="H34" s="32">
        <v>0</v>
      </c>
      <c r="I34" s="32">
        <v>0</v>
      </c>
      <c r="J34" s="3" t="s">
        <v>425</v>
      </c>
      <c r="K34" s="3" t="s">
        <v>426</v>
      </c>
      <c r="L34" s="3" t="s">
        <v>406</v>
      </c>
    </row>
    <row r="35" spans="1:12" x14ac:dyDescent="0.35">
      <c r="A35" s="3" t="s">
        <v>427</v>
      </c>
      <c r="B35" s="3" t="s">
        <v>4</v>
      </c>
      <c r="C35" s="32">
        <v>0</v>
      </c>
      <c r="D35" s="32">
        <v>0</v>
      </c>
      <c r="E35" s="32">
        <v>0</v>
      </c>
      <c r="F35" s="32">
        <v>0</v>
      </c>
      <c r="G35" s="33">
        <v>0</v>
      </c>
      <c r="H35" s="32">
        <v>0</v>
      </c>
      <c r="I35" s="32">
        <v>0</v>
      </c>
      <c r="J35" s="3" t="s">
        <v>416</v>
      </c>
      <c r="K35" s="3" t="s">
        <v>428</v>
      </c>
      <c r="L35" s="3" t="s">
        <v>406</v>
      </c>
    </row>
    <row r="36" spans="1:12" x14ac:dyDescent="0.35">
      <c r="A36" s="3" t="s">
        <v>429</v>
      </c>
      <c r="B36" s="3" t="s">
        <v>430</v>
      </c>
      <c r="C36" s="32">
        <v>0</v>
      </c>
      <c r="D36" s="32">
        <v>0</v>
      </c>
      <c r="E36" s="32">
        <v>0</v>
      </c>
      <c r="F36" s="32">
        <v>0</v>
      </c>
      <c r="G36" s="33">
        <v>0</v>
      </c>
      <c r="H36" s="32">
        <v>0</v>
      </c>
      <c r="I36" s="32">
        <v>0</v>
      </c>
      <c r="J36" s="3" t="s">
        <v>416</v>
      </c>
      <c r="K36" s="3" t="s">
        <v>431</v>
      </c>
      <c r="L36" s="3" t="s">
        <v>406</v>
      </c>
    </row>
    <row r="37" spans="1:12" x14ac:dyDescent="0.35">
      <c r="A37" s="3" t="s">
        <v>432</v>
      </c>
      <c r="B37" s="3" t="s">
        <v>4</v>
      </c>
      <c r="C37" s="32">
        <v>0</v>
      </c>
      <c r="D37" s="32">
        <v>0</v>
      </c>
      <c r="E37" s="32">
        <v>0</v>
      </c>
      <c r="F37" s="32">
        <v>0</v>
      </c>
      <c r="G37" s="33">
        <v>0</v>
      </c>
      <c r="H37" s="32">
        <v>0</v>
      </c>
      <c r="I37" s="32">
        <v>0</v>
      </c>
      <c r="J37" s="3" t="s">
        <v>346</v>
      </c>
      <c r="K37" s="3" t="s">
        <v>433</v>
      </c>
      <c r="L37" s="3" t="s">
        <v>406</v>
      </c>
    </row>
    <row r="38" spans="1:12" x14ac:dyDescent="0.35">
      <c r="A38" s="3" t="s">
        <v>434</v>
      </c>
      <c r="B38" s="3" t="s">
        <v>5</v>
      </c>
      <c r="C38" s="32">
        <v>0</v>
      </c>
      <c r="D38" s="32">
        <v>0</v>
      </c>
      <c r="E38" s="32">
        <v>0</v>
      </c>
      <c r="F38" s="32">
        <v>0</v>
      </c>
      <c r="G38" s="33">
        <v>0</v>
      </c>
      <c r="H38" s="32">
        <v>0</v>
      </c>
      <c r="I38" s="32">
        <v>0</v>
      </c>
      <c r="J38" s="3" t="s">
        <v>416</v>
      </c>
      <c r="K38" s="3" t="s">
        <v>435</v>
      </c>
      <c r="L38" s="3" t="s">
        <v>406</v>
      </c>
    </row>
    <row r="39" spans="1:12" x14ac:dyDescent="0.35">
      <c r="A39" s="3" t="s">
        <v>436</v>
      </c>
      <c r="B39" s="3" t="s">
        <v>5</v>
      </c>
      <c r="C39" s="32">
        <v>0</v>
      </c>
      <c r="D39" s="32">
        <v>0</v>
      </c>
      <c r="E39" s="32">
        <v>0</v>
      </c>
      <c r="F39" s="32">
        <v>0</v>
      </c>
      <c r="G39" s="33">
        <v>0</v>
      </c>
      <c r="H39" s="32">
        <v>0</v>
      </c>
      <c r="I39" s="32">
        <v>0</v>
      </c>
      <c r="J39" s="3" t="s">
        <v>346</v>
      </c>
      <c r="K39" s="3" t="s">
        <v>437</v>
      </c>
      <c r="L39" s="3" t="s">
        <v>406</v>
      </c>
    </row>
    <row r="40" spans="1:12" x14ac:dyDescent="0.35">
      <c r="A40" s="3" t="s">
        <v>438</v>
      </c>
      <c r="B40" s="3" t="s">
        <v>439</v>
      </c>
      <c r="C40" s="32">
        <v>0</v>
      </c>
      <c r="D40" s="32">
        <v>0</v>
      </c>
      <c r="E40" s="32">
        <v>0</v>
      </c>
      <c r="F40" s="32">
        <v>0</v>
      </c>
      <c r="G40" s="33">
        <v>0</v>
      </c>
      <c r="H40" s="32">
        <v>0</v>
      </c>
      <c r="I40" s="32">
        <v>0</v>
      </c>
      <c r="J40" s="3" t="s">
        <v>416</v>
      </c>
      <c r="K40" s="3" t="s">
        <v>440</v>
      </c>
      <c r="L40" s="3" t="s">
        <v>406</v>
      </c>
    </row>
    <row r="41" spans="1:12" x14ac:dyDescent="0.35">
      <c r="A41" s="3" t="s">
        <v>441</v>
      </c>
      <c r="B41" s="3" t="s">
        <v>442</v>
      </c>
      <c r="C41" s="32">
        <v>0</v>
      </c>
      <c r="D41" s="32">
        <v>0</v>
      </c>
      <c r="E41" s="32">
        <v>0</v>
      </c>
      <c r="F41" s="32">
        <v>0</v>
      </c>
      <c r="G41" s="33">
        <v>0</v>
      </c>
      <c r="H41" s="32">
        <v>0</v>
      </c>
      <c r="I41" s="32">
        <v>0</v>
      </c>
      <c r="J41" s="3" t="s">
        <v>346</v>
      </c>
      <c r="K41" s="3" t="s">
        <v>443</v>
      </c>
      <c r="L41" s="3" t="s">
        <v>406</v>
      </c>
    </row>
    <row r="42" spans="1:12" x14ac:dyDescent="0.35">
      <c r="A42" s="3" t="s">
        <v>444</v>
      </c>
      <c r="B42" s="3" t="s">
        <v>395</v>
      </c>
      <c r="C42" s="32">
        <v>0</v>
      </c>
      <c r="D42" s="32">
        <v>0</v>
      </c>
      <c r="E42" s="32">
        <v>0</v>
      </c>
      <c r="F42" s="32">
        <v>0</v>
      </c>
      <c r="G42" s="33">
        <v>0</v>
      </c>
      <c r="H42" s="32">
        <v>0</v>
      </c>
      <c r="I42" s="32">
        <v>0</v>
      </c>
      <c r="J42" s="3" t="s">
        <v>445</v>
      </c>
      <c r="K42" s="3" t="s">
        <v>446</v>
      </c>
      <c r="L42" s="3" t="s">
        <v>406</v>
      </c>
    </row>
    <row r="43" spans="1:12" x14ac:dyDescent="0.35">
      <c r="A43" s="20" t="s">
        <v>7</v>
      </c>
      <c r="B43" s="25"/>
      <c r="C43" s="21">
        <f t="shared" ref="C43:I43" si="0">SUM(C22:C42)</f>
        <v>17571.48</v>
      </c>
      <c r="D43" s="21">
        <f t="shared" si="0"/>
        <v>9757</v>
      </c>
      <c r="E43" s="21">
        <f t="shared" si="0"/>
        <v>5617.8</v>
      </c>
      <c r="F43" s="21">
        <f t="shared" si="0"/>
        <v>740.94</v>
      </c>
      <c r="G43" s="22">
        <f t="shared" si="0"/>
        <v>12633600.350491568</v>
      </c>
      <c r="H43" s="21">
        <f t="shared" si="0"/>
        <v>1191.3383050847458</v>
      </c>
      <c r="I43" s="21">
        <f t="shared" si="0"/>
        <v>4757.8126266666668</v>
      </c>
      <c r="J43" s="25"/>
      <c r="K43" s="25"/>
      <c r="L43" s="25"/>
    </row>
    <row r="45" spans="1:12" x14ac:dyDescent="0.35">
      <c r="A45" s="6" t="s">
        <v>447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ht="24" customHeight="1" x14ac:dyDescent="0.35">
      <c r="A46" s="8" t="s">
        <v>374</v>
      </c>
      <c r="B46" s="8" t="s">
        <v>448</v>
      </c>
      <c r="C46" s="8" t="s">
        <v>207</v>
      </c>
      <c r="D46" s="8" t="s">
        <v>449</v>
      </c>
      <c r="E46" s="8" t="s">
        <v>450</v>
      </c>
      <c r="F46" s="8" t="s">
        <v>451</v>
      </c>
      <c r="G46" s="8" t="s">
        <v>452</v>
      </c>
      <c r="H46" s="8" t="s">
        <v>89</v>
      </c>
    </row>
    <row r="47" spans="1:12" x14ac:dyDescent="0.35">
      <c r="A47" s="9" t="str">
        <f t="shared" ref="A47:A67" si="1">A22</f>
        <v>Cem-cem ORI</v>
      </c>
      <c r="B47" s="19">
        <f>D22*FCC!$D$88</f>
        <v>109529061.04191653</v>
      </c>
      <c r="C47" s="19">
        <f>E22*FCC!$C$208+F22*$C$7</f>
        <v>0</v>
      </c>
      <c r="D47" s="19">
        <f t="shared" ref="D47:D67" si="2">G22</f>
        <v>257400</v>
      </c>
      <c r="E47" s="19">
        <f>IF($H$43=0,0,H22/$H$43)*'BIAYA BERSAMA'!$F$115</f>
        <v>9438493.905187482</v>
      </c>
      <c r="F47" s="19">
        <f>IF($H$43=0,0,H22/$H$43)*'BIAYA BERSAMA'!$F$117+IF($I$43=0,0,I22/$I$43)*('BIAYA BERSAMA'!$F$118+'BIAYA BERSAMA'!$F$119)+IF($G$43=0,0,G22/$G$43)*'BIAYA BERSAMA'!$F$120</f>
        <v>17796194.802995823</v>
      </c>
      <c r="G47" s="19">
        <f t="shared" ref="G47:G67" si="3">SUM(B47:F47)</f>
        <v>137021149.75009984</v>
      </c>
      <c r="H47" s="19">
        <f t="shared" ref="H47:H68" si="4">IF(C22=0,0,G47/C22)</f>
        <v>26737.920959704137</v>
      </c>
    </row>
    <row r="48" spans="1:12" x14ac:dyDescent="0.35">
      <c r="A48" s="9" t="str">
        <f t="shared" si="1"/>
        <v>Cem-cem BBQ</v>
      </c>
      <c r="B48" s="19">
        <f>D23*FCC!$D$88</f>
        <v>106364888.16737227</v>
      </c>
      <c r="C48" s="19">
        <f>E23*FCC!$C$208+F23*$C$7</f>
        <v>0</v>
      </c>
      <c r="D48" s="19">
        <f t="shared" si="2"/>
        <v>316800</v>
      </c>
      <c r="E48" s="19">
        <f>IF($H$43=0,0,H23/$H$43)*'BIAYA BERSAMA'!$F$115</f>
        <v>9302759.689083416</v>
      </c>
      <c r="F48" s="19">
        <f>IF($H$43=0,0,H23/$H$43)*'BIAYA BERSAMA'!$F$117+IF($I$43=0,0,I23/$I$43)*('BIAYA BERSAMA'!$F$118+'BIAYA BERSAMA'!$F$119)+IF($G$43=0,0,G23/$G$43)*'BIAYA BERSAMA'!$F$120</f>
        <v>17715504.85272504</v>
      </c>
      <c r="G48" s="19">
        <f t="shared" si="3"/>
        <v>133699952.70918073</v>
      </c>
      <c r="H48" s="19">
        <f t="shared" si="4"/>
        <v>26489.925643759059</v>
      </c>
    </row>
    <row r="49" spans="1:8" x14ac:dyDescent="0.35">
      <c r="A49" s="9" t="str">
        <f t="shared" si="1"/>
        <v>Koperasi (KW 2 berbumbu, 11 SKU)</v>
      </c>
      <c r="B49" s="19">
        <f>D24*FCC!$D$88</f>
        <v>0</v>
      </c>
      <c r="C49" s="19">
        <f>E24*FCC!$C$208+F24*$C$7</f>
        <v>46782287.146317355</v>
      </c>
      <c r="D49" s="19">
        <f t="shared" si="2"/>
        <v>11730364.34</v>
      </c>
      <c r="E49" s="19">
        <f>IF($H$43=0,0,H24/$H$43)*'BIAYA BERSAMA'!$F$115</f>
        <v>5313010.8873710558</v>
      </c>
      <c r="F49" s="19">
        <f>IF($H$43=0,0,H24/$H$43)*'BIAYA BERSAMA'!$F$117+IF($I$43=0,0,I24/$I$43)*('BIAYA BERSAMA'!$F$118+'BIAYA BERSAMA'!$F$119)+IF($G$43=0,0,G24/$G$43)*'BIAYA BERSAMA'!$F$120</f>
        <v>3457583.9533543838</v>
      </c>
      <c r="G49" s="19">
        <f t="shared" si="3"/>
        <v>67283246.327042788</v>
      </c>
      <c r="H49" s="19">
        <f t="shared" si="4"/>
        <v>11454.417147947359</v>
      </c>
    </row>
    <row r="50" spans="1:8" x14ac:dyDescent="0.35">
      <c r="A50" s="9" t="str">
        <f t="shared" si="1"/>
        <v>Maicih basreng (maklon, 3 SKU)</v>
      </c>
      <c r="B50" s="19">
        <f>D25*FCC!$D$88</f>
        <v>0</v>
      </c>
      <c r="C50" s="19">
        <f>E25*FCC!$C$208+F25*$C$7</f>
        <v>0</v>
      </c>
      <c r="D50" s="19">
        <f t="shared" si="2"/>
        <v>23956.192959582801</v>
      </c>
      <c r="E50" s="19">
        <f>IF($H$43=0,0,H25/$H$43)*'BIAYA BERSAMA'!$F$115</f>
        <v>1003485.326347213</v>
      </c>
      <c r="F50" s="19">
        <f>IF($H$43=0,0,H25/$H$43)*'BIAYA BERSAMA'!$F$117+IF($I$43=0,0,I25/$I$43)*('BIAYA BERSAMA'!$F$118+'BIAYA BERSAMA'!$F$119)+IF($G$43=0,0,G25/$G$43)*'BIAYA BERSAMA'!$F$120</f>
        <v>2863367.0271623759</v>
      </c>
      <c r="G50" s="19">
        <f t="shared" si="3"/>
        <v>3890808.5464691715</v>
      </c>
      <c r="H50" s="19">
        <f t="shared" si="4"/>
        <v>6215.3491157654498</v>
      </c>
    </row>
    <row r="51" spans="1:8" x14ac:dyDescent="0.35">
      <c r="A51" s="9" t="str">
        <f t="shared" si="1"/>
        <v>Maicih keripik (LV 3 &amp; 10)</v>
      </c>
      <c r="B51" s="19">
        <f>D26*FCC!$D$88</f>
        <v>0</v>
      </c>
      <c r="C51" s="19">
        <f>E26*FCC!$C$208+F26*$C$7</f>
        <v>8144466.8936804794</v>
      </c>
      <c r="D51" s="19">
        <f t="shared" si="2"/>
        <v>305079.81753198599</v>
      </c>
      <c r="E51" s="19">
        <f>IF($H$43=0,0,H26/$H$43)*'BIAYA BERSAMA'!$F$115</f>
        <v>1649395.2783291226</v>
      </c>
      <c r="F51" s="19">
        <f>IF($H$43=0,0,H26/$H$43)*'BIAYA BERSAMA'!$F$117+IF($I$43=0,0,I26/$I$43)*('BIAYA BERSAMA'!$F$118+'BIAYA BERSAMA'!$F$119)+IF($G$43=0,0,G26/$G$43)*'BIAYA BERSAMA'!$F$120</f>
        <v>3587864.1818919154</v>
      </c>
      <c r="G51" s="19">
        <f t="shared" si="3"/>
        <v>13686806.171433505</v>
      </c>
      <c r="H51" s="19">
        <f t="shared" si="4"/>
        <v>15212.971469226286</v>
      </c>
    </row>
    <row r="52" spans="1:8" x14ac:dyDescent="0.35">
      <c r="A52" s="9" t="str">
        <f t="shared" si="1"/>
        <v>Maicih keripik LV 5</v>
      </c>
      <c r="B52" s="19">
        <f>D27*FCC!$D$88</f>
        <v>0</v>
      </c>
      <c r="C52" s="19">
        <f>E27*FCC!$C$208+F27*$C$7</f>
        <v>0</v>
      </c>
      <c r="D52" s="19">
        <f t="shared" si="2"/>
        <v>0</v>
      </c>
      <c r="E52" s="19">
        <f>IF($H$43=0,0,H27/$H$43)*'BIAYA BERSAMA'!$F$115</f>
        <v>0</v>
      </c>
      <c r="F52" s="19">
        <f>IF($H$43=0,0,H27/$H$43)*'BIAYA BERSAMA'!$F$117+IF($I$43=0,0,I27/$I$43)*('BIAYA BERSAMA'!$F$118+'BIAYA BERSAMA'!$F$119)+IF($G$43=0,0,G27/$G$43)*'BIAYA BERSAMA'!$F$120</f>
        <v>0</v>
      </c>
      <c r="G52" s="19">
        <f t="shared" si="3"/>
        <v>0</v>
      </c>
      <c r="H52" s="19">
        <f t="shared" si="4"/>
        <v>0</v>
      </c>
    </row>
    <row r="53" spans="1:8" x14ac:dyDescent="0.35">
      <c r="A53" s="9" t="str">
        <f t="shared" si="1"/>
        <v>FCC Maicih</v>
      </c>
      <c r="B53" s="19">
        <f>D28*FCC!$D$88</f>
        <v>0</v>
      </c>
      <c r="C53" s="19">
        <f>E28*FCC!$C$208+F28*$C$7</f>
        <v>0</v>
      </c>
      <c r="D53" s="19">
        <f t="shared" si="2"/>
        <v>0</v>
      </c>
      <c r="E53" s="19">
        <f>IF($H$43=0,0,H28/$H$43)*'BIAYA BERSAMA'!$F$115</f>
        <v>0</v>
      </c>
      <c r="F53" s="19">
        <f>IF($H$43=0,0,H28/$H$43)*'BIAYA BERSAMA'!$F$117+IF($I$43=0,0,I28/$I$43)*('BIAYA BERSAMA'!$F$118+'BIAYA BERSAMA'!$F$119)+IF($G$43=0,0,G28/$G$43)*'BIAYA BERSAMA'!$F$120</f>
        <v>0</v>
      </c>
      <c r="G53" s="19">
        <f t="shared" si="3"/>
        <v>0</v>
      </c>
      <c r="H53" s="19">
        <f t="shared" si="4"/>
        <v>0</v>
      </c>
    </row>
    <row r="54" spans="1:8" x14ac:dyDescent="0.35">
      <c r="A54" s="9" t="str">
        <f t="shared" si="1"/>
        <v>FCC Putih</v>
      </c>
      <c r="B54" s="19">
        <f>D29*FCC!$D$88</f>
        <v>0</v>
      </c>
      <c r="C54" s="19">
        <f>E29*FCC!$C$208+F29*$C$7</f>
        <v>0</v>
      </c>
      <c r="D54" s="19">
        <f t="shared" si="2"/>
        <v>0</v>
      </c>
      <c r="E54" s="19">
        <f>IF($H$43=0,0,H29/$H$43)*'BIAYA BERSAMA'!$F$115</f>
        <v>0</v>
      </c>
      <c r="F54" s="19">
        <f>IF($H$43=0,0,H29/$H$43)*'BIAYA BERSAMA'!$F$117+IF($I$43=0,0,I29/$I$43)*('BIAYA BERSAMA'!$F$118+'BIAYA BERSAMA'!$F$119)+IF($G$43=0,0,G29/$G$43)*'BIAYA BERSAMA'!$F$120</f>
        <v>0</v>
      </c>
      <c r="G54" s="19">
        <f t="shared" si="3"/>
        <v>0</v>
      </c>
      <c r="H54" s="19">
        <f t="shared" si="4"/>
        <v>0</v>
      </c>
    </row>
    <row r="55" spans="1:8" x14ac:dyDescent="0.35">
      <c r="A55" s="9" t="str">
        <f t="shared" si="1"/>
        <v>Kecimpring (goreng &amp; bagging)</v>
      </c>
      <c r="B55" s="19">
        <f>D30*FCC!$D$88</f>
        <v>0</v>
      </c>
      <c r="C55" s="19">
        <f>E30*FCC!$C$208+F30*$C$7</f>
        <v>0</v>
      </c>
      <c r="D55" s="19">
        <f t="shared" si="2"/>
        <v>0</v>
      </c>
      <c r="E55" s="19">
        <f>IF($H$43=0,0,H30/$H$43)*'BIAYA BERSAMA'!$F$115</f>
        <v>0</v>
      </c>
      <c r="F55" s="19">
        <f>IF($H$43=0,0,H30/$H$43)*'BIAYA BERSAMA'!$F$117+IF($I$43=0,0,I30/$I$43)*('BIAYA BERSAMA'!$F$118+'BIAYA BERSAMA'!$F$119)+IF($G$43=0,0,G30/$G$43)*'BIAYA BERSAMA'!$F$120</f>
        <v>0</v>
      </c>
      <c r="G55" s="19">
        <f t="shared" si="3"/>
        <v>0</v>
      </c>
      <c r="H55" s="19">
        <f t="shared" si="4"/>
        <v>0</v>
      </c>
    </row>
    <row r="56" spans="1:8" x14ac:dyDescent="0.35">
      <c r="A56" s="9" t="str">
        <f t="shared" si="1"/>
        <v>Whole chips rempah 15/90 gr</v>
      </c>
      <c r="B56" s="19">
        <f>D31*FCC!$D$88</f>
        <v>0</v>
      </c>
      <c r="C56" s="19">
        <f>E31*FCC!$C$208+F31*$C$7</f>
        <v>0</v>
      </c>
      <c r="D56" s="19">
        <f t="shared" si="2"/>
        <v>0</v>
      </c>
      <c r="E56" s="19">
        <f>IF($H$43=0,0,H31/$H$43)*'BIAYA BERSAMA'!$F$115</f>
        <v>0</v>
      </c>
      <c r="F56" s="19">
        <f>IF($H$43=0,0,H31/$H$43)*'BIAYA BERSAMA'!$F$117+IF($I$43=0,0,I31/$I$43)*('BIAYA BERSAMA'!$F$118+'BIAYA BERSAMA'!$F$119)+IF($G$43=0,0,G31/$G$43)*'BIAYA BERSAMA'!$F$120</f>
        <v>0</v>
      </c>
      <c r="G56" s="19">
        <f t="shared" si="3"/>
        <v>0</v>
      </c>
      <c r="H56" s="19">
        <f t="shared" si="4"/>
        <v>0</v>
      </c>
    </row>
    <row r="57" spans="1:8" x14ac:dyDescent="0.35">
      <c r="A57" s="9" t="str">
        <f t="shared" si="1"/>
        <v>Maxi (pellet &amp; goreng)</v>
      </c>
      <c r="B57" s="19">
        <f>D32*FCC!$D$88</f>
        <v>0</v>
      </c>
      <c r="C57" s="19">
        <f>E32*FCC!$C$208+F32*$C$7</f>
        <v>0</v>
      </c>
      <c r="D57" s="19">
        <f t="shared" si="2"/>
        <v>0</v>
      </c>
      <c r="E57" s="19">
        <f>IF($H$43=0,0,H32/$H$43)*'BIAYA BERSAMA'!$F$115</f>
        <v>0</v>
      </c>
      <c r="F57" s="19">
        <f>IF($H$43=0,0,H32/$H$43)*'BIAYA BERSAMA'!$F$117+IF($I$43=0,0,I32/$I$43)*('BIAYA BERSAMA'!$F$118+'BIAYA BERSAMA'!$F$119)+IF($G$43=0,0,G32/$G$43)*'BIAYA BERSAMA'!$F$120</f>
        <v>0</v>
      </c>
      <c r="G57" s="19">
        <f t="shared" si="3"/>
        <v>0</v>
      </c>
      <c r="H57" s="19">
        <f t="shared" si="4"/>
        <v>0</v>
      </c>
    </row>
    <row r="58" spans="1:8" x14ac:dyDescent="0.35">
      <c r="A58" s="9" t="str">
        <f t="shared" si="1"/>
        <v>Pellet ubi ungu FG (1,2x1,5 &amp; 3x3)</v>
      </c>
      <c r="B58" s="19">
        <f>D33*FCC!$D$88</f>
        <v>0</v>
      </c>
      <c r="C58" s="19">
        <f>E33*FCC!$C$208+F33*$C$7</f>
        <v>0</v>
      </c>
      <c r="D58" s="19">
        <f t="shared" si="2"/>
        <v>0</v>
      </c>
      <c r="E58" s="19">
        <f>IF($H$43=0,0,H33/$H$43)*'BIAYA BERSAMA'!$F$115</f>
        <v>0</v>
      </c>
      <c r="F58" s="19">
        <f>IF($H$43=0,0,H33/$H$43)*'BIAYA BERSAMA'!$F$117+IF($I$43=0,0,I33/$I$43)*('BIAYA BERSAMA'!$F$118+'BIAYA BERSAMA'!$F$119)+IF($G$43=0,0,G33/$G$43)*'BIAYA BERSAMA'!$F$120</f>
        <v>0</v>
      </c>
      <c r="G58" s="19">
        <f t="shared" si="3"/>
        <v>0</v>
      </c>
      <c r="H58" s="19">
        <f t="shared" si="4"/>
        <v>0</v>
      </c>
    </row>
    <row r="59" spans="1:8" x14ac:dyDescent="0.35">
      <c r="A59" s="9" t="str">
        <f t="shared" si="1"/>
        <v>Keripik ubi ungu retail (goreng, bagging bakar/ori, NYEE)</v>
      </c>
      <c r="B59" s="19">
        <f>D34*FCC!$D$88</f>
        <v>0</v>
      </c>
      <c r="C59" s="19">
        <f>E34*FCC!$C$208+F34*$C$7</f>
        <v>0</v>
      </c>
      <c r="D59" s="19">
        <f t="shared" si="2"/>
        <v>0</v>
      </c>
      <c r="E59" s="19">
        <f>IF($H$43=0,0,H34/$H$43)*'BIAYA BERSAMA'!$F$115</f>
        <v>0</v>
      </c>
      <c r="F59" s="19">
        <f>IF($H$43=0,0,H34/$H$43)*'BIAYA BERSAMA'!$F$117+IF($I$43=0,0,I34/$I$43)*('BIAYA BERSAMA'!$F$118+'BIAYA BERSAMA'!$F$119)+IF($G$43=0,0,G34/$G$43)*'BIAYA BERSAMA'!$F$120</f>
        <v>0</v>
      </c>
      <c r="G59" s="19">
        <f t="shared" si="3"/>
        <v>0</v>
      </c>
      <c r="H59" s="19">
        <f t="shared" si="4"/>
        <v>0</v>
      </c>
    </row>
    <row r="60" spans="1:8" x14ac:dyDescent="0.35">
      <c r="A60" s="9" t="str">
        <f t="shared" si="1"/>
        <v>Whole chips ubi ungu 15/90 gr</v>
      </c>
      <c r="B60" s="19">
        <f>D35*FCC!$D$88</f>
        <v>0</v>
      </c>
      <c r="C60" s="19">
        <f>E35*FCC!$C$208+F35*$C$7</f>
        <v>0</v>
      </c>
      <c r="D60" s="19">
        <f t="shared" si="2"/>
        <v>0</v>
      </c>
      <c r="E60" s="19">
        <f>IF($H$43=0,0,H35/$H$43)*'BIAYA BERSAMA'!$F$115</f>
        <v>0</v>
      </c>
      <c r="F60" s="19">
        <f>IF($H$43=0,0,H35/$H$43)*'BIAYA BERSAMA'!$F$117+IF($I$43=0,0,I35/$I$43)*('BIAYA BERSAMA'!$F$118+'BIAYA BERSAMA'!$F$119)+IF($G$43=0,0,G35/$G$43)*'BIAYA BERSAMA'!$F$120</f>
        <v>0</v>
      </c>
      <c r="G60" s="19">
        <f t="shared" si="3"/>
        <v>0</v>
      </c>
      <c r="H60" s="19">
        <f t="shared" si="4"/>
        <v>0</v>
      </c>
    </row>
    <row r="61" spans="1:8" x14ac:dyDescent="0.35">
      <c r="A61" s="9" t="str">
        <f t="shared" si="1"/>
        <v>Umbiis (goreng &amp; bagging)</v>
      </c>
      <c r="B61" s="19">
        <f>D36*FCC!$D$88</f>
        <v>0</v>
      </c>
      <c r="C61" s="19">
        <f>E36*FCC!$C$208+F36*$C$7</f>
        <v>0</v>
      </c>
      <c r="D61" s="19">
        <f t="shared" si="2"/>
        <v>0</v>
      </c>
      <c r="E61" s="19">
        <f>IF($H$43=0,0,H36/$H$43)*'BIAYA BERSAMA'!$F$115</f>
        <v>0</v>
      </c>
      <c r="F61" s="19">
        <f>IF($H$43=0,0,H36/$H$43)*'BIAYA BERSAMA'!$F$117+IF($I$43=0,0,I36/$I$43)*('BIAYA BERSAMA'!$F$118+'BIAYA BERSAMA'!$F$119)+IF($G$43=0,0,G36/$G$43)*'BIAYA BERSAMA'!$F$120</f>
        <v>0</v>
      </c>
      <c r="G61" s="19">
        <f t="shared" si="3"/>
        <v>0</v>
      </c>
      <c r="H61" s="19">
        <f t="shared" si="4"/>
        <v>0</v>
      </c>
    </row>
    <row r="62" spans="1:8" x14ac:dyDescent="0.35">
      <c r="A62" s="9" t="str">
        <f t="shared" si="1"/>
        <v>Ubi ungu chips</v>
      </c>
      <c r="B62" s="19">
        <f>D37*FCC!$D$88</f>
        <v>0</v>
      </c>
      <c r="C62" s="19">
        <f>E37*FCC!$C$208+F37*$C$7</f>
        <v>0</v>
      </c>
      <c r="D62" s="19">
        <f t="shared" si="2"/>
        <v>0</v>
      </c>
      <c r="E62" s="19">
        <f>IF($H$43=0,0,H37/$H$43)*'BIAYA BERSAMA'!$F$115</f>
        <v>0</v>
      </c>
      <c r="F62" s="19">
        <f>IF($H$43=0,0,H37/$H$43)*'BIAYA BERSAMA'!$F$117+IF($I$43=0,0,I37/$I$43)*('BIAYA BERSAMA'!$F$118+'BIAYA BERSAMA'!$F$119)+IF($G$43=0,0,G37/$G$43)*'BIAYA BERSAMA'!$F$120</f>
        <v>0</v>
      </c>
      <c r="G62" s="19">
        <f t="shared" si="3"/>
        <v>0</v>
      </c>
      <c r="H62" s="19">
        <f t="shared" si="4"/>
        <v>0</v>
      </c>
    </row>
    <row r="63" spans="1:8" x14ac:dyDescent="0.35">
      <c r="A63" s="9" t="str">
        <f t="shared" si="1"/>
        <v>Pellet ubi orange FG 3x3</v>
      </c>
      <c r="B63" s="19">
        <f>D38*FCC!$D$88</f>
        <v>0</v>
      </c>
      <c r="C63" s="19">
        <f>E38*FCC!$C$208+F38*$C$7</f>
        <v>0</v>
      </c>
      <c r="D63" s="19">
        <f t="shared" si="2"/>
        <v>0</v>
      </c>
      <c r="E63" s="19">
        <f>IF($H$43=0,0,H38/$H$43)*'BIAYA BERSAMA'!$F$115</f>
        <v>0</v>
      </c>
      <c r="F63" s="19">
        <f>IF($H$43=0,0,H38/$H$43)*'BIAYA BERSAMA'!$F$117+IF($I$43=0,0,I38/$I$43)*('BIAYA BERSAMA'!$F$118+'BIAYA BERSAMA'!$F$119)+IF($G$43=0,0,G38/$G$43)*'BIAYA BERSAMA'!$F$120</f>
        <v>0</v>
      </c>
      <c r="G63" s="19">
        <f t="shared" si="3"/>
        <v>0</v>
      </c>
      <c r="H63" s="19">
        <f t="shared" si="4"/>
        <v>0</v>
      </c>
    </row>
    <row r="64" spans="1:8" x14ac:dyDescent="0.35">
      <c r="A64" s="9" t="str">
        <f t="shared" si="1"/>
        <v>Ubi orange chips</v>
      </c>
      <c r="B64" s="19">
        <f>D39*FCC!$D$88</f>
        <v>0</v>
      </c>
      <c r="C64" s="19">
        <f>E39*FCC!$C$208+F39*$C$7</f>
        <v>0</v>
      </c>
      <c r="D64" s="19">
        <f t="shared" si="2"/>
        <v>0</v>
      </c>
      <c r="E64" s="19">
        <f>IF($H$43=0,0,H39/$H$43)*'BIAYA BERSAMA'!$F$115</f>
        <v>0</v>
      </c>
      <c r="F64" s="19">
        <f>IF($H$43=0,0,H39/$H$43)*'BIAYA BERSAMA'!$F$117+IF($I$43=0,0,I39/$I$43)*('BIAYA BERSAMA'!$F$118+'BIAYA BERSAMA'!$F$119)+IF($G$43=0,0,G39/$G$43)*'BIAYA BERSAMA'!$F$120</f>
        <v>0</v>
      </c>
      <c r="G64" s="19">
        <f t="shared" si="3"/>
        <v>0</v>
      </c>
      <c r="H64" s="19">
        <f t="shared" si="4"/>
        <v>0</v>
      </c>
    </row>
    <row r="65" spans="1:12" x14ac:dyDescent="0.35">
      <c r="A65" s="9" t="str">
        <f t="shared" si="1"/>
        <v>Pellet lainnya</v>
      </c>
      <c r="B65" s="19">
        <f>D40*FCC!$D$88</f>
        <v>0</v>
      </c>
      <c r="C65" s="19">
        <f>E40*FCC!$C$208+F40*$C$7</f>
        <v>0</v>
      </c>
      <c r="D65" s="19">
        <f t="shared" si="2"/>
        <v>0</v>
      </c>
      <c r="E65" s="19">
        <f>IF($H$43=0,0,H40/$H$43)*'BIAYA BERSAMA'!$F$115</f>
        <v>0</v>
      </c>
      <c r="F65" s="19">
        <f>IF($H$43=0,0,H40/$H$43)*'BIAYA BERSAMA'!$F$117+IF($I$43=0,0,I40/$I$43)*('BIAYA BERSAMA'!$F$118+'BIAYA BERSAMA'!$F$119)+IF($G$43=0,0,G40/$G$43)*'BIAYA BERSAMA'!$F$120</f>
        <v>0</v>
      </c>
      <c r="G65" s="19">
        <f t="shared" si="3"/>
        <v>0</v>
      </c>
      <c r="H65" s="19">
        <f t="shared" si="4"/>
        <v>0</v>
      </c>
    </row>
    <row r="66" spans="1:12" x14ac:dyDescent="0.35">
      <c r="A66" s="9" t="str">
        <f t="shared" si="1"/>
        <v>Ubi putih &amp; talas chips</v>
      </c>
      <c r="B66" s="19">
        <f>D41*FCC!$D$88</f>
        <v>0</v>
      </c>
      <c r="C66" s="19">
        <f>E41*FCC!$C$208+F41*$C$7</f>
        <v>0</v>
      </c>
      <c r="D66" s="19">
        <f t="shared" si="2"/>
        <v>0</v>
      </c>
      <c r="E66" s="19">
        <f>IF($H$43=0,0,H41/$H$43)*'BIAYA BERSAMA'!$F$115</f>
        <v>0</v>
      </c>
      <c r="F66" s="19">
        <f>IF($H$43=0,0,H41/$H$43)*'BIAYA BERSAMA'!$F$117+IF($I$43=0,0,I41/$I$43)*('BIAYA BERSAMA'!$F$118+'BIAYA BERSAMA'!$F$119)+IF($G$43=0,0,G41/$G$43)*'BIAYA BERSAMA'!$F$120</f>
        <v>0</v>
      </c>
      <c r="G66" s="19">
        <f t="shared" si="3"/>
        <v>0</v>
      </c>
      <c r="H66" s="19">
        <f t="shared" si="4"/>
        <v>0</v>
      </c>
    </row>
    <row r="67" spans="1:12" x14ac:dyDescent="0.35">
      <c r="A67" s="9" t="str">
        <f t="shared" si="1"/>
        <v>WRP (Delichips, Mixfruit, chips) – maklon</v>
      </c>
      <c r="B67" s="19">
        <f>D42*FCC!$D$88</f>
        <v>0</v>
      </c>
      <c r="C67" s="19">
        <f>E42*FCC!$C$208+F42*$C$7</f>
        <v>0</v>
      </c>
      <c r="D67" s="19">
        <f t="shared" si="2"/>
        <v>0</v>
      </c>
      <c r="E67" s="19">
        <f>IF($H$43=0,0,H42/$H$43)*'BIAYA BERSAMA'!$F$115</f>
        <v>0</v>
      </c>
      <c r="F67" s="19">
        <f>IF($H$43=0,0,H42/$H$43)*'BIAYA BERSAMA'!$F$117+IF($I$43=0,0,I42/$I$43)*('BIAYA BERSAMA'!$F$118+'BIAYA BERSAMA'!$F$119)+IF($G$43=0,0,G42/$G$43)*'BIAYA BERSAMA'!$F$120</f>
        <v>0</v>
      </c>
      <c r="G67" s="19">
        <f t="shared" si="3"/>
        <v>0</v>
      </c>
      <c r="H67" s="19">
        <f t="shared" si="4"/>
        <v>0</v>
      </c>
    </row>
    <row r="68" spans="1:12" x14ac:dyDescent="0.35">
      <c r="A68" s="20" t="s">
        <v>7</v>
      </c>
      <c r="B68" s="22">
        <f t="shared" ref="B68:G68" si="5">SUM(B47:B67)</f>
        <v>215893949.20928881</v>
      </c>
      <c r="C68" s="22">
        <f t="shared" si="5"/>
        <v>54926754.039997831</v>
      </c>
      <c r="D68" s="22">
        <f t="shared" si="5"/>
        <v>12633600.350491568</v>
      </c>
      <c r="E68" s="22">
        <f t="shared" si="5"/>
        <v>26707145.086318292</v>
      </c>
      <c r="F68" s="22">
        <f t="shared" si="5"/>
        <v>45420514.818129532</v>
      </c>
      <c r="G68" s="22">
        <f t="shared" si="5"/>
        <v>355581963.50422597</v>
      </c>
      <c r="H68" s="22">
        <f t="shared" si="4"/>
        <v>20236.312678512339</v>
      </c>
    </row>
    <row r="70" spans="1:12" x14ac:dyDescent="0.35">
      <c r="A70" s="6" t="s">
        <v>453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spans="1:12" x14ac:dyDescent="0.35">
      <c r="A71" s="8" t="s">
        <v>155</v>
      </c>
      <c r="B71" s="8"/>
      <c r="C71" s="8" t="s">
        <v>185</v>
      </c>
      <c r="D71" s="8" t="s">
        <v>186</v>
      </c>
    </row>
    <row r="72" spans="1:12" x14ac:dyDescent="0.35">
      <c r="A72" s="9" t="s">
        <v>454</v>
      </c>
      <c r="C72" s="26">
        <f>H43-'BIAYA BERSAMA'!$F$91</f>
        <v>0</v>
      </c>
      <c r="D72" s="5" t="str">
        <f>IF(ISERROR(C72),"GAGAL",IF(ABS(C72)&lt;=0.01,"LULUS","GAGAL"))</f>
        <v>LULUS</v>
      </c>
    </row>
    <row r="73" spans="1:12" x14ac:dyDescent="0.35">
      <c r="A73" s="9" t="s">
        <v>455</v>
      </c>
      <c r="C73" s="26">
        <f>I43-'BIAYA BERSAMA'!$F$93</f>
        <v>0</v>
      </c>
      <c r="D73" s="5" t="str">
        <f>IF(ISERROR(C73),"GAGAL",IF(ABS(C73)&lt;=0.01,"LULUS","GAGAL"))</f>
        <v>LULUS</v>
      </c>
    </row>
    <row r="74" spans="1:12" x14ac:dyDescent="0.35">
      <c r="A74" s="9" t="s">
        <v>456</v>
      </c>
      <c r="C74" s="26">
        <f>E68+F68-('BIAYA BERSAMA'!$F$121-'BIAYA BERSAMA'!$F$116)</f>
        <v>0</v>
      </c>
      <c r="D74" s="5" t="str">
        <f>IF(ISERROR(C74),"GAGAL",IF(ABS(C74)&lt;=1,"LULUS","GAGAL"))</f>
        <v>LULUS</v>
      </c>
    </row>
    <row r="75" spans="1:12" x14ac:dyDescent="0.35">
      <c r="A75" s="9" t="s">
        <v>196</v>
      </c>
      <c r="C75" s="26">
        <f>SUMPRODUCT(--ISERROR(A9:L70))</f>
        <v>0</v>
      </c>
      <c r="D75" s="5" t="str">
        <f>IF(ISERROR(C75),"GAGAL",IF(ABS(C75)&lt;=0.5,"LULUS","GAGAL"))</f>
        <v>LULUS</v>
      </c>
    </row>
    <row r="77" spans="1:12" x14ac:dyDescent="0.35">
      <c r="A77" s="3" t="s">
        <v>457</v>
      </c>
    </row>
  </sheetData>
  <dataValidations count="1">
    <dataValidation type="list" sqref="C5" xr:uid="{00000000-0002-0000-0400-000000000000}">
      <formula1>"Sep-26,Okt-26,Nov-26,Des-26,Jan-27,Feb-27,Mar-27,Apr-27,Mei-27,Jun-27,Jul-27,Agu-27,Sep-27,Okt-27,Nov-27,Des-27"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13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2" width="44" customWidth="1"/>
    <col min="3" max="8" width="17" customWidth="1"/>
    <col min="9" max="9" width="14" customWidth="1"/>
  </cols>
  <sheetData>
    <row r="1" spans="1:9" ht="16.5" x14ac:dyDescent="0.35">
      <c r="A1" s="2" t="s">
        <v>458</v>
      </c>
    </row>
    <row r="2" spans="1:9" x14ac:dyDescent="0.35">
      <c r="A2" s="3" t="s">
        <v>459</v>
      </c>
    </row>
    <row r="3" spans="1:9" x14ac:dyDescent="0.35">
      <c r="A3" s="3" t="s">
        <v>41</v>
      </c>
    </row>
    <row r="5" spans="1:9" x14ac:dyDescent="0.35">
      <c r="A5" s="6" t="s">
        <v>460</v>
      </c>
      <c r="B5" s="7"/>
      <c r="C5" s="7"/>
      <c r="D5" s="7"/>
      <c r="E5" s="7"/>
      <c r="F5" s="7"/>
      <c r="G5" s="7"/>
      <c r="H5" s="7"/>
      <c r="I5" s="7"/>
    </row>
    <row r="6" spans="1:9" ht="24" customHeight="1" x14ac:dyDescent="0.35">
      <c r="A6" s="8" t="s">
        <v>461</v>
      </c>
      <c r="B6" s="8" t="s">
        <v>462</v>
      </c>
      <c r="C6" s="8" t="s">
        <v>463</v>
      </c>
      <c r="D6" s="8" t="s">
        <v>464</v>
      </c>
      <c r="E6" s="8" t="s">
        <v>465</v>
      </c>
      <c r="F6" s="8" t="s">
        <v>200</v>
      </c>
    </row>
    <row r="7" spans="1:9" x14ac:dyDescent="0.35">
      <c r="A7" s="9" t="s">
        <v>466</v>
      </c>
      <c r="B7" s="9" t="s">
        <v>467</v>
      </c>
      <c r="C7" s="37">
        <v>961759797</v>
      </c>
      <c r="D7" s="9" t="s">
        <v>468</v>
      </c>
      <c r="E7" s="9" t="s">
        <v>469</v>
      </c>
      <c r="F7" s="9" t="s">
        <v>470</v>
      </c>
    </row>
    <row r="8" spans="1:9" x14ac:dyDescent="0.35">
      <c r="A8" s="9" t="s">
        <v>471</v>
      </c>
      <c r="B8" s="9" t="s">
        <v>472</v>
      </c>
      <c r="C8" s="37">
        <v>63137128</v>
      </c>
      <c r="D8" s="9" t="s">
        <v>468</v>
      </c>
      <c r="E8" s="9" t="s">
        <v>473</v>
      </c>
      <c r="F8" s="9" t="s">
        <v>470</v>
      </c>
    </row>
    <row r="9" spans="1:9" x14ac:dyDescent="0.35">
      <c r="A9" s="9" t="s">
        <v>474</v>
      </c>
      <c r="B9" s="9" t="s">
        <v>475</v>
      </c>
      <c r="C9" s="37">
        <v>0</v>
      </c>
      <c r="D9" s="9" t="s">
        <v>476</v>
      </c>
      <c r="E9" s="9" t="s">
        <v>477</v>
      </c>
      <c r="F9" s="9" t="s">
        <v>470</v>
      </c>
    </row>
    <row r="10" spans="1:9" x14ac:dyDescent="0.35">
      <c r="A10" s="9" t="s">
        <v>478</v>
      </c>
      <c r="B10" s="9" t="s">
        <v>479</v>
      </c>
      <c r="C10" s="37">
        <v>128572648</v>
      </c>
      <c r="D10" s="9" t="s">
        <v>468</v>
      </c>
      <c r="E10" s="9" t="s">
        <v>480</v>
      </c>
      <c r="F10" s="9" t="s">
        <v>470</v>
      </c>
    </row>
    <row r="11" spans="1:9" x14ac:dyDescent="0.35">
      <c r="A11" s="9" t="s">
        <v>481</v>
      </c>
      <c r="B11" s="9" t="s">
        <v>482</v>
      </c>
      <c r="C11" s="37">
        <v>56566114</v>
      </c>
      <c r="D11" s="9" t="s">
        <v>483</v>
      </c>
      <c r="E11" s="9" t="s">
        <v>481</v>
      </c>
      <c r="F11" s="9" t="s">
        <v>470</v>
      </c>
    </row>
    <row r="12" spans="1:9" x14ac:dyDescent="0.35">
      <c r="A12" s="9" t="s">
        <v>484</v>
      </c>
      <c r="B12" s="9" t="s">
        <v>485</v>
      </c>
      <c r="C12" s="37">
        <v>79000</v>
      </c>
      <c r="D12" s="9" t="s">
        <v>483</v>
      </c>
      <c r="E12" s="9" t="s">
        <v>484</v>
      </c>
      <c r="F12" s="9" t="s">
        <v>470</v>
      </c>
    </row>
    <row r="13" spans="1:9" x14ac:dyDescent="0.35">
      <c r="A13" s="9" t="s">
        <v>486</v>
      </c>
      <c r="B13" s="9" t="s">
        <v>487</v>
      </c>
      <c r="C13" s="37">
        <v>0</v>
      </c>
      <c r="D13" s="9" t="s">
        <v>483</v>
      </c>
      <c r="E13" s="9" t="s">
        <v>486</v>
      </c>
      <c r="F13" s="9" t="s">
        <v>470</v>
      </c>
    </row>
    <row r="14" spans="1:9" x14ac:dyDescent="0.35">
      <c r="A14" s="9" t="s">
        <v>488</v>
      </c>
      <c r="B14" s="9" t="s">
        <v>489</v>
      </c>
      <c r="C14" s="37">
        <v>24213641</v>
      </c>
      <c r="D14" s="9" t="s">
        <v>490</v>
      </c>
      <c r="E14" s="9" t="s">
        <v>488</v>
      </c>
      <c r="F14" s="9" t="s">
        <v>470</v>
      </c>
    </row>
    <row r="15" spans="1:9" x14ac:dyDescent="0.35">
      <c r="A15" s="9" t="s">
        <v>491</v>
      </c>
      <c r="B15" s="9" t="s">
        <v>492</v>
      </c>
      <c r="C15" s="37">
        <v>103655346.40000001</v>
      </c>
      <c r="D15" s="9" t="s">
        <v>493</v>
      </c>
      <c r="E15" s="9" t="s">
        <v>491</v>
      </c>
      <c r="F15" s="9" t="s">
        <v>470</v>
      </c>
    </row>
    <row r="16" spans="1:9" x14ac:dyDescent="0.35">
      <c r="A16" s="9" t="s">
        <v>494</v>
      </c>
      <c r="B16" s="9" t="s">
        <v>495</v>
      </c>
      <c r="C16" s="37">
        <v>41591502</v>
      </c>
      <c r="D16" s="9" t="s">
        <v>490</v>
      </c>
      <c r="E16" s="9" t="s">
        <v>494</v>
      </c>
      <c r="F16" s="9" t="s">
        <v>470</v>
      </c>
    </row>
    <row r="17" spans="1:9" x14ac:dyDescent="0.35">
      <c r="A17" s="9" t="s">
        <v>496</v>
      </c>
      <c r="B17" s="9" t="s">
        <v>497</v>
      </c>
      <c r="C17" s="37">
        <v>4703135</v>
      </c>
      <c r="D17" s="9" t="s">
        <v>490</v>
      </c>
      <c r="E17" s="9" t="s">
        <v>496</v>
      </c>
      <c r="F17" s="9" t="s">
        <v>470</v>
      </c>
    </row>
    <row r="18" spans="1:9" x14ac:dyDescent="0.35">
      <c r="A18" s="9" t="s">
        <v>498</v>
      </c>
      <c r="B18" s="9" t="s">
        <v>499</v>
      </c>
      <c r="C18" s="37">
        <v>16700889.01</v>
      </c>
      <c r="D18" s="9" t="s">
        <v>493</v>
      </c>
      <c r="E18" s="9" t="s">
        <v>498</v>
      </c>
      <c r="F18" s="9" t="s">
        <v>470</v>
      </c>
    </row>
    <row r="19" spans="1:9" x14ac:dyDescent="0.35">
      <c r="A19" s="9" t="s">
        <v>500</v>
      </c>
      <c r="B19" s="9" t="s">
        <v>501</v>
      </c>
      <c r="C19" s="37">
        <v>137626886.69</v>
      </c>
      <c r="D19" s="9" t="s">
        <v>493</v>
      </c>
      <c r="E19" s="9" t="s">
        <v>498</v>
      </c>
      <c r="F19" s="9" t="s">
        <v>470</v>
      </c>
    </row>
    <row r="20" spans="1:9" x14ac:dyDescent="0.35">
      <c r="A20" s="9" t="s">
        <v>502</v>
      </c>
      <c r="B20" s="9" t="s">
        <v>503</v>
      </c>
      <c r="C20" s="37">
        <v>12505355.35</v>
      </c>
      <c r="D20" s="9" t="s">
        <v>490</v>
      </c>
      <c r="E20" s="9" t="s">
        <v>502</v>
      </c>
      <c r="F20" s="9" t="s">
        <v>470</v>
      </c>
    </row>
    <row r="21" spans="1:9" x14ac:dyDescent="0.35">
      <c r="A21" s="9" t="s">
        <v>504</v>
      </c>
      <c r="B21" s="9" t="s">
        <v>505</v>
      </c>
      <c r="C21" s="37">
        <v>41008045.640000001</v>
      </c>
      <c r="D21" s="9" t="s">
        <v>490</v>
      </c>
      <c r="E21" s="9" t="s">
        <v>506</v>
      </c>
      <c r="F21" s="9" t="s">
        <v>470</v>
      </c>
    </row>
    <row r="22" spans="1:9" x14ac:dyDescent="0.35">
      <c r="A22" s="9" t="s">
        <v>507</v>
      </c>
      <c r="B22" s="9" t="s">
        <v>508</v>
      </c>
      <c r="C22" s="37">
        <v>14533270.83</v>
      </c>
      <c r="D22" s="9" t="s">
        <v>490</v>
      </c>
      <c r="E22" s="9" t="s">
        <v>506</v>
      </c>
      <c r="F22" s="9" t="s">
        <v>470</v>
      </c>
    </row>
    <row r="23" spans="1:9" x14ac:dyDescent="0.35">
      <c r="A23" s="25"/>
      <c r="B23" s="20" t="s">
        <v>509</v>
      </c>
      <c r="C23" s="22">
        <f>SUM(C7:C22)</f>
        <v>1606652758.9200001</v>
      </c>
      <c r="D23" s="25"/>
      <c r="E23" s="25"/>
      <c r="F23" s="25"/>
    </row>
    <row r="24" spans="1:9" x14ac:dyDescent="0.35">
      <c r="B24" s="3" t="s">
        <v>510</v>
      </c>
      <c r="C24" s="37">
        <v>1606652758.9200001</v>
      </c>
      <c r="F24" s="9" t="s">
        <v>511</v>
      </c>
    </row>
    <row r="26" spans="1:9" x14ac:dyDescent="0.35">
      <c r="A26" s="6" t="s">
        <v>512</v>
      </c>
      <c r="B26" s="7"/>
      <c r="C26" s="7"/>
      <c r="D26" s="7"/>
      <c r="E26" s="7"/>
      <c r="F26" s="7"/>
      <c r="G26" s="7"/>
      <c r="H26" s="7"/>
      <c r="I26" s="7"/>
    </row>
    <row r="27" spans="1:9" ht="24" customHeight="1" x14ac:dyDescent="0.35">
      <c r="A27" s="8" t="s">
        <v>513</v>
      </c>
      <c r="B27" s="8" t="s">
        <v>514</v>
      </c>
      <c r="C27" s="8" t="s">
        <v>463</v>
      </c>
      <c r="D27" s="8" t="s">
        <v>464</v>
      </c>
      <c r="E27" s="8" t="s">
        <v>200</v>
      </c>
    </row>
    <row r="28" spans="1:9" x14ac:dyDescent="0.35">
      <c r="A28" s="9" t="s">
        <v>515</v>
      </c>
      <c r="B28" s="9" t="s">
        <v>516</v>
      </c>
      <c r="C28" s="37">
        <v>511029300</v>
      </c>
      <c r="D28" s="9" t="s">
        <v>476</v>
      </c>
      <c r="E28" s="9" t="s">
        <v>517</v>
      </c>
    </row>
    <row r="29" spans="1:9" x14ac:dyDescent="0.35">
      <c r="A29" s="9" t="s">
        <v>515</v>
      </c>
      <c r="B29" s="9" t="s">
        <v>518</v>
      </c>
      <c r="C29" s="37">
        <v>0</v>
      </c>
      <c r="D29" s="9" t="s">
        <v>476</v>
      </c>
      <c r="E29" s="9" t="s">
        <v>519</v>
      </c>
    </row>
    <row r="30" spans="1:9" x14ac:dyDescent="0.35">
      <c r="A30" s="9" t="s">
        <v>515</v>
      </c>
      <c r="B30" s="9" t="s">
        <v>520</v>
      </c>
      <c r="C30" s="37">
        <v>0</v>
      </c>
      <c r="D30" s="9" t="s">
        <v>476</v>
      </c>
      <c r="E30" s="9" t="s">
        <v>521</v>
      </c>
    </row>
    <row r="31" spans="1:9" x14ac:dyDescent="0.35">
      <c r="A31" s="9" t="s">
        <v>522</v>
      </c>
      <c r="B31" s="9" t="s">
        <v>523</v>
      </c>
      <c r="C31" s="37">
        <v>60505300</v>
      </c>
      <c r="D31" s="9" t="s">
        <v>524</v>
      </c>
      <c r="E31" s="9" t="s">
        <v>525</v>
      </c>
    </row>
    <row r="32" spans="1:9" x14ac:dyDescent="0.35">
      <c r="A32" s="9" t="s">
        <v>522</v>
      </c>
      <c r="B32" s="9" t="s">
        <v>526</v>
      </c>
      <c r="C32" s="37">
        <v>0</v>
      </c>
      <c r="D32" s="9" t="s">
        <v>524</v>
      </c>
      <c r="E32" s="9" t="s">
        <v>527</v>
      </c>
    </row>
    <row r="33" spans="1:6" x14ac:dyDescent="0.35">
      <c r="A33" s="9" t="s">
        <v>522</v>
      </c>
      <c r="B33" s="9" t="s">
        <v>528</v>
      </c>
      <c r="C33" s="37">
        <v>0</v>
      </c>
      <c r="D33" s="9" t="s">
        <v>524</v>
      </c>
      <c r="E33" s="9" t="s">
        <v>529</v>
      </c>
    </row>
    <row r="34" spans="1:6" x14ac:dyDescent="0.35">
      <c r="A34" s="9" t="s">
        <v>522</v>
      </c>
      <c r="B34" s="9" t="s">
        <v>530</v>
      </c>
      <c r="C34" s="37">
        <v>35012300</v>
      </c>
      <c r="D34" s="9" t="s">
        <v>524</v>
      </c>
      <c r="E34" s="9" t="s">
        <v>531</v>
      </c>
    </row>
    <row r="35" spans="1:6" x14ac:dyDescent="0.35">
      <c r="A35" s="9" t="s">
        <v>522</v>
      </c>
      <c r="B35" s="9" t="s">
        <v>532</v>
      </c>
      <c r="C35" s="37">
        <v>2829600</v>
      </c>
      <c r="D35" s="9" t="s">
        <v>524</v>
      </c>
      <c r="E35" s="9" t="s">
        <v>533</v>
      </c>
    </row>
    <row r="36" spans="1:6" x14ac:dyDescent="0.35">
      <c r="A36" s="9" t="s">
        <v>522</v>
      </c>
      <c r="B36" s="9" t="s">
        <v>534</v>
      </c>
      <c r="C36" s="37">
        <v>15710000</v>
      </c>
      <c r="D36" s="9" t="s">
        <v>524</v>
      </c>
      <c r="E36" s="9" t="s">
        <v>535</v>
      </c>
    </row>
    <row r="37" spans="1:6" x14ac:dyDescent="0.35">
      <c r="A37" s="9" t="s">
        <v>522</v>
      </c>
      <c r="B37" s="9" t="s">
        <v>536</v>
      </c>
      <c r="C37" s="37">
        <v>39263300</v>
      </c>
      <c r="D37" s="9" t="s">
        <v>524</v>
      </c>
      <c r="E37" s="9" t="s">
        <v>537</v>
      </c>
    </row>
    <row r="38" spans="1:6" x14ac:dyDescent="0.35">
      <c r="A38" s="9" t="s">
        <v>522</v>
      </c>
      <c r="B38" s="9" t="s">
        <v>538</v>
      </c>
      <c r="C38" s="37">
        <v>0</v>
      </c>
      <c r="D38" s="9" t="s">
        <v>524</v>
      </c>
      <c r="E38" s="9" t="s">
        <v>539</v>
      </c>
    </row>
    <row r="39" spans="1:6" x14ac:dyDescent="0.35">
      <c r="A39" s="9" t="s">
        <v>540</v>
      </c>
      <c r="B39" s="9" t="s">
        <v>541</v>
      </c>
      <c r="C39" s="37">
        <v>110021625</v>
      </c>
      <c r="D39" s="9" t="s">
        <v>542</v>
      </c>
      <c r="E39" s="9" t="s">
        <v>543</v>
      </c>
    </row>
    <row r="40" spans="1:6" x14ac:dyDescent="0.35">
      <c r="A40" s="9" t="s">
        <v>540</v>
      </c>
      <c r="B40" s="9" t="s">
        <v>544</v>
      </c>
      <c r="C40" s="37">
        <v>0</v>
      </c>
      <c r="D40" s="9" t="s">
        <v>542</v>
      </c>
      <c r="E40" s="9" t="s">
        <v>545</v>
      </c>
    </row>
    <row r="41" spans="1:6" x14ac:dyDescent="0.35">
      <c r="A41" s="9" t="s">
        <v>546</v>
      </c>
      <c r="B41" s="9" t="s">
        <v>547</v>
      </c>
      <c r="C41" s="37">
        <v>165813709</v>
      </c>
      <c r="D41" s="9" t="s">
        <v>524</v>
      </c>
      <c r="E41" s="9" t="s">
        <v>548</v>
      </c>
    </row>
    <row r="42" spans="1:6" x14ac:dyDescent="0.35">
      <c r="A42" s="25"/>
      <c r="B42" s="20" t="s">
        <v>549</v>
      </c>
      <c r="C42" s="22">
        <f>SUM(C28:C41)</f>
        <v>940185134</v>
      </c>
      <c r="D42" s="25"/>
      <c r="E42" s="25"/>
    </row>
    <row r="43" spans="1:6" x14ac:dyDescent="0.35">
      <c r="B43" s="9" t="s">
        <v>550</v>
      </c>
      <c r="C43" s="19">
        <f>$C$7</f>
        <v>961759797</v>
      </c>
    </row>
    <row r="44" spans="1:6" x14ac:dyDescent="0.35">
      <c r="B44" s="4" t="s">
        <v>551</v>
      </c>
      <c r="C44" s="38">
        <f>C43-C42</f>
        <v>21574663</v>
      </c>
    </row>
    <row r="46" spans="1:6" x14ac:dyDescent="0.35">
      <c r="A46" s="4" t="s">
        <v>552</v>
      </c>
      <c r="C46" s="39">
        <v>0</v>
      </c>
      <c r="E46" s="9" t="s">
        <v>553</v>
      </c>
    </row>
    <row r="47" spans="1:6" ht="24" customHeight="1" x14ac:dyDescent="0.35">
      <c r="A47" s="8" t="s">
        <v>554</v>
      </c>
      <c r="B47" s="8"/>
      <c r="C47" s="8" t="s">
        <v>555</v>
      </c>
      <c r="D47" s="8" t="s">
        <v>556</v>
      </c>
      <c r="E47" s="8" t="s">
        <v>557</v>
      </c>
      <c r="F47" s="8" t="s">
        <v>558</v>
      </c>
    </row>
    <row r="48" spans="1:6" x14ac:dyDescent="0.35">
      <c r="A48" s="9" t="s">
        <v>515</v>
      </c>
      <c r="C48" s="19">
        <f>SUM(C28:C30)</f>
        <v>511029300</v>
      </c>
      <c r="D48" s="23">
        <f>IF($C$52=0,0,C48/$C$52)</f>
        <v>0.61557668394215093</v>
      </c>
      <c r="E48" s="19">
        <f>D48*$C$8</f>
        <v>38865743.887871131</v>
      </c>
      <c r="F48" s="19">
        <f>D48*$C$10</f>
        <v>79146324.301501423</v>
      </c>
    </row>
    <row r="49" spans="1:9" x14ac:dyDescent="0.35">
      <c r="A49" s="9" t="s">
        <v>522</v>
      </c>
      <c r="C49" s="19">
        <f>SUM(C31:C38)</f>
        <v>153320500</v>
      </c>
      <c r="D49" s="23">
        <f>IF($C$52=0,0,C49/$C$52)</f>
        <v>0.18468711083758321</v>
      </c>
      <c r="E49" s="19">
        <f>D49*$C$8</f>
        <v>11660613.756902678</v>
      </c>
      <c r="F49" s="19">
        <f>D49*$C$10</f>
        <v>23745710.891857572</v>
      </c>
    </row>
    <row r="50" spans="1:9" x14ac:dyDescent="0.35">
      <c r="A50" s="9" t="s">
        <v>546</v>
      </c>
      <c r="C50" s="19">
        <f>C41</f>
        <v>165813709</v>
      </c>
      <c r="D50" s="23">
        <f>IF($C$52=0,0,C50/$C$52)</f>
        <v>0.19973620522026583</v>
      </c>
      <c r="E50" s="19">
        <f>D50*$C$8</f>
        <v>12610770.355226193</v>
      </c>
      <c r="F50" s="19">
        <f>D50*$C$10</f>
        <v>25680612.806641001</v>
      </c>
    </row>
    <row r="51" spans="1:9" x14ac:dyDescent="0.35">
      <c r="A51" s="9" t="s">
        <v>540</v>
      </c>
      <c r="C51" s="19">
        <f>SUM(C39:C40)*$C$46</f>
        <v>0</v>
      </c>
      <c r="D51" s="23">
        <f>IF($C$52=0,0,C51/$C$52)</f>
        <v>0</v>
      </c>
      <c r="E51" s="19">
        <f>D51*$C$8</f>
        <v>0</v>
      </c>
      <c r="F51" s="19">
        <f>D51*$C$10</f>
        <v>0</v>
      </c>
    </row>
    <row r="52" spans="1:9" x14ac:dyDescent="0.35">
      <c r="A52" s="20" t="s">
        <v>7</v>
      </c>
      <c r="B52" s="25"/>
      <c r="C52" s="22">
        <f>SUM(C48:C51)</f>
        <v>830163509</v>
      </c>
      <c r="D52" s="40">
        <f>SUM(D48:D51)</f>
        <v>1</v>
      </c>
      <c r="E52" s="22">
        <f>SUM(E48:E51)</f>
        <v>63137128</v>
      </c>
      <c r="F52" s="22">
        <f>SUM(F48:F51)</f>
        <v>128572647.99999999</v>
      </c>
    </row>
    <row r="54" spans="1:9" x14ac:dyDescent="0.35">
      <c r="A54" s="6" t="s">
        <v>559</v>
      </c>
      <c r="B54" s="7"/>
      <c r="C54" s="7"/>
      <c r="D54" s="7"/>
      <c r="E54" s="7"/>
      <c r="F54" s="7"/>
      <c r="G54" s="7"/>
      <c r="H54" s="7"/>
      <c r="I54" s="7"/>
    </row>
    <row r="55" spans="1:9" ht="24" customHeight="1" x14ac:dyDescent="0.35">
      <c r="A55" s="8" t="s">
        <v>464</v>
      </c>
      <c r="B55" s="8" t="s">
        <v>47</v>
      </c>
      <c r="C55" s="8" t="s">
        <v>463</v>
      </c>
      <c r="D55" s="8" t="s">
        <v>560</v>
      </c>
      <c r="E55" s="8" t="s">
        <v>561</v>
      </c>
    </row>
    <row r="56" spans="1:9" x14ac:dyDescent="0.35">
      <c r="A56" s="9" t="s">
        <v>562</v>
      </c>
      <c r="B56" s="9" t="s">
        <v>563</v>
      </c>
      <c r="C56" s="19">
        <f>SUM(C28:C30)</f>
        <v>511029300</v>
      </c>
      <c r="D56" s="9" t="s">
        <v>564</v>
      </c>
      <c r="E56" s="9" t="s">
        <v>218</v>
      </c>
    </row>
    <row r="57" spans="1:9" x14ac:dyDescent="0.35">
      <c r="A57" s="9" t="s">
        <v>562</v>
      </c>
      <c r="B57" s="9" t="s">
        <v>565</v>
      </c>
      <c r="C57" s="19">
        <f>E48</f>
        <v>38865743.887871131</v>
      </c>
      <c r="D57" s="9" t="s">
        <v>566</v>
      </c>
      <c r="E57" s="9" t="s">
        <v>218</v>
      </c>
    </row>
    <row r="58" spans="1:9" x14ac:dyDescent="0.35">
      <c r="A58" s="9" t="s">
        <v>562</v>
      </c>
      <c r="B58" s="9" t="s">
        <v>567</v>
      </c>
      <c r="C58" s="19">
        <f>F48</f>
        <v>79146324.301501423</v>
      </c>
      <c r="D58" s="9" t="s">
        <v>566</v>
      </c>
      <c r="E58" s="9" t="s">
        <v>218</v>
      </c>
    </row>
    <row r="59" spans="1:9" x14ac:dyDescent="0.35">
      <c r="A59" s="9" t="s">
        <v>562</v>
      </c>
      <c r="B59" s="9" t="s">
        <v>568</v>
      </c>
      <c r="C59" s="19">
        <f>$C$9</f>
        <v>0</v>
      </c>
      <c r="D59" s="9" t="s">
        <v>566</v>
      </c>
      <c r="E59" s="9" t="s">
        <v>218</v>
      </c>
    </row>
    <row r="60" spans="1:9" x14ac:dyDescent="0.35">
      <c r="A60" s="9" t="s">
        <v>562</v>
      </c>
      <c r="B60" s="9" t="s">
        <v>569</v>
      </c>
      <c r="C60" s="19">
        <f>C44</f>
        <v>21574663</v>
      </c>
      <c r="D60" s="9" t="s">
        <v>564</v>
      </c>
      <c r="E60" s="9" t="s">
        <v>218</v>
      </c>
    </row>
    <row r="61" spans="1:9" x14ac:dyDescent="0.35">
      <c r="A61" s="9" t="s">
        <v>542</v>
      </c>
      <c r="B61" s="9" t="s">
        <v>570</v>
      </c>
      <c r="C61" s="19">
        <f>SUM(C39:C40)</f>
        <v>110021625</v>
      </c>
      <c r="D61" s="9" t="s">
        <v>571</v>
      </c>
      <c r="E61" s="9" t="s">
        <v>572</v>
      </c>
    </row>
    <row r="62" spans="1:9" x14ac:dyDescent="0.35">
      <c r="A62" s="9" t="s">
        <v>542</v>
      </c>
      <c r="B62" s="9" t="s">
        <v>573</v>
      </c>
      <c r="C62" s="19">
        <f>E51+F51</f>
        <v>0</v>
      </c>
      <c r="D62" s="9" t="s">
        <v>566</v>
      </c>
      <c r="E62" s="9" t="s">
        <v>572</v>
      </c>
    </row>
    <row r="63" spans="1:9" x14ac:dyDescent="0.35">
      <c r="A63" s="9" t="s">
        <v>574</v>
      </c>
      <c r="B63" s="9" t="s">
        <v>575</v>
      </c>
      <c r="C63" s="19">
        <f>SUM(C31:C38)</f>
        <v>153320500</v>
      </c>
      <c r="D63" s="9" t="s">
        <v>564</v>
      </c>
      <c r="E63" s="9" t="s">
        <v>218</v>
      </c>
    </row>
    <row r="64" spans="1:9" x14ac:dyDescent="0.35">
      <c r="A64" s="9" t="s">
        <v>574</v>
      </c>
      <c r="B64" s="9" t="s">
        <v>576</v>
      </c>
      <c r="C64" s="19">
        <f>C41</f>
        <v>165813709</v>
      </c>
      <c r="D64" s="9" t="s">
        <v>566</v>
      </c>
      <c r="E64" s="9" t="s">
        <v>218</v>
      </c>
    </row>
    <row r="65" spans="1:5" x14ac:dyDescent="0.35">
      <c r="A65" s="9" t="s">
        <v>574</v>
      </c>
      <c r="B65" s="9" t="s">
        <v>577</v>
      </c>
      <c r="C65" s="19">
        <f>E49+E50</f>
        <v>24271384.112128869</v>
      </c>
      <c r="D65" s="9" t="s">
        <v>566</v>
      </c>
      <c r="E65" s="9" t="s">
        <v>218</v>
      </c>
    </row>
    <row r="66" spans="1:5" x14ac:dyDescent="0.35">
      <c r="A66" s="9" t="s">
        <v>574</v>
      </c>
      <c r="B66" s="9" t="s">
        <v>578</v>
      </c>
      <c r="C66" s="19">
        <f>F49+F50</f>
        <v>49426323.698498577</v>
      </c>
      <c r="D66" s="9" t="s">
        <v>566</v>
      </c>
      <c r="E66" s="9" t="s">
        <v>218</v>
      </c>
    </row>
    <row r="67" spans="1:5" x14ac:dyDescent="0.35">
      <c r="A67" s="9" t="s">
        <v>579</v>
      </c>
      <c r="B67" s="9" t="s">
        <v>580</v>
      </c>
      <c r="C67" s="19">
        <f>$C$11</f>
        <v>56566114</v>
      </c>
      <c r="D67" s="9" t="s">
        <v>571</v>
      </c>
      <c r="E67" s="9" t="s">
        <v>222</v>
      </c>
    </row>
    <row r="68" spans="1:5" x14ac:dyDescent="0.35">
      <c r="A68" s="9" t="s">
        <v>579</v>
      </c>
      <c r="B68" s="9" t="s">
        <v>581</v>
      </c>
      <c r="C68" s="19">
        <f>$C$12</f>
        <v>79000</v>
      </c>
      <c r="D68" s="9" t="s">
        <v>571</v>
      </c>
      <c r="E68" s="9" t="s">
        <v>222</v>
      </c>
    </row>
    <row r="69" spans="1:5" x14ac:dyDescent="0.35">
      <c r="A69" s="9" t="s">
        <v>579</v>
      </c>
      <c r="B69" s="9" t="s">
        <v>582</v>
      </c>
      <c r="C69" s="19">
        <f>$C$13</f>
        <v>0</v>
      </c>
      <c r="D69" s="9" t="s">
        <v>571</v>
      </c>
      <c r="E69" s="9" t="s">
        <v>222</v>
      </c>
    </row>
    <row r="70" spans="1:5" x14ac:dyDescent="0.35">
      <c r="A70" s="9" t="s">
        <v>583</v>
      </c>
      <c r="B70" s="9" t="s">
        <v>584</v>
      </c>
      <c r="C70" s="19">
        <f>$C$15</f>
        <v>103655346.40000001</v>
      </c>
      <c r="D70" s="9" t="s">
        <v>564</v>
      </c>
      <c r="E70" s="9" t="s">
        <v>222</v>
      </c>
    </row>
    <row r="71" spans="1:5" x14ac:dyDescent="0.35">
      <c r="A71" s="9" t="s">
        <v>583</v>
      </c>
      <c r="B71" s="9" t="s">
        <v>585</v>
      </c>
      <c r="C71" s="19">
        <f>$C$18</f>
        <v>16700889.01</v>
      </c>
      <c r="D71" s="9" t="s">
        <v>566</v>
      </c>
      <c r="E71" s="9" t="s">
        <v>222</v>
      </c>
    </row>
    <row r="72" spans="1:5" x14ac:dyDescent="0.35">
      <c r="A72" s="9" t="s">
        <v>583</v>
      </c>
      <c r="B72" s="9" t="s">
        <v>586</v>
      </c>
      <c r="C72" s="19">
        <f>$C$19</f>
        <v>137626886.69</v>
      </c>
      <c r="D72" s="9" t="s">
        <v>566</v>
      </c>
      <c r="E72" s="9" t="s">
        <v>222</v>
      </c>
    </row>
    <row r="73" spans="1:5" x14ac:dyDescent="0.35">
      <c r="A73" s="9" t="s">
        <v>587</v>
      </c>
      <c r="B73" s="9" t="s">
        <v>588</v>
      </c>
      <c r="C73" s="19">
        <f>$C$14</f>
        <v>24213641</v>
      </c>
      <c r="D73" s="9" t="s">
        <v>566</v>
      </c>
      <c r="E73" s="9" t="s">
        <v>589</v>
      </c>
    </row>
    <row r="74" spans="1:5" x14ac:dyDescent="0.35">
      <c r="A74" s="9" t="s">
        <v>587</v>
      </c>
      <c r="B74" s="9" t="s">
        <v>590</v>
      </c>
      <c r="C74" s="19">
        <f>$C$16</f>
        <v>41591502</v>
      </c>
      <c r="D74" s="9" t="s">
        <v>566</v>
      </c>
      <c r="E74" s="9" t="s">
        <v>589</v>
      </c>
    </row>
    <row r="75" spans="1:5" x14ac:dyDescent="0.35">
      <c r="A75" s="9" t="s">
        <v>587</v>
      </c>
      <c r="B75" s="9" t="s">
        <v>591</v>
      </c>
      <c r="C75" s="19">
        <f>$C$17</f>
        <v>4703135</v>
      </c>
      <c r="D75" s="9" t="s">
        <v>566</v>
      </c>
      <c r="E75" s="9" t="s">
        <v>589</v>
      </c>
    </row>
    <row r="76" spans="1:5" x14ac:dyDescent="0.35">
      <c r="A76" s="9" t="s">
        <v>587</v>
      </c>
      <c r="B76" s="9" t="s">
        <v>592</v>
      </c>
      <c r="C76" s="19">
        <f>$C$20</f>
        <v>12505355.35</v>
      </c>
      <c r="D76" s="9" t="s">
        <v>571</v>
      </c>
      <c r="E76" s="9" t="s">
        <v>589</v>
      </c>
    </row>
    <row r="77" spans="1:5" x14ac:dyDescent="0.35">
      <c r="A77" s="9" t="s">
        <v>587</v>
      </c>
      <c r="B77" s="9" t="s">
        <v>593</v>
      </c>
      <c r="C77" s="19">
        <f>$C$21</f>
        <v>41008045.640000001</v>
      </c>
      <c r="D77" s="9" t="s">
        <v>566</v>
      </c>
      <c r="E77" s="9" t="s">
        <v>589</v>
      </c>
    </row>
    <row r="78" spans="1:5" x14ac:dyDescent="0.35">
      <c r="A78" s="9" t="s">
        <v>587</v>
      </c>
      <c r="B78" s="9" t="s">
        <v>594</v>
      </c>
      <c r="C78" s="19">
        <f>$C$22</f>
        <v>14533270.83</v>
      </c>
      <c r="D78" s="9" t="s">
        <v>566</v>
      </c>
      <c r="E78" s="9" t="s">
        <v>589</v>
      </c>
    </row>
    <row r="80" spans="1:5" x14ac:dyDescent="0.35">
      <c r="A80" s="4" t="s">
        <v>595</v>
      </c>
      <c r="D80" s="41" t="s">
        <v>566</v>
      </c>
      <c r="E80" s="41" t="s">
        <v>596</v>
      </c>
    </row>
    <row r="81" spans="1:9" x14ac:dyDescent="0.35">
      <c r="A81" s="9" t="s">
        <v>562</v>
      </c>
      <c r="C81" s="19">
        <f t="shared" ref="C81:C86" si="0">SUMIF($A$56:$A$78,A81,$C$56:$C$78)</f>
        <v>650616031.18937254</v>
      </c>
      <c r="D81" s="19">
        <f t="shared" ref="D81:D86" si="1">SUMIFS($C$56:$C$78,$A$56:$A$78,A81,$D$56:$D$78,"Tetap")</f>
        <v>118012068.18937255</v>
      </c>
      <c r="E81" s="19">
        <f t="shared" ref="E81:E86" si="2">C81-D81</f>
        <v>532603963</v>
      </c>
    </row>
    <row r="82" spans="1:9" x14ac:dyDescent="0.35">
      <c r="A82" s="9" t="s">
        <v>542</v>
      </c>
      <c r="C82" s="19">
        <f t="shared" si="0"/>
        <v>110021625</v>
      </c>
      <c r="D82" s="19">
        <f t="shared" si="1"/>
        <v>0</v>
      </c>
      <c r="E82" s="19">
        <f t="shared" si="2"/>
        <v>110021625</v>
      </c>
    </row>
    <row r="83" spans="1:9" x14ac:dyDescent="0.35">
      <c r="A83" s="9" t="s">
        <v>574</v>
      </c>
      <c r="C83" s="19">
        <f t="shared" si="0"/>
        <v>392831916.81062746</v>
      </c>
      <c r="D83" s="19">
        <f t="shared" si="1"/>
        <v>239511416.81062743</v>
      </c>
      <c r="E83" s="19">
        <f t="shared" si="2"/>
        <v>153320500.00000003</v>
      </c>
    </row>
    <row r="84" spans="1:9" x14ac:dyDescent="0.35">
      <c r="A84" s="9" t="s">
        <v>579</v>
      </c>
      <c r="C84" s="19">
        <f t="shared" si="0"/>
        <v>56645114</v>
      </c>
      <c r="D84" s="19">
        <f t="shared" si="1"/>
        <v>0</v>
      </c>
      <c r="E84" s="19">
        <f t="shared" si="2"/>
        <v>56645114</v>
      </c>
    </row>
    <row r="85" spans="1:9" x14ac:dyDescent="0.35">
      <c r="A85" s="9" t="s">
        <v>583</v>
      </c>
      <c r="C85" s="19">
        <f t="shared" si="0"/>
        <v>257983122.10000002</v>
      </c>
      <c r="D85" s="19">
        <f t="shared" si="1"/>
        <v>154327775.69999999</v>
      </c>
      <c r="E85" s="19">
        <f t="shared" si="2"/>
        <v>103655346.40000004</v>
      </c>
    </row>
    <row r="86" spans="1:9" x14ac:dyDescent="0.35">
      <c r="A86" s="9" t="s">
        <v>587</v>
      </c>
      <c r="C86" s="19">
        <f t="shared" si="0"/>
        <v>138554949.81999999</v>
      </c>
      <c r="D86" s="19">
        <f t="shared" si="1"/>
        <v>126049594.47</v>
      </c>
      <c r="E86" s="19">
        <f t="shared" si="2"/>
        <v>12505355.349999994</v>
      </c>
    </row>
    <row r="87" spans="1:9" x14ac:dyDescent="0.35">
      <c r="A87" s="20" t="s">
        <v>597</v>
      </c>
      <c r="B87" s="25"/>
      <c r="C87" s="22">
        <f>SUM(C81:C86)</f>
        <v>1606652758.9199998</v>
      </c>
      <c r="D87" s="22">
        <f>SUM(D81:D86)</f>
        <v>637900855.16999996</v>
      </c>
      <c r="E87" s="22">
        <f>SUM(E81:E86)</f>
        <v>968751903.75000012</v>
      </c>
    </row>
    <row r="89" spans="1:9" x14ac:dyDescent="0.35">
      <c r="A89" s="6" t="s">
        <v>598</v>
      </c>
      <c r="B89" s="7"/>
      <c r="C89" s="7"/>
      <c r="D89" s="7"/>
      <c r="E89" s="7"/>
      <c r="F89" s="7"/>
      <c r="G89" s="7"/>
      <c r="H89" s="7"/>
      <c r="I89" s="7"/>
    </row>
    <row r="90" spans="1:9" ht="24" customHeight="1" x14ac:dyDescent="0.35">
      <c r="A90" s="8" t="s">
        <v>599</v>
      </c>
      <c r="B90" s="8" t="s">
        <v>86</v>
      </c>
      <c r="C90" s="8" t="s">
        <v>3</v>
      </c>
      <c r="D90" s="8" t="s">
        <v>4</v>
      </c>
      <c r="E90" s="8" t="s">
        <v>5</v>
      </c>
      <c r="F90" s="8" t="s">
        <v>6</v>
      </c>
      <c r="G90" s="8" t="s">
        <v>7</v>
      </c>
      <c r="H90" s="8" t="s">
        <v>200</v>
      </c>
    </row>
    <row r="91" spans="1:9" x14ac:dyDescent="0.35">
      <c r="A91" s="9" t="s">
        <v>218</v>
      </c>
      <c r="B91" s="9" t="s">
        <v>219</v>
      </c>
      <c r="C91" s="12">
        <f>FCC!$C$198</f>
        <v>24745</v>
      </c>
      <c r="D91" s="12">
        <f>UU!$C$199</f>
        <v>2015</v>
      </c>
      <c r="E91" s="12">
        <f>UO!$C$200</f>
        <v>1071</v>
      </c>
      <c r="F91" s="12">
        <f>'LAIN-LAIN'!$H$43</f>
        <v>1191.3383050847458</v>
      </c>
      <c r="G91" s="18">
        <f>SUM(C91:F91)</f>
        <v>29022.338305084744</v>
      </c>
      <c r="H91" s="9" t="s">
        <v>600</v>
      </c>
    </row>
    <row r="92" spans="1:9" x14ac:dyDescent="0.35">
      <c r="A92" s="9" t="s">
        <v>572</v>
      </c>
      <c r="B92" s="9" t="s">
        <v>91</v>
      </c>
      <c r="C92" s="12">
        <f>FCC!$C$197</f>
        <v>409266</v>
      </c>
      <c r="D92" s="12">
        <f>UU!$C$198</f>
        <v>0</v>
      </c>
      <c r="E92" s="12">
        <f>UO!$C$199</f>
        <v>0</v>
      </c>
      <c r="F92" s="30">
        <v>0</v>
      </c>
      <c r="G92" s="18">
        <f>SUM(C92:F92)</f>
        <v>409266</v>
      </c>
      <c r="H92" s="9" t="s">
        <v>601</v>
      </c>
    </row>
    <row r="93" spans="1:9" x14ac:dyDescent="0.35">
      <c r="A93" s="9" t="s">
        <v>222</v>
      </c>
      <c r="B93" s="9" t="s">
        <v>222</v>
      </c>
      <c r="C93" s="12">
        <f>FCC!$C$199</f>
        <v>45475.807816</v>
      </c>
      <c r="D93" s="12">
        <f>UU!$C$200</f>
        <v>835.37102400000003</v>
      </c>
      <c r="E93" s="12">
        <f>UO!$C$201</f>
        <v>503.00853333333299</v>
      </c>
      <c r="F93" s="12">
        <f>'LAIN-LAIN'!$I$43</f>
        <v>4757.8126266666668</v>
      </c>
      <c r="G93" s="18">
        <f>SUM(C93:F93)</f>
        <v>51572</v>
      </c>
      <c r="H93" s="9" t="s">
        <v>602</v>
      </c>
    </row>
    <row r="94" spans="1:9" x14ac:dyDescent="0.35">
      <c r="A94" s="9" t="s">
        <v>589</v>
      </c>
      <c r="B94" s="9" t="s">
        <v>105</v>
      </c>
      <c r="C94" s="10">
        <f>FCC!$G$228</f>
        <v>5924226865.0902243</v>
      </c>
      <c r="D94" s="10">
        <f>UU!$G$218</f>
        <v>379686210.28103495</v>
      </c>
      <c r="E94" s="10">
        <f>UO!$G$219</f>
        <v>193246669.35876808</v>
      </c>
      <c r="F94" s="10">
        <f>'LAIN-LAIN'!$G$43</f>
        <v>12633600.350491568</v>
      </c>
      <c r="G94" s="19">
        <f>SUM(C94:F94)</f>
        <v>6509793345.0805197</v>
      </c>
      <c r="H94" s="9" t="s">
        <v>603</v>
      </c>
    </row>
    <row r="95" spans="1:9" x14ac:dyDescent="0.35">
      <c r="A95" s="9" t="s">
        <v>604</v>
      </c>
      <c r="B95" s="9" t="s">
        <v>91</v>
      </c>
      <c r="C95" s="12">
        <f>FCC!$B$30</f>
        <v>338754</v>
      </c>
      <c r="D95" s="12">
        <f>UU!$B$32</f>
        <v>13376</v>
      </c>
      <c r="E95" s="12">
        <f>UO!$B$32</f>
        <v>7403</v>
      </c>
      <c r="F95" s="30">
        <v>0</v>
      </c>
      <c r="G95" s="18">
        <f>SUM(C95:F95)</f>
        <v>359533</v>
      </c>
      <c r="H95" s="9" t="s">
        <v>605</v>
      </c>
    </row>
    <row r="96" spans="1:9" x14ac:dyDescent="0.35">
      <c r="A96" s="4" t="s">
        <v>556</v>
      </c>
    </row>
    <row r="97" spans="1:9" x14ac:dyDescent="0.35">
      <c r="A97" s="9" t="s">
        <v>606</v>
      </c>
      <c r="C97" s="23">
        <f>IF($G$91=0,0,C91/$G$91)</f>
        <v>0.85261910118609052</v>
      </c>
      <c r="D97" s="23">
        <f>IF($G$91=0,0,D91/$G$91)</f>
        <v>6.9429278193169228E-2</v>
      </c>
      <c r="E97" s="23">
        <f>IF($G$91=0,0,E91/$G$91)</f>
        <v>3.6902608905649746E-2</v>
      </c>
      <c r="F97" s="23">
        <f>IF($G$91=0,0,F91/$G$91)</f>
        <v>4.104901171509058E-2</v>
      </c>
      <c r="G97" s="23">
        <f>IF($G$91=0,0,G91/$G$91)</f>
        <v>1</v>
      </c>
    </row>
    <row r="98" spans="1:9" x14ac:dyDescent="0.35">
      <c r="A98" s="9" t="s">
        <v>607</v>
      </c>
      <c r="C98" s="23">
        <f>IF($G$92=0,0,C92/$G$92)</f>
        <v>1</v>
      </c>
      <c r="D98" s="23">
        <f>IF($G$92=0,0,D92/$G$92)</f>
        <v>0</v>
      </c>
      <c r="E98" s="23">
        <f>IF($G$92=0,0,E92/$G$92)</f>
        <v>0</v>
      </c>
      <c r="F98" s="23">
        <f>IF($G$92=0,0,F92/$G$92)</f>
        <v>0</v>
      </c>
      <c r="G98" s="23">
        <f>IF($G$92=0,0,G92/$G$92)</f>
        <v>1</v>
      </c>
    </row>
    <row r="99" spans="1:9" x14ac:dyDescent="0.35">
      <c r="A99" s="9" t="s">
        <v>608</v>
      </c>
      <c r="C99" s="23">
        <f>IF($G$93=0,0,C93/$G$93)</f>
        <v>0.88179259706817659</v>
      </c>
      <c r="D99" s="23">
        <f>IF($G$93=0,0,D93/$G$93)</f>
        <v>1.6198150624369814E-2</v>
      </c>
      <c r="E99" s="23">
        <f>IF($G$93=0,0,E93/$G$93)</f>
        <v>9.7535199979316874E-3</v>
      </c>
      <c r="F99" s="23">
        <f>IF($G$93=0,0,F93/$G$93)</f>
        <v>9.2255732309521971E-2</v>
      </c>
      <c r="G99" s="23">
        <f>IF($G$93=0,0,G93/$G$93)</f>
        <v>1</v>
      </c>
    </row>
    <row r="100" spans="1:9" x14ac:dyDescent="0.35">
      <c r="A100" s="9" t="s">
        <v>609</v>
      </c>
      <c r="C100" s="23">
        <f>IF($G$94=0,0,C94/$G$94)</f>
        <v>0.91004837650755677</v>
      </c>
      <c r="D100" s="23">
        <f>IF($G$94=0,0,D94/$G$94)</f>
        <v>5.8325386099693247E-2</v>
      </c>
      <c r="E100" s="23">
        <f>IF($G$94=0,0,E94/$G$94)</f>
        <v>2.9685530571382186E-2</v>
      </c>
      <c r="F100" s="23">
        <f>IF($G$94=0,0,F94/$G$94)</f>
        <v>1.9407068213676609E-3</v>
      </c>
      <c r="G100" s="23">
        <f>IF($G$94=0,0,G94/$G$94)</f>
        <v>1</v>
      </c>
    </row>
    <row r="101" spans="1:9" x14ac:dyDescent="0.35">
      <c r="A101" s="9" t="s">
        <v>610</v>
      </c>
      <c r="C101" s="23">
        <f>IF($G$95=0,0,C95/$G$95)</f>
        <v>0.94220558335396198</v>
      </c>
      <c r="D101" s="23">
        <f>IF($G$95=0,0,D95/$G$95)</f>
        <v>3.7203817173945088E-2</v>
      </c>
      <c r="E101" s="23">
        <f>IF($G$95=0,0,E95/$G$95)</f>
        <v>2.0590599472092967E-2</v>
      </c>
      <c r="F101" s="23">
        <f>IF($G$95=0,0,F95/$G$95)</f>
        <v>0</v>
      </c>
      <c r="G101" s="23">
        <f>IF($G$95=0,0,G95/$G$95)</f>
        <v>1</v>
      </c>
    </row>
    <row r="103" spans="1:9" x14ac:dyDescent="0.35">
      <c r="A103" s="6" t="s">
        <v>611</v>
      </c>
      <c r="B103" s="7"/>
      <c r="C103" s="7"/>
      <c r="D103" s="7"/>
      <c r="E103" s="7"/>
      <c r="F103" s="7"/>
      <c r="G103" s="7"/>
      <c r="H103" s="7"/>
      <c r="I103" s="7"/>
    </row>
    <row r="104" spans="1:9" ht="24" customHeight="1" x14ac:dyDescent="0.35">
      <c r="A104" s="8" t="s">
        <v>2</v>
      </c>
      <c r="B104" s="8" t="s">
        <v>86</v>
      </c>
      <c r="C104" s="8" t="s">
        <v>612</v>
      </c>
      <c r="D104" s="8"/>
      <c r="E104" s="8"/>
      <c r="F104" s="8"/>
      <c r="G104" s="8"/>
      <c r="H104" s="8" t="s">
        <v>200</v>
      </c>
    </row>
    <row r="105" spans="1:9" x14ac:dyDescent="0.35">
      <c r="A105" s="9" t="s">
        <v>613</v>
      </c>
      <c r="B105" s="9" t="s">
        <v>219</v>
      </c>
      <c r="C105" s="30">
        <v>32036.133333333401</v>
      </c>
      <c r="H105" s="9" t="s">
        <v>614</v>
      </c>
    </row>
    <row r="106" spans="1:9" x14ac:dyDescent="0.35">
      <c r="A106" s="9" t="s">
        <v>615</v>
      </c>
      <c r="B106" s="9" t="s">
        <v>219</v>
      </c>
      <c r="C106" s="18">
        <f>G91</f>
        <v>29022.338305084744</v>
      </c>
    </row>
    <row r="107" spans="1:9" x14ac:dyDescent="0.35">
      <c r="A107" s="9" t="s">
        <v>616</v>
      </c>
      <c r="B107" s="9" t="s">
        <v>219</v>
      </c>
      <c r="C107" s="18">
        <f>C105-C106</f>
        <v>3013.7950282486563</v>
      </c>
      <c r="D107" s="23">
        <f>IF(C105=0,0,C107/C105)</f>
        <v>9.4074868427171304E-2</v>
      </c>
    </row>
    <row r="108" spans="1:9" x14ac:dyDescent="0.35">
      <c r="A108" s="9" t="s">
        <v>617</v>
      </c>
      <c r="B108" s="9" t="s">
        <v>618</v>
      </c>
      <c r="C108" s="26">
        <f>IF(C105=0,0,$C$81/C105)</f>
        <v>20308.818933289011</v>
      </c>
    </row>
    <row r="109" spans="1:9" x14ac:dyDescent="0.35">
      <c r="A109" s="4" t="s">
        <v>619</v>
      </c>
      <c r="B109" s="9" t="s">
        <v>105</v>
      </c>
      <c r="C109" s="38">
        <f>C107*C108</f>
        <v>61206617.530748598</v>
      </c>
    </row>
    <row r="110" spans="1:9" x14ac:dyDescent="0.35">
      <c r="A110" s="4" t="s">
        <v>620</v>
      </c>
      <c r="C110" s="39">
        <v>0</v>
      </c>
      <c r="E110" s="9" t="s">
        <v>621</v>
      </c>
    </row>
    <row r="111" spans="1:9" x14ac:dyDescent="0.35">
      <c r="A111" s="4" t="s">
        <v>622</v>
      </c>
      <c r="C111" s="38">
        <f>C109*$C$110</f>
        <v>0</v>
      </c>
    </row>
    <row r="113" spans="1:9" x14ac:dyDescent="0.35">
      <c r="A113" s="6" t="s">
        <v>623</v>
      </c>
      <c r="B113" s="7"/>
      <c r="C113" s="7"/>
      <c r="D113" s="7"/>
      <c r="E113" s="7"/>
      <c r="F113" s="7"/>
      <c r="G113" s="7"/>
      <c r="H113" s="7"/>
      <c r="I113" s="7"/>
    </row>
    <row r="114" spans="1:9" ht="24" customHeight="1" x14ac:dyDescent="0.35">
      <c r="A114" s="8" t="s">
        <v>464</v>
      </c>
      <c r="B114" s="8" t="s">
        <v>599</v>
      </c>
      <c r="C114" s="8" t="s">
        <v>3</v>
      </c>
      <c r="D114" s="8" t="s">
        <v>4</v>
      </c>
      <c r="E114" s="8" t="s">
        <v>5</v>
      </c>
      <c r="F114" s="8" t="s">
        <v>6</v>
      </c>
      <c r="G114" s="8" t="s">
        <v>7</v>
      </c>
      <c r="H114" s="8" t="s">
        <v>624</v>
      </c>
      <c r="I114" s="8" t="s">
        <v>39</v>
      </c>
    </row>
    <row r="115" spans="1:9" x14ac:dyDescent="0.35">
      <c r="A115" s="9" t="s">
        <v>562</v>
      </c>
      <c r="B115" s="9" t="s">
        <v>218</v>
      </c>
      <c r="C115" s="19">
        <f>($C$81-$C$111)*C$97</f>
        <v>554727655.72994423</v>
      </c>
      <c r="D115" s="19">
        <f>($C$81-$C$111)*D$97</f>
        <v>45171801.426382616</v>
      </c>
      <c r="E115" s="19">
        <f>($C$81-$C$111)*E$97</f>
        <v>24009428.946727432</v>
      </c>
      <c r="F115" s="19">
        <f>($C$81-$C$111)*F$97</f>
        <v>26707145.086318292</v>
      </c>
      <c r="G115" s="19">
        <f t="shared" ref="G115:G120" si="3">SUM(C115:F115)</f>
        <v>650616031.18937254</v>
      </c>
      <c r="H115" s="19">
        <f>$C$81-$C$111</f>
        <v>650616031.18937254</v>
      </c>
      <c r="I115" s="19">
        <f t="shared" ref="I115:I120" si="4">G115-H115</f>
        <v>0</v>
      </c>
    </row>
    <row r="116" spans="1:9" x14ac:dyDescent="0.35">
      <c r="A116" s="9" t="s">
        <v>542</v>
      </c>
      <c r="B116" s="9" t="s">
        <v>572</v>
      </c>
      <c r="C116" s="19">
        <f>($C$82)*C$98</f>
        <v>110021625</v>
      </c>
      <c r="D116" s="19">
        <f>($C$82)*D$98</f>
        <v>0</v>
      </c>
      <c r="E116" s="19">
        <f>($C$82)*E$98</f>
        <v>0</v>
      </c>
      <c r="F116" s="19">
        <f>($C$82)*F$98</f>
        <v>0</v>
      </c>
      <c r="G116" s="19">
        <f t="shared" si="3"/>
        <v>110021625</v>
      </c>
      <c r="H116" s="19">
        <f>$C$82</f>
        <v>110021625</v>
      </c>
      <c r="I116" s="19">
        <f t="shared" si="4"/>
        <v>0</v>
      </c>
    </row>
    <row r="117" spans="1:9" x14ac:dyDescent="0.35">
      <c r="A117" s="9" t="s">
        <v>574</v>
      </c>
      <c r="B117" s="9" t="s">
        <v>218</v>
      </c>
      <c r="C117" s="19">
        <f>($C$83)*C$97</f>
        <v>334935995.82828629</v>
      </c>
      <c r="D117" s="19">
        <f>($C$83)*D$97</f>
        <v>27274036.435400967</v>
      </c>
      <c r="E117" s="19">
        <f>($C$83)*E$97</f>
        <v>14496522.591719322</v>
      </c>
      <c r="F117" s="19">
        <f>($C$83)*F$97</f>
        <v>16125361.955220934</v>
      </c>
      <c r="G117" s="19">
        <f t="shared" si="3"/>
        <v>392831916.81062752</v>
      </c>
      <c r="H117" s="19">
        <f>$C$83</f>
        <v>392831916.81062746</v>
      </c>
      <c r="I117" s="19">
        <f t="shared" si="4"/>
        <v>0</v>
      </c>
    </row>
    <row r="118" spans="1:9" x14ac:dyDescent="0.35">
      <c r="A118" s="9" t="s">
        <v>579</v>
      </c>
      <c r="B118" s="9" t="s">
        <v>222</v>
      </c>
      <c r="C118" s="19">
        <f>($C$84)*C$99</f>
        <v>49949242.185282931</v>
      </c>
      <c r="D118" s="19">
        <f>($C$84)*D$99</f>
        <v>917546.08870659932</v>
      </c>
      <c r="E118" s="19">
        <f>($C$84)*E$99</f>
        <v>552489.25218412024</v>
      </c>
      <c r="F118" s="19">
        <f>($C$84)*F$99</f>
        <v>5225836.4738263553</v>
      </c>
      <c r="G118" s="19">
        <f t="shared" si="3"/>
        <v>56645114.000000007</v>
      </c>
      <c r="H118" s="19">
        <f>$C$84</f>
        <v>56645114</v>
      </c>
      <c r="I118" s="19">
        <f t="shared" si="4"/>
        <v>0</v>
      </c>
    </row>
    <row r="119" spans="1:9" x14ac:dyDescent="0.35">
      <c r="A119" s="9" t="s">
        <v>583</v>
      </c>
      <c r="B119" s="9" t="s">
        <v>222</v>
      </c>
      <c r="C119" s="19">
        <f>($C$85)*C$99</f>
        <v>227487607.23631552</v>
      </c>
      <c r="D119" s="19">
        <f>($C$85)*D$99</f>
        <v>4178849.4703209894</v>
      </c>
      <c r="E119" s="19">
        <f>($C$85)*E$99</f>
        <v>2516243.5405312027</v>
      </c>
      <c r="F119" s="19">
        <f>($C$85)*F$99</f>
        <v>23800421.852832325</v>
      </c>
      <c r="G119" s="19">
        <f t="shared" si="3"/>
        <v>257983122.10000002</v>
      </c>
      <c r="H119" s="19">
        <f>$C$85</f>
        <v>257983122.10000002</v>
      </c>
      <c r="I119" s="19">
        <f t="shared" si="4"/>
        <v>0</v>
      </c>
    </row>
    <row r="120" spans="1:9" x14ac:dyDescent="0.35">
      <c r="A120" s="9" t="s">
        <v>587</v>
      </c>
      <c r="B120" s="9" t="s">
        <v>589</v>
      </c>
      <c r="C120" s="19">
        <f>($C$86)*C$100</f>
        <v>126091707.14077699</v>
      </c>
      <c r="D120" s="19">
        <f>($C$86)*D$100</f>
        <v>8081270.9442751231</v>
      </c>
      <c r="E120" s="19">
        <f>($C$86)*E$100</f>
        <v>4113077.1986979344</v>
      </c>
      <c r="F120" s="19">
        <f>($C$86)*F$100</f>
        <v>268894.53624992794</v>
      </c>
      <c r="G120" s="19">
        <f t="shared" si="3"/>
        <v>138554949.81999999</v>
      </c>
      <c r="H120" s="19">
        <f>$C$86</f>
        <v>138554949.81999999</v>
      </c>
      <c r="I120" s="19">
        <f t="shared" si="4"/>
        <v>0</v>
      </c>
    </row>
    <row r="121" spans="1:9" x14ac:dyDescent="0.35">
      <c r="A121" s="20" t="s">
        <v>7</v>
      </c>
      <c r="B121" s="25"/>
      <c r="C121" s="22">
        <f t="shared" ref="C121:I121" si="5">SUM(C115:C120)</f>
        <v>1403213833.1206059</v>
      </c>
      <c r="D121" s="22">
        <f t="shared" si="5"/>
        <v>85623504.365086287</v>
      </c>
      <c r="E121" s="22">
        <f t="shared" si="5"/>
        <v>45687761.529860012</v>
      </c>
      <c r="F121" s="22">
        <f t="shared" si="5"/>
        <v>72127659.904447824</v>
      </c>
      <c r="G121" s="22">
        <f t="shared" si="5"/>
        <v>1606652758.9199998</v>
      </c>
      <c r="H121" s="22">
        <f t="shared" si="5"/>
        <v>1606652758.9199998</v>
      </c>
      <c r="I121" s="22">
        <f t="shared" si="5"/>
        <v>0</v>
      </c>
    </row>
    <row r="123" spans="1:9" x14ac:dyDescent="0.35">
      <c r="A123" s="6" t="s">
        <v>625</v>
      </c>
      <c r="B123" s="7"/>
      <c r="C123" s="7"/>
      <c r="D123" s="7"/>
      <c r="E123" s="7"/>
      <c r="F123" s="7"/>
      <c r="G123" s="7"/>
      <c r="H123" s="7"/>
      <c r="I123" s="7"/>
    </row>
    <row r="124" spans="1:9" ht="24" customHeight="1" x14ac:dyDescent="0.35">
      <c r="A124" s="8" t="s">
        <v>464</v>
      </c>
      <c r="B124" s="8" t="s">
        <v>599</v>
      </c>
      <c r="C124" s="8" t="s">
        <v>3</v>
      </c>
      <c r="D124" s="8" t="s">
        <v>4</v>
      </c>
      <c r="E124" s="8" t="s">
        <v>5</v>
      </c>
      <c r="F124" s="8" t="s">
        <v>6</v>
      </c>
      <c r="G124" s="8" t="s">
        <v>7</v>
      </c>
      <c r="H124" s="8" t="s">
        <v>624</v>
      </c>
      <c r="I124" s="8" t="s">
        <v>39</v>
      </c>
    </row>
    <row r="125" spans="1:9" x14ac:dyDescent="0.35">
      <c r="A125" s="9" t="s">
        <v>562</v>
      </c>
      <c r="B125" s="9" t="s">
        <v>604</v>
      </c>
      <c r="C125" s="19">
        <f>($C$81-$C$111)*C$101</f>
        <v>613014057.2062223</v>
      </c>
      <c r="D125" s="19">
        <f>($C$81-$C$111)*D$101</f>
        <v>24205399.874807172</v>
      </c>
      <c r="E125" s="19">
        <f>($C$81-$C$111)*E$101</f>
        <v>13396574.108343115</v>
      </c>
      <c r="F125" s="19">
        <f>($C$81-$C$111)*F$101</f>
        <v>0</v>
      </c>
      <c r="G125" s="19">
        <f t="shared" ref="G125:G130" si="6">SUM(C125:F125)</f>
        <v>650616031.18937254</v>
      </c>
      <c r="H125" s="19">
        <f>$C$81-$C$111</f>
        <v>650616031.18937254</v>
      </c>
      <c r="I125" s="19">
        <f t="shared" ref="I125:I130" si="7">G125-H125</f>
        <v>0</v>
      </c>
    </row>
    <row r="126" spans="1:9" x14ac:dyDescent="0.35">
      <c r="A126" s="9" t="s">
        <v>542</v>
      </c>
      <c r="B126" s="9" t="s">
        <v>572</v>
      </c>
      <c r="C126" s="19">
        <f>($C$82)*C$98</f>
        <v>110021625</v>
      </c>
      <c r="D126" s="19">
        <f>($C$82)*D$98</f>
        <v>0</v>
      </c>
      <c r="E126" s="19">
        <f>($C$82)*E$98</f>
        <v>0</v>
      </c>
      <c r="F126" s="19">
        <f>($C$82)*F$98</f>
        <v>0</v>
      </c>
      <c r="G126" s="19">
        <f t="shared" si="6"/>
        <v>110021625</v>
      </c>
      <c r="H126" s="19">
        <f>$C$82</f>
        <v>110021625</v>
      </c>
      <c r="I126" s="19">
        <f t="shared" si="7"/>
        <v>0</v>
      </c>
    </row>
    <row r="127" spans="1:9" x14ac:dyDescent="0.35">
      <c r="A127" s="9" t="s">
        <v>574</v>
      </c>
      <c r="B127" s="9" t="s">
        <v>604</v>
      </c>
      <c r="C127" s="19">
        <f>($C$83)*C$101</f>
        <v>370128425.33861232</v>
      </c>
      <c r="D127" s="19">
        <f>($C$83)*D$101</f>
        <v>14614846.813112989</v>
      </c>
      <c r="E127" s="19">
        <f>($C$83)*E$101</f>
        <v>8088644.6589021739</v>
      </c>
      <c r="F127" s="19">
        <f>($C$83)*F$101</f>
        <v>0</v>
      </c>
      <c r="G127" s="19">
        <f t="shared" si="6"/>
        <v>392831916.81062746</v>
      </c>
      <c r="H127" s="19">
        <f>$C$83</f>
        <v>392831916.81062746</v>
      </c>
      <c r="I127" s="19">
        <f t="shared" si="7"/>
        <v>0</v>
      </c>
    </row>
    <row r="128" spans="1:9" x14ac:dyDescent="0.35">
      <c r="A128" s="9" t="s">
        <v>579</v>
      </c>
      <c r="B128" s="9" t="s">
        <v>604</v>
      </c>
      <c r="C128" s="19">
        <f>($C$84)*C$101</f>
        <v>53371342.680521682</v>
      </c>
      <c r="D128" s="19">
        <f>($C$84)*D$101</f>
        <v>2107414.4650532771</v>
      </c>
      <c r="E128" s="19">
        <f>($C$84)*E$101</f>
        <v>1166356.8544250459</v>
      </c>
      <c r="F128" s="19">
        <f>($C$84)*F$101</f>
        <v>0</v>
      </c>
      <c r="G128" s="19">
        <f t="shared" si="6"/>
        <v>56645114</v>
      </c>
      <c r="H128" s="19">
        <f>$C$84</f>
        <v>56645114</v>
      </c>
      <c r="I128" s="19">
        <f t="shared" si="7"/>
        <v>0</v>
      </c>
    </row>
    <row r="129" spans="1:9" x14ac:dyDescent="0.35">
      <c r="A129" s="9" t="s">
        <v>583</v>
      </c>
      <c r="B129" s="9" t="s">
        <v>222</v>
      </c>
      <c r="C129" s="19">
        <f>($C$85)*C$99</f>
        <v>227487607.23631552</v>
      </c>
      <c r="D129" s="19">
        <f>($C$85)*D$99</f>
        <v>4178849.4703209894</v>
      </c>
      <c r="E129" s="19">
        <f>($C$85)*E$99</f>
        <v>2516243.5405312027</v>
      </c>
      <c r="F129" s="19">
        <f>($C$85)*F$99</f>
        <v>23800421.852832325</v>
      </c>
      <c r="G129" s="19">
        <f t="shared" si="6"/>
        <v>257983122.10000002</v>
      </c>
      <c r="H129" s="19">
        <f>$C$85</f>
        <v>257983122.10000002</v>
      </c>
      <c r="I129" s="19">
        <f t="shared" si="7"/>
        <v>0</v>
      </c>
    </row>
    <row r="130" spans="1:9" x14ac:dyDescent="0.35">
      <c r="A130" s="9" t="s">
        <v>587</v>
      </c>
      <c r="B130" s="9" t="s">
        <v>589</v>
      </c>
      <c r="C130" s="19">
        <f>($C$86)*C$100</f>
        <v>126091707.14077699</v>
      </c>
      <c r="D130" s="19">
        <f>($C$86)*D$100</f>
        <v>8081270.9442751231</v>
      </c>
      <c r="E130" s="19">
        <f>($C$86)*E$100</f>
        <v>4113077.1986979344</v>
      </c>
      <c r="F130" s="19">
        <f>($C$86)*F$100</f>
        <v>268894.53624992794</v>
      </c>
      <c r="G130" s="19">
        <f t="shared" si="6"/>
        <v>138554949.81999999</v>
      </c>
      <c r="H130" s="19">
        <f>$C$86</f>
        <v>138554949.81999999</v>
      </c>
      <c r="I130" s="19">
        <f t="shared" si="7"/>
        <v>0</v>
      </c>
    </row>
    <row r="131" spans="1:9" x14ac:dyDescent="0.35">
      <c r="A131" s="20" t="s">
        <v>7</v>
      </c>
      <c r="B131" s="25"/>
      <c r="C131" s="22">
        <f t="shared" ref="C131:I131" si="8">SUM(C125:C130)</f>
        <v>1500114764.6024489</v>
      </c>
      <c r="D131" s="22">
        <f t="shared" si="8"/>
        <v>53187781.567569554</v>
      </c>
      <c r="E131" s="22">
        <f t="shared" si="8"/>
        <v>29280896.360899474</v>
      </c>
      <c r="F131" s="22">
        <f t="shared" si="8"/>
        <v>24069316.389082253</v>
      </c>
      <c r="G131" s="22">
        <f t="shared" si="8"/>
        <v>1606652758.9199998</v>
      </c>
      <c r="H131" s="22">
        <f t="shared" si="8"/>
        <v>1606652758.9199998</v>
      </c>
      <c r="I131" s="22">
        <f t="shared" si="8"/>
        <v>0</v>
      </c>
    </row>
    <row r="133" spans="1:9" x14ac:dyDescent="0.35">
      <c r="A133" s="6" t="s">
        <v>626</v>
      </c>
      <c r="B133" s="7"/>
      <c r="C133" s="7"/>
      <c r="D133" s="7"/>
      <c r="E133" s="7"/>
      <c r="F133" s="7"/>
      <c r="G133" s="7"/>
      <c r="H133" s="7"/>
      <c r="I133" s="7"/>
    </row>
    <row r="134" spans="1:9" x14ac:dyDescent="0.35">
      <c r="A134" s="8" t="s">
        <v>155</v>
      </c>
      <c r="B134" s="8"/>
      <c r="C134" s="8" t="s">
        <v>185</v>
      </c>
      <c r="D134" s="8" t="s">
        <v>186</v>
      </c>
    </row>
    <row r="135" spans="1:9" x14ac:dyDescent="0.35">
      <c r="A135" s="9" t="s">
        <v>627</v>
      </c>
      <c r="C135" s="26">
        <f>$C$87-$C$23</f>
        <v>0</v>
      </c>
      <c r="D135" s="5" t="str">
        <f>IF(ISERROR(C135),"GAGAL",IF(ABS(C135)&lt;=1,"LULUS","GAGAL"))</f>
        <v>LULUS</v>
      </c>
    </row>
    <row r="136" spans="1:9" x14ac:dyDescent="0.35">
      <c r="A136" s="9" t="s">
        <v>628</v>
      </c>
      <c r="C136" s="26">
        <f>$C$23-$C$24</f>
        <v>0</v>
      </c>
      <c r="D136" s="5" t="str">
        <f>IF(ISERROR(C136),"GAGAL",IF(ABS(C136)&lt;=1,"LULUS","GAGAL"))</f>
        <v>LULUS</v>
      </c>
    </row>
    <row r="137" spans="1:9" x14ac:dyDescent="0.35">
      <c r="A137" s="9" t="s">
        <v>629</v>
      </c>
      <c r="C137" s="26">
        <f>I121</f>
        <v>0</v>
      </c>
      <c r="D137" s="5" t="str">
        <f>IF(ISERROR(C137),"GAGAL",IF(ABS(C137)&lt;=1,"LULUS","GAGAL"))</f>
        <v>LULUS</v>
      </c>
    </row>
    <row r="138" spans="1:9" x14ac:dyDescent="0.35">
      <c r="A138" s="9" t="s">
        <v>630</v>
      </c>
      <c r="C138" s="26">
        <f>I131</f>
        <v>0</v>
      </c>
      <c r="D138" s="5" t="str">
        <f>IF(ISERROR(C138),"GAGAL",IF(ABS(C138)&lt;=1,"LULUS","GAGAL"))</f>
        <v>LULUS</v>
      </c>
    </row>
    <row r="139" spans="1:9" x14ac:dyDescent="0.35">
      <c r="A139" s="4" t="s">
        <v>631</v>
      </c>
      <c r="D139" s="5" t="str">
        <f>IF(COUNTIF(D135:D138,"GAGAL")=0,"LULUS","GAGAL")</f>
        <v>LULUS</v>
      </c>
    </row>
  </sheetData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68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62" customWidth="1"/>
    <col min="2" max="6" width="15" customWidth="1"/>
    <col min="7" max="7" width="4" customWidth="1"/>
    <col min="8" max="9" width="15" customWidth="1"/>
  </cols>
  <sheetData>
    <row r="1" spans="1:9" ht="16.5" x14ac:dyDescent="0.35">
      <c r="A1" s="2" t="s">
        <v>632</v>
      </c>
    </row>
    <row r="2" spans="1:9" x14ac:dyDescent="0.35">
      <c r="A2" s="3" t="s">
        <v>633</v>
      </c>
    </row>
    <row r="4" spans="1:9" x14ac:dyDescent="0.35">
      <c r="A4" s="6" t="s">
        <v>634</v>
      </c>
      <c r="B4" s="7"/>
      <c r="C4" s="7"/>
      <c r="D4" s="7"/>
      <c r="E4" s="7"/>
      <c r="F4" s="7"/>
      <c r="G4" s="7"/>
      <c r="H4" s="7"/>
      <c r="I4" s="7"/>
    </row>
    <row r="5" spans="1:9" ht="24" customHeight="1" x14ac:dyDescent="0.35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/>
      <c r="H5" s="8" t="s">
        <v>635</v>
      </c>
      <c r="I5" s="8" t="s">
        <v>18</v>
      </c>
    </row>
    <row r="6" spans="1:9" x14ac:dyDescent="0.35">
      <c r="A6" s="9" t="s">
        <v>8</v>
      </c>
      <c r="B6" s="10">
        <f>FCC!$B$30</f>
        <v>338754</v>
      </c>
      <c r="C6" s="10">
        <f>UU!$B$32</f>
        <v>13376</v>
      </c>
      <c r="D6" s="10">
        <f>UO!$B$32</f>
        <v>7403</v>
      </c>
      <c r="E6" s="10">
        <f>'LAIN-LAIN'!$C$43</f>
        <v>17571.48</v>
      </c>
      <c r="F6" s="19">
        <f t="shared" ref="F6:F11" si="0">SUM(B6:E6)</f>
        <v>377104.48</v>
      </c>
    </row>
    <row r="7" spans="1:9" x14ac:dyDescent="0.35">
      <c r="A7" s="9" t="s">
        <v>449</v>
      </c>
      <c r="B7" s="12">
        <f>FCC!$G$228/10^6</f>
        <v>5924.2268650902242</v>
      </c>
      <c r="C7" s="12">
        <f>UU!$G$218/10^6</f>
        <v>379.68621028103496</v>
      </c>
      <c r="D7" s="12">
        <f>UO!$G$219/10^6</f>
        <v>193.24666935876809</v>
      </c>
      <c r="E7" s="12">
        <f>'LAIN-LAIN'!$D$68/10^6</f>
        <v>12.633600350491568</v>
      </c>
      <c r="F7" s="18">
        <f t="shared" si="0"/>
        <v>6509.7933450805185</v>
      </c>
    </row>
    <row r="8" spans="1:9" x14ac:dyDescent="0.35">
      <c r="A8" s="9" t="s">
        <v>366</v>
      </c>
      <c r="B8" s="12">
        <v>0</v>
      </c>
      <c r="C8" s="12">
        <v>0</v>
      </c>
      <c r="D8" s="12">
        <v>0</v>
      </c>
      <c r="E8" s="12">
        <f>('LAIN-LAIN'!$B$68+'LAIN-LAIN'!$C$68)/10^6</f>
        <v>270.82070324928662</v>
      </c>
      <c r="F8" s="18">
        <f t="shared" si="0"/>
        <v>270.82070324928662</v>
      </c>
    </row>
    <row r="9" spans="1:9" x14ac:dyDescent="0.35">
      <c r="A9" s="9" t="s">
        <v>56</v>
      </c>
      <c r="B9" s="12">
        <f>FCC!$E$57/10^6</f>
        <v>110.021625</v>
      </c>
      <c r="C9" s="12">
        <f>UU!$E$58/10^6</f>
        <v>0</v>
      </c>
      <c r="D9" s="12">
        <f>UO!$E$58/10^6</f>
        <v>0</v>
      </c>
      <c r="E9" s="12">
        <v>0</v>
      </c>
      <c r="F9" s="18">
        <f t="shared" si="0"/>
        <v>110.021625</v>
      </c>
    </row>
    <row r="10" spans="1:9" x14ac:dyDescent="0.35">
      <c r="A10" s="9" t="s">
        <v>57</v>
      </c>
      <c r="B10" s="12">
        <f>FCC!$E$58/10^6</f>
        <v>554.72765572994422</v>
      </c>
      <c r="C10" s="12">
        <f>UU!$E$59/10^6</f>
        <v>45.171801426382615</v>
      </c>
      <c r="D10" s="12">
        <f>UO!$E$59/10^6</f>
        <v>24.009428946727432</v>
      </c>
      <c r="E10" s="12">
        <f>'LAIN-LAIN'!$E$68/10^6</f>
        <v>26.707145086318292</v>
      </c>
      <c r="F10" s="18">
        <f t="shared" si="0"/>
        <v>650.61603118937262</v>
      </c>
    </row>
    <row r="11" spans="1:9" x14ac:dyDescent="0.35">
      <c r="A11" s="9" t="s">
        <v>58</v>
      </c>
      <c r="B11" s="12">
        <f>FCC!$E$63/10^6</f>
        <v>738.46455239066177</v>
      </c>
      <c r="C11" s="12">
        <f>UU!$E$64/10^6</f>
        <v>40.451702938703676</v>
      </c>
      <c r="D11" s="12">
        <f>UO!$E$64/10^6</f>
        <v>21.67833258313258</v>
      </c>
      <c r="E11" s="12">
        <f>'LAIN-LAIN'!$F$68/10^6</f>
        <v>45.420514818129533</v>
      </c>
      <c r="F11" s="18">
        <f t="shared" si="0"/>
        <v>846.01510273062752</v>
      </c>
    </row>
    <row r="12" spans="1:9" x14ac:dyDescent="0.35">
      <c r="A12" s="20" t="s">
        <v>9</v>
      </c>
      <c r="B12" s="21">
        <f>SUM(B7:B11)</f>
        <v>7327.4406982108303</v>
      </c>
      <c r="C12" s="21">
        <f>SUM(C7:C11)</f>
        <v>465.30971464612128</v>
      </c>
      <c r="D12" s="21">
        <f>SUM(D7:D11)</f>
        <v>238.9344308886281</v>
      </c>
      <c r="E12" s="21">
        <f>SUM(E7:E11)</f>
        <v>355.581963504226</v>
      </c>
      <c r="F12" s="21">
        <f>SUM(F7:F11)</f>
        <v>8387.2668072498054</v>
      </c>
      <c r="G12" s="25"/>
      <c r="H12" s="25"/>
      <c r="I12" s="25"/>
    </row>
    <row r="13" spans="1:9" x14ac:dyDescent="0.35">
      <c r="A13" s="9" t="s">
        <v>636</v>
      </c>
      <c r="B13" s="19">
        <f>IF(B6=0,0,B12*10^6/B6)</f>
        <v>21630.565833055345</v>
      </c>
      <c r="C13" s="19">
        <f>IF(C6=0,0,C12*10^6/C6)</f>
        <v>34786.910484907392</v>
      </c>
      <c r="D13" s="19">
        <f>IF(D6=0,0,D12*10^6/D6)</f>
        <v>32275.352004407414</v>
      </c>
      <c r="E13" s="19">
        <f>IF(E6=0,0,E12*10^6/E6)</f>
        <v>20236.312678512339</v>
      </c>
      <c r="F13" s="19">
        <f>IF(F6=0,0,F12*10^6/F6)</f>
        <v>22241.228232689798</v>
      </c>
    </row>
    <row r="14" spans="1:9" x14ac:dyDescent="0.35">
      <c r="A14" s="4" t="s">
        <v>11</v>
      </c>
      <c r="B14" s="11">
        <f>FCC!$E$103/10^6</f>
        <v>6925.004969208172</v>
      </c>
      <c r="C14" s="11">
        <f>UU!$E$98/10^6</f>
        <v>250.83101805142473</v>
      </c>
      <c r="D14" s="11">
        <f>UO!$E$98/10^6</f>
        <v>238.9344308886281</v>
      </c>
      <c r="E14" s="11">
        <f>'LAIN-LAIN'!$G$68/10^6</f>
        <v>355.581963504226</v>
      </c>
      <c r="F14" s="24">
        <f>SUM(B14:E14)</f>
        <v>7770.3523816524512</v>
      </c>
      <c r="H14" s="18">
        <f>(FCC!$E$105+UU!$E$100+UO!$E$100+INDEX(BUDGET!$C$199:$R$199,'LAIN-LAIN'!$E$5))/10^6</f>
        <v>7618.5801144425814</v>
      </c>
      <c r="I14" s="18">
        <f>F14-H14</f>
        <v>151.77226720986982</v>
      </c>
    </row>
    <row r="15" spans="1:9" x14ac:dyDescent="0.35">
      <c r="A15" s="9" t="s">
        <v>637</v>
      </c>
      <c r="B15" s="12">
        <f>FCC!$C$210/10^6</f>
        <v>8672.0977024500007</v>
      </c>
      <c r="C15" s="12">
        <f>UU!$C$207/10^6</f>
        <v>349.70925</v>
      </c>
      <c r="D15" s="12">
        <f>UO!$C$208/10^6</f>
        <v>354.6037</v>
      </c>
      <c r="E15" s="12">
        <f>416714799.61/10^6</f>
        <v>416.71479961</v>
      </c>
      <c r="F15" s="18">
        <f>SUM(B15:E15)</f>
        <v>9793.1254520599996</v>
      </c>
    </row>
    <row r="16" spans="1:9" x14ac:dyDescent="0.35">
      <c r="A16" s="4" t="s">
        <v>638</v>
      </c>
      <c r="B16" s="42">
        <f>IF(B15=0,0,(B15-B14)/B15)</f>
        <v>0.20146137568863506</v>
      </c>
      <c r="C16" s="42">
        <f>IF(C15=0,0,(C15-C14)/C15)</f>
        <v>0.2827441137132497</v>
      </c>
      <c r="D16" s="42">
        <f>IF(D15=0,0,(D15-D14)/D15)</f>
        <v>0.32619306880151533</v>
      </c>
      <c r="E16" s="42">
        <f>IF(E15=0,0,(E15-E14)/E15)</f>
        <v>0.14670185979232733</v>
      </c>
      <c r="F16" s="42">
        <f>IF(F15=0,0,(F15-F14)/F15)</f>
        <v>0.20655030718329609</v>
      </c>
    </row>
    <row r="17" spans="1:9" x14ac:dyDescent="0.35">
      <c r="A17" s="3" t="s">
        <v>639</v>
      </c>
    </row>
    <row r="18" spans="1:9" x14ac:dyDescent="0.35">
      <c r="A18" s="3" t="s">
        <v>640</v>
      </c>
    </row>
    <row r="20" spans="1:9" x14ac:dyDescent="0.35">
      <c r="A20" s="6" t="s">
        <v>641</v>
      </c>
      <c r="B20" s="7"/>
      <c r="C20" s="7"/>
      <c r="D20" s="7"/>
      <c r="E20" s="7"/>
      <c r="F20" s="7"/>
      <c r="G20" s="7"/>
      <c r="H20" s="7"/>
      <c r="I20" s="7"/>
    </row>
    <row r="21" spans="1:9" ht="24" customHeight="1" x14ac:dyDescent="0.35">
      <c r="A21" s="8" t="s">
        <v>642</v>
      </c>
      <c r="B21" s="8" t="s">
        <v>643</v>
      </c>
      <c r="C21" s="8" t="s">
        <v>556</v>
      </c>
      <c r="D21" s="8" t="s">
        <v>644</v>
      </c>
      <c r="E21" s="8" t="s">
        <v>645</v>
      </c>
    </row>
    <row r="22" spans="1:9" x14ac:dyDescent="0.35">
      <c r="A22" s="9" t="s">
        <v>3</v>
      </c>
      <c r="B22" s="12">
        <f>'BIAYA BERSAMA'!C94/10^6</f>
        <v>5924.2268650902242</v>
      </c>
      <c r="C22" s="23">
        <f t="shared" ref="C22:C27" si="1">IF($B$28=0,0,B22/$B$28)</f>
        <v>0.91004837650755699</v>
      </c>
      <c r="D22" s="18">
        <f t="shared" ref="D22:D27" si="2">$B$30*C22</f>
        <v>185.40464294618153</v>
      </c>
      <c r="E22" s="9" t="s">
        <v>646</v>
      </c>
    </row>
    <row r="23" spans="1:9" x14ac:dyDescent="0.35">
      <c r="A23" s="9" t="s">
        <v>647</v>
      </c>
      <c r="B23" s="12">
        <f>'BIAYA BERSAMA'!D94/10^6</f>
        <v>379.68621028103496</v>
      </c>
      <c r="C23" s="23">
        <f t="shared" si="1"/>
        <v>5.832538609969326E-2</v>
      </c>
      <c r="D23" s="18">
        <f t="shared" si="2"/>
        <v>11.882662134963997</v>
      </c>
      <c r="E23" s="9" t="s">
        <v>648</v>
      </c>
    </row>
    <row r="24" spans="1:9" x14ac:dyDescent="0.35">
      <c r="A24" s="9" t="s">
        <v>649</v>
      </c>
      <c r="B24" s="12">
        <f>'BIAYA BERSAMA'!E94/10^6</f>
        <v>193.24666935876809</v>
      </c>
      <c r="C24" s="23">
        <f t="shared" si="1"/>
        <v>2.9685530571382193E-2</v>
      </c>
      <c r="D24" s="18">
        <f t="shared" si="2"/>
        <v>6.0478490356488956</v>
      </c>
      <c r="E24" s="9" t="s">
        <v>650</v>
      </c>
    </row>
    <row r="25" spans="1:9" x14ac:dyDescent="0.35">
      <c r="A25" s="9" t="s">
        <v>651</v>
      </c>
      <c r="B25" s="12">
        <f>SUMPRODUCT(('LAIN-LAIN'!$B$22:$B$42&lt;&gt;"Ubi Ungu")*('LAIN-LAIN'!$B$22:$B$42&lt;&gt;"Ubi Orange")*('LAIN-LAIN'!$B$22:$B$42&lt;&gt;"Ubi Ungu – cek bahan")*'LAIN-LAIN'!$G$22:$G$42)/10^6</f>
        <v>12.633600350491568</v>
      </c>
      <c r="C25" s="23">
        <f t="shared" si="1"/>
        <v>1.9407068213676613E-3</v>
      </c>
      <c r="D25" s="18">
        <f t="shared" si="2"/>
        <v>0.39538123968720934</v>
      </c>
      <c r="E25" s="9" t="s">
        <v>646</v>
      </c>
    </row>
    <row r="26" spans="1:9" x14ac:dyDescent="0.35">
      <c r="A26" s="9" t="s">
        <v>652</v>
      </c>
      <c r="B26" s="12">
        <f>SUMIF('LAIN-LAIN'!$B$22:$B$42,"Ubi Ungu*",'LAIN-LAIN'!$G$22:$G$42)/10^6</f>
        <v>0</v>
      </c>
      <c r="C26" s="23">
        <f t="shared" si="1"/>
        <v>0</v>
      </c>
      <c r="D26" s="18">
        <f t="shared" si="2"/>
        <v>0</v>
      </c>
      <c r="E26" s="9" t="s">
        <v>648</v>
      </c>
    </row>
    <row r="27" spans="1:9" x14ac:dyDescent="0.35">
      <c r="A27" s="9" t="s">
        <v>653</v>
      </c>
      <c r="B27" s="12">
        <f>SUMIF('LAIN-LAIN'!$B$22:$B$42,"Ubi Orange",'LAIN-LAIN'!$G$22:$G$42)/10^6</f>
        <v>0</v>
      </c>
      <c r="C27" s="23">
        <f t="shared" si="1"/>
        <v>0</v>
      </c>
      <c r="D27" s="18">
        <f t="shared" si="2"/>
        <v>0</v>
      </c>
      <c r="E27" s="9" t="s">
        <v>650</v>
      </c>
    </row>
    <row r="28" spans="1:9" x14ac:dyDescent="0.35">
      <c r="A28" s="20" t="s">
        <v>654</v>
      </c>
      <c r="B28" s="21">
        <f>SUM(B22:B27)</f>
        <v>6509.7933450805185</v>
      </c>
      <c r="C28" s="25"/>
      <c r="D28" s="21">
        <f>SUM(D22:D27)</f>
        <v>203.73053535648162</v>
      </c>
      <c r="E28" s="25"/>
    </row>
    <row r="29" spans="1:9" x14ac:dyDescent="0.35">
      <c r="A29" s="9" t="s">
        <v>655</v>
      </c>
      <c r="B29" s="32">
        <v>6713.5238804370001</v>
      </c>
      <c r="E29" s="9" t="s">
        <v>656</v>
      </c>
    </row>
    <row r="30" spans="1:9" x14ac:dyDescent="0.35">
      <c r="A30" s="4" t="s">
        <v>34</v>
      </c>
      <c r="B30" s="24">
        <f>B29-B28</f>
        <v>203.7305353564816</v>
      </c>
    </row>
    <row r="31" spans="1:9" x14ac:dyDescent="0.35">
      <c r="A31" s="9" t="s">
        <v>657</v>
      </c>
      <c r="D31" s="18">
        <f>D22+D25</f>
        <v>185.80002418586872</v>
      </c>
    </row>
    <row r="32" spans="1:9" x14ac:dyDescent="0.35">
      <c r="A32" s="9" t="s">
        <v>658</v>
      </c>
      <c r="D32" s="18">
        <f>D23+D26</f>
        <v>11.882662134963997</v>
      </c>
    </row>
    <row r="33" spans="1:9" x14ac:dyDescent="0.35">
      <c r="A33" s="9" t="s">
        <v>659</v>
      </c>
      <c r="D33" s="18">
        <f>D24+D27</f>
        <v>6.0478490356488956</v>
      </c>
    </row>
    <row r="34" spans="1:9" x14ac:dyDescent="0.35">
      <c r="A34" s="3" t="s">
        <v>660</v>
      </c>
    </row>
    <row r="36" spans="1:9" x14ac:dyDescent="0.35">
      <c r="A36" s="6" t="s">
        <v>661</v>
      </c>
      <c r="B36" s="7"/>
      <c r="C36" s="7"/>
      <c r="D36" s="7"/>
      <c r="E36" s="7"/>
      <c r="F36" s="7"/>
      <c r="G36" s="7"/>
      <c r="H36" s="7"/>
      <c r="I36" s="7"/>
    </row>
    <row r="37" spans="1:9" x14ac:dyDescent="0.35">
      <c r="A37" s="9" t="s">
        <v>662</v>
      </c>
      <c r="C37" s="18">
        <f>F14</f>
        <v>7770.3523816524512</v>
      </c>
    </row>
    <row r="38" spans="1:9" x14ac:dyDescent="0.35">
      <c r="A38" s="9" t="s">
        <v>663</v>
      </c>
      <c r="C38" s="18">
        <f>$B$30</f>
        <v>203.7305353564816</v>
      </c>
    </row>
    <row r="39" spans="1:9" x14ac:dyDescent="0.35">
      <c r="A39" s="9" t="s">
        <v>664</v>
      </c>
      <c r="C39" s="18">
        <f>((FCC!$E$78+FCC!$E$91-FCC!$E$71-FCC!$E$85)+(UU!$E$77+UU!$E$89-UU!$E$70-UU!$E$84)+(UO!$E$77+UO!$E$89-UO!$E$70-UO!$E$84))/10^6</f>
        <v>325.80392919348611</v>
      </c>
    </row>
    <row r="40" spans="1:9" x14ac:dyDescent="0.35">
      <c r="A40" s="9" t="s">
        <v>665</v>
      </c>
      <c r="C40" s="18">
        <f>-((494002781.765743-238973459.696273)+(499690064.502333-276688460.92344))/10^6</f>
        <v>-478.030925648363</v>
      </c>
    </row>
    <row r="41" spans="1:9" x14ac:dyDescent="0.35">
      <c r="A41" s="9" t="s">
        <v>666</v>
      </c>
      <c r="C41" s="18">
        <f>(-FCC!$E$73-'LAIN-LAIN'!$E$43*FCC!$C$208-FCC!$E$102)/10^6</f>
        <v>20.289793154580703</v>
      </c>
    </row>
    <row r="42" spans="1:9" x14ac:dyDescent="0.35">
      <c r="A42" s="9" t="s">
        <v>667</v>
      </c>
      <c r="C42" s="18">
        <f>'BIAYA BERSAMA'!$C$111/10^6</f>
        <v>0</v>
      </c>
    </row>
    <row r="43" spans="1:9" x14ac:dyDescent="0.35">
      <c r="A43" s="20" t="s">
        <v>668</v>
      </c>
      <c r="B43" s="25"/>
      <c r="C43" s="21">
        <f>SUM(C37:C42)</f>
        <v>7842.1457137086354</v>
      </c>
    </row>
    <row r="44" spans="1:9" x14ac:dyDescent="0.35">
      <c r="A44" s="9" t="s">
        <v>669</v>
      </c>
      <c r="C44" s="32">
        <v>7842.14571370864</v>
      </c>
    </row>
    <row r="45" spans="1:9" x14ac:dyDescent="0.35">
      <c r="A45" s="4" t="s">
        <v>670</v>
      </c>
      <c r="C45" s="24">
        <f>C44-C43</f>
        <v>0</v>
      </c>
    </row>
    <row r="46" spans="1:9" x14ac:dyDescent="0.35">
      <c r="A46" s="3" t="s">
        <v>671</v>
      </c>
      <c r="C46" s="18">
        <f>C39+C40</f>
        <v>-152.22699645487688</v>
      </c>
    </row>
    <row r="47" spans="1:9" x14ac:dyDescent="0.35">
      <c r="A47" s="3" t="s">
        <v>672</v>
      </c>
    </row>
    <row r="49" spans="1:9" x14ac:dyDescent="0.35">
      <c r="A49" s="6" t="s">
        <v>673</v>
      </c>
      <c r="B49" s="7"/>
      <c r="C49" s="7"/>
      <c r="D49" s="7"/>
      <c r="E49" s="7"/>
      <c r="F49" s="7"/>
      <c r="G49" s="7"/>
      <c r="H49" s="7"/>
      <c r="I49" s="7"/>
    </row>
    <row r="50" spans="1:9" ht="19.5" customHeight="1" x14ac:dyDescent="0.35">
      <c r="A50" s="8" t="s">
        <v>2</v>
      </c>
      <c r="B50" s="8"/>
      <c r="C50" s="8" t="s">
        <v>124</v>
      </c>
      <c r="D50" s="8" t="s">
        <v>674</v>
      </c>
    </row>
    <row r="51" spans="1:9" x14ac:dyDescent="0.35">
      <c r="A51" s="9" t="s">
        <v>675</v>
      </c>
      <c r="C51" s="12">
        <f>FCC!$B$33</f>
        <v>13755</v>
      </c>
      <c r="D51" s="12">
        <f>-FCC!$E$73/10^6</f>
        <v>134.48636509312726</v>
      </c>
    </row>
    <row r="52" spans="1:9" x14ac:dyDescent="0.35">
      <c r="A52" s="9" t="s">
        <v>676</v>
      </c>
      <c r="C52" s="12">
        <f>-'LAIN-LAIN'!$E$43</f>
        <v>-5617.8</v>
      </c>
      <c r="D52" s="12">
        <f>-'LAIN-LAIN'!$E$43*FCC!$C$208/10^6</f>
        <v>-54.926754039997839</v>
      </c>
    </row>
    <row r="53" spans="1:9" x14ac:dyDescent="0.35">
      <c r="A53" s="9" t="s">
        <v>677</v>
      </c>
      <c r="C53" s="12">
        <f>-FCC!$C$207</f>
        <v>-6062</v>
      </c>
      <c r="D53" s="12">
        <f>-FCC!$E$102/10^6</f>
        <v>-59.269817898548702</v>
      </c>
    </row>
    <row r="54" spans="1:9" x14ac:dyDescent="0.35">
      <c r="A54" s="20" t="s">
        <v>678</v>
      </c>
      <c r="B54" s="25"/>
      <c r="C54" s="21">
        <f>SUM(C51:C53)</f>
        <v>2075.1999999999998</v>
      </c>
      <c r="D54" s="21">
        <f>SUM(D51:D53)</f>
        <v>20.289793154580728</v>
      </c>
    </row>
    <row r="56" spans="1:9" x14ac:dyDescent="0.35">
      <c r="A56" s="6" t="s">
        <v>679</v>
      </c>
      <c r="B56" s="7"/>
      <c r="C56" s="7"/>
      <c r="D56" s="7"/>
      <c r="E56" s="7"/>
      <c r="F56" s="7"/>
      <c r="G56" s="7"/>
      <c r="H56" s="7"/>
      <c r="I56" s="7"/>
    </row>
    <row r="57" spans="1:9" x14ac:dyDescent="0.35">
      <c r="A57" s="8" t="s">
        <v>155</v>
      </c>
      <c r="B57" s="8"/>
      <c r="C57" s="8" t="s">
        <v>185</v>
      </c>
      <c r="D57" s="8" t="s">
        <v>186</v>
      </c>
    </row>
    <row r="58" spans="1:9" x14ac:dyDescent="0.35">
      <c r="A58" s="9" t="s">
        <v>680</v>
      </c>
      <c r="C58" s="26">
        <f>F9+F10+F11-('BIAYA BERSAMA'!$C$87-'BIAYA BERSAMA'!$C$111)/10^6</f>
        <v>0</v>
      </c>
      <c r="D58" s="5" t="str">
        <f>IF(ISERROR(C58),"GAGAL",IF(ABS(C58)&lt;=0.001,"LULUS","GAGAL"))</f>
        <v>LULUS</v>
      </c>
    </row>
    <row r="59" spans="1:9" x14ac:dyDescent="0.35">
      <c r="A59" s="9" t="s">
        <v>681</v>
      </c>
      <c r="C59" s="26">
        <f>F7+$B$30-B29</f>
        <v>0</v>
      </c>
      <c r="D59" s="5" t="str">
        <f>IF(ISERROR(C59),"GAGAL",IF(ABS(C59)&lt;=0.001,"LULUS","GAGAL"))</f>
        <v>LULUS</v>
      </c>
    </row>
    <row r="60" spans="1:9" x14ac:dyDescent="0.35">
      <c r="A60" s="9" t="s">
        <v>682</v>
      </c>
      <c r="C60" s="26">
        <f>C45</f>
        <v>0</v>
      </c>
      <c r="D60" s="5" t="str">
        <f>IF(ISERROR(C60),"GAGAL",IF(ABS(C60)&lt;=0.001,"LULUS","GAGAL"))</f>
        <v>LULUS</v>
      </c>
    </row>
    <row r="61" spans="1:9" x14ac:dyDescent="0.35">
      <c r="A61" s="9" t="s">
        <v>683</v>
      </c>
      <c r="C61" s="26">
        <f>B25+B26+B27-'LAIN-LAIN'!$G$43/10^6</f>
        <v>0</v>
      </c>
      <c r="D61" s="5" t="str">
        <f>IF(ISERROR(C61),"GAGAL",IF(ABS(C61)&lt;=0.001,"LULUS","GAGAL"))</f>
        <v>LULUS</v>
      </c>
    </row>
    <row r="62" spans="1:9" x14ac:dyDescent="0.35">
      <c r="A62" s="9" t="s">
        <v>684</v>
      </c>
      <c r="C62" s="26">
        <f>F15-9793125452.06/10^6</f>
        <v>0</v>
      </c>
      <c r="D62" s="5" t="str">
        <f>IF(ISERROR(C62),"GAGAL",IF(ABS(C62)&lt;=0.001,"LULUS","GAGAL"))</f>
        <v>LULUS</v>
      </c>
    </row>
    <row r="63" spans="1:9" x14ac:dyDescent="0.35">
      <c r="A63" s="9" t="s">
        <v>685</v>
      </c>
      <c r="C63" s="26">
        <f>IF('BIAYA BERSAMA'!$D$139="LULUS",0,1)</f>
        <v>0</v>
      </c>
      <c r="D63" s="5" t="str">
        <f>IF(ISERROR(C63),"GAGAL",IF(ABS(C63)&lt;=0.5,"LULUS","GAGAL"))</f>
        <v>LULUS</v>
      </c>
    </row>
    <row r="64" spans="1:9" x14ac:dyDescent="0.35">
      <c r="A64" s="9" t="s">
        <v>686</v>
      </c>
      <c r="C64" s="26">
        <f>IF(FCC!$C$6="LULUS",0,1)</f>
        <v>0</v>
      </c>
      <c r="D64" s="5" t="str">
        <f>IF(ISERROR(C64),"GAGAL",IF(ABS(C64)&lt;=0.5,"LULUS","GAGAL"))</f>
        <v>LULUS</v>
      </c>
    </row>
    <row r="65" spans="1:4" x14ac:dyDescent="0.35">
      <c r="A65" s="9" t="s">
        <v>687</v>
      </c>
      <c r="C65" s="26">
        <f>IF(UU!$C$6="LULUS",0,1)</f>
        <v>0</v>
      </c>
      <c r="D65" s="5" t="str">
        <f>IF(ISERROR(C65),"GAGAL",IF(ABS(C65)&lt;=0.5,"LULUS","GAGAL"))</f>
        <v>LULUS</v>
      </c>
    </row>
    <row r="66" spans="1:4" x14ac:dyDescent="0.35">
      <c r="A66" s="9" t="s">
        <v>688</v>
      </c>
      <c r="C66" s="26">
        <f>IF(UO!$C$6="LULUS",0,1)</f>
        <v>0</v>
      </c>
      <c r="D66" s="5" t="str">
        <f>IF(ISERROR(C66),"GAGAL",IF(ABS(C66)&lt;=0.5,"LULUS","GAGAL"))</f>
        <v>LULUS</v>
      </c>
    </row>
    <row r="67" spans="1:4" x14ac:dyDescent="0.35">
      <c r="A67" s="9" t="s">
        <v>689</v>
      </c>
      <c r="C67" s="26">
        <f>IF('LAIN-LAIN'!$C$6="LULUS",0,1)</f>
        <v>0</v>
      </c>
      <c r="D67" s="5" t="str">
        <f>IF(ISERROR(C67),"GAGAL",IF(ABS(C67)&lt;=0.5,"LULUS","GAGAL"))</f>
        <v>LULUS</v>
      </c>
    </row>
    <row r="68" spans="1:4" x14ac:dyDescent="0.35">
      <c r="A68" s="4" t="s">
        <v>690</v>
      </c>
      <c r="D68" s="5" t="str">
        <f>IF(COUNTIF(D58:D67,"GAGAL")=0,"LULUS","GAGAL")</f>
        <v>LULUS</v>
      </c>
    </row>
  </sheetData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8"/>
  <sheetViews>
    <sheetView showGridLines="0" zoomScaleNormal="100" workbookViewId="0"/>
  </sheetViews>
  <sheetFormatPr defaultColWidth="8.6328125" defaultRowHeight="14.5" x14ac:dyDescent="0.35"/>
  <cols>
    <col min="1" max="1" width="5" customWidth="1"/>
    <col min="2" max="3" width="36" customWidth="1"/>
    <col min="4" max="4" width="56" customWidth="1"/>
    <col min="5" max="5" width="20" customWidth="1"/>
    <col min="6" max="6" width="11" customWidth="1"/>
    <col min="7" max="7" width="14" customWidth="1"/>
    <col min="8" max="8" width="22" customWidth="1"/>
  </cols>
  <sheetData>
    <row r="1" spans="1:8" ht="16.5" x14ac:dyDescent="0.35">
      <c r="A1" s="2" t="s">
        <v>691</v>
      </c>
    </row>
    <row r="2" spans="1:8" x14ac:dyDescent="0.35">
      <c r="A2" s="3" t="s">
        <v>692</v>
      </c>
    </row>
    <row r="4" spans="1:8" ht="24" customHeight="1" x14ac:dyDescent="0.35">
      <c r="A4" s="8" t="s">
        <v>693</v>
      </c>
      <c r="B4" s="8" t="s">
        <v>694</v>
      </c>
      <c r="C4" s="8" t="s">
        <v>185</v>
      </c>
      <c r="D4" s="8" t="s">
        <v>695</v>
      </c>
      <c r="E4" s="8" t="s">
        <v>696</v>
      </c>
      <c r="F4" s="8" t="s">
        <v>186</v>
      </c>
      <c r="G4" s="8" t="s">
        <v>697</v>
      </c>
      <c r="H4" s="8" t="s">
        <v>698</v>
      </c>
    </row>
    <row r="5" spans="1:8" ht="23" x14ac:dyDescent="0.35">
      <c r="A5" s="9">
        <v>1</v>
      </c>
      <c r="B5" s="43" t="s">
        <v>699</v>
      </c>
      <c r="C5" s="43" t="s">
        <v>700</v>
      </c>
      <c r="D5" s="43" t="s">
        <v>701</v>
      </c>
      <c r="E5" s="9" t="s">
        <v>702</v>
      </c>
      <c r="F5" s="9" t="s">
        <v>703</v>
      </c>
      <c r="G5" s="9" t="s">
        <v>704</v>
      </c>
      <c r="H5" s="43" t="s">
        <v>705</v>
      </c>
    </row>
    <row r="6" spans="1:8" x14ac:dyDescent="0.35">
      <c r="A6" s="9">
        <v>2</v>
      </c>
      <c r="B6" s="43" t="s">
        <v>706</v>
      </c>
      <c r="C6" s="43" t="s">
        <v>707</v>
      </c>
      <c r="D6" s="43" t="s">
        <v>708</v>
      </c>
      <c r="E6" s="9" t="s">
        <v>709</v>
      </c>
      <c r="F6" s="9" t="s">
        <v>212</v>
      </c>
      <c r="G6" s="9" t="s">
        <v>710</v>
      </c>
      <c r="H6" s="43" t="s">
        <v>711</v>
      </c>
    </row>
    <row r="7" spans="1:8" x14ac:dyDescent="0.35">
      <c r="A7" s="44">
        <v>3</v>
      </c>
      <c r="B7" s="45" t="s">
        <v>712</v>
      </c>
      <c r="C7" s="45" t="s">
        <v>713</v>
      </c>
      <c r="D7" s="45" t="s">
        <v>714</v>
      </c>
      <c r="E7" s="44" t="s">
        <v>715</v>
      </c>
      <c r="F7" s="44" t="s">
        <v>716</v>
      </c>
      <c r="G7" s="44" t="s">
        <v>704</v>
      </c>
      <c r="H7" s="45" t="s">
        <v>711</v>
      </c>
    </row>
    <row r="8" spans="1:8" x14ac:dyDescent="0.35">
      <c r="A8" s="9">
        <v>4</v>
      </c>
      <c r="B8" s="43" t="s">
        <v>717</v>
      </c>
      <c r="C8" s="43" t="s">
        <v>718</v>
      </c>
      <c r="D8" s="43" t="s">
        <v>719</v>
      </c>
      <c r="E8" s="9" t="s">
        <v>720</v>
      </c>
      <c r="F8" s="9" t="s">
        <v>212</v>
      </c>
      <c r="G8" s="9" t="s">
        <v>704</v>
      </c>
      <c r="H8" s="43" t="s">
        <v>711</v>
      </c>
    </row>
    <row r="9" spans="1:8" ht="23" x14ac:dyDescent="0.35">
      <c r="A9" s="9">
        <v>5</v>
      </c>
      <c r="B9" s="43" t="s">
        <v>240</v>
      </c>
      <c r="C9" s="43" t="s">
        <v>721</v>
      </c>
      <c r="D9" s="43" t="s">
        <v>722</v>
      </c>
      <c r="E9" s="9" t="s">
        <v>723</v>
      </c>
      <c r="F9" s="9" t="s">
        <v>212</v>
      </c>
      <c r="G9" s="9" t="s">
        <v>710</v>
      </c>
      <c r="H9" s="43" t="s">
        <v>724</v>
      </c>
    </row>
    <row r="10" spans="1:8" x14ac:dyDescent="0.35">
      <c r="A10" s="9">
        <v>6</v>
      </c>
      <c r="B10" s="43" t="s">
        <v>242</v>
      </c>
      <c r="C10" s="43" t="s">
        <v>725</v>
      </c>
      <c r="D10" s="43" t="s">
        <v>726</v>
      </c>
      <c r="E10" s="9" t="s">
        <v>727</v>
      </c>
      <c r="F10" s="9" t="s">
        <v>212</v>
      </c>
      <c r="G10" s="9" t="s">
        <v>728</v>
      </c>
      <c r="H10" s="43" t="s">
        <v>729</v>
      </c>
    </row>
    <row r="11" spans="1:8" x14ac:dyDescent="0.35">
      <c r="A11" s="44">
        <v>7</v>
      </c>
      <c r="B11" s="45" t="s">
        <v>730</v>
      </c>
      <c r="C11" s="45" t="s">
        <v>731</v>
      </c>
      <c r="D11" s="45" t="s">
        <v>732</v>
      </c>
      <c r="E11" s="44" t="s">
        <v>733</v>
      </c>
      <c r="F11" s="44" t="s">
        <v>716</v>
      </c>
      <c r="G11" s="44" t="s">
        <v>704</v>
      </c>
      <c r="H11" s="45" t="s">
        <v>734</v>
      </c>
    </row>
    <row r="12" spans="1:8" ht="23" x14ac:dyDescent="0.35">
      <c r="A12" s="9">
        <v>8</v>
      </c>
      <c r="B12" s="43" t="s">
        <v>561</v>
      </c>
      <c r="C12" s="43" t="s">
        <v>735</v>
      </c>
      <c r="D12" s="43" t="s">
        <v>736</v>
      </c>
      <c r="E12" s="9" t="s">
        <v>702</v>
      </c>
      <c r="F12" s="9" t="s">
        <v>703</v>
      </c>
      <c r="G12" s="9" t="s">
        <v>704</v>
      </c>
      <c r="H12" s="43" t="s">
        <v>737</v>
      </c>
    </row>
    <row r="13" spans="1:8" ht="23" x14ac:dyDescent="0.35">
      <c r="A13" s="44">
        <v>9</v>
      </c>
      <c r="B13" s="45" t="s">
        <v>738</v>
      </c>
      <c r="C13" s="45" t="s">
        <v>739</v>
      </c>
      <c r="D13" s="45" t="s">
        <v>740</v>
      </c>
      <c r="E13" s="44" t="s">
        <v>733</v>
      </c>
      <c r="F13" s="44" t="s">
        <v>716</v>
      </c>
      <c r="G13" s="44" t="s">
        <v>704</v>
      </c>
      <c r="H13" s="45" t="s">
        <v>741</v>
      </c>
    </row>
    <row r="14" spans="1:8" x14ac:dyDescent="0.35">
      <c r="A14" s="9">
        <v>10</v>
      </c>
      <c r="B14" s="43" t="s">
        <v>742</v>
      </c>
      <c r="C14" s="43" t="s">
        <v>743</v>
      </c>
      <c r="D14" s="43" t="s">
        <v>744</v>
      </c>
      <c r="E14" s="9" t="s">
        <v>720</v>
      </c>
      <c r="F14" s="9" t="s">
        <v>212</v>
      </c>
      <c r="G14" s="9" t="s">
        <v>346</v>
      </c>
      <c r="H14" s="43" t="s">
        <v>745</v>
      </c>
    </row>
    <row r="15" spans="1:8" x14ac:dyDescent="0.35">
      <c r="A15" s="9">
        <v>11</v>
      </c>
      <c r="B15" s="43" t="s">
        <v>746</v>
      </c>
      <c r="C15" s="43" t="s">
        <v>747</v>
      </c>
      <c r="D15" s="43" t="s">
        <v>748</v>
      </c>
      <c r="E15" s="9" t="s">
        <v>749</v>
      </c>
      <c r="F15" s="9" t="s">
        <v>212</v>
      </c>
      <c r="G15" s="9" t="s">
        <v>710</v>
      </c>
      <c r="H15" s="43" t="s">
        <v>750</v>
      </c>
    </row>
    <row r="16" spans="1:8" x14ac:dyDescent="0.35">
      <c r="A16" s="9">
        <v>12</v>
      </c>
      <c r="B16" s="43" t="s">
        <v>751</v>
      </c>
      <c r="C16" s="43" t="s">
        <v>752</v>
      </c>
      <c r="D16" s="43" t="s">
        <v>753</v>
      </c>
      <c r="E16" s="9" t="s">
        <v>720</v>
      </c>
      <c r="F16" s="9" t="s">
        <v>202</v>
      </c>
      <c r="G16" s="9" t="s">
        <v>346</v>
      </c>
      <c r="H16" s="43" t="s">
        <v>754</v>
      </c>
    </row>
    <row r="17" spans="1:8" x14ac:dyDescent="0.35">
      <c r="A17" s="9">
        <v>13</v>
      </c>
      <c r="B17" s="43" t="s">
        <v>755</v>
      </c>
      <c r="C17" s="43" t="s">
        <v>756</v>
      </c>
      <c r="D17" s="43" t="s">
        <v>757</v>
      </c>
      <c r="E17" s="9" t="s">
        <v>720</v>
      </c>
      <c r="F17" s="9" t="s">
        <v>212</v>
      </c>
      <c r="G17" s="9" t="s">
        <v>346</v>
      </c>
      <c r="H17" s="43" t="s">
        <v>734</v>
      </c>
    </row>
    <row r="18" spans="1:8" ht="23" x14ac:dyDescent="0.35">
      <c r="A18" s="44">
        <v>14</v>
      </c>
      <c r="B18" s="45" t="s">
        <v>758</v>
      </c>
      <c r="C18" s="45" t="s">
        <v>759</v>
      </c>
      <c r="D18" s="45" t="s">
        <v>760</v>
      </c>
      <c r="E18" s="44" t="s">
        <v>761</v>
      </c>
      <c r="F18" s="44" t="s">
        <v>716</v>
      </c>
      <c r="G18" s="44" t="s">
        <v>704</v>
      </c>
      <c r="H18" s="45" t="s">
        <v>762</v>
      </c>
    </row>
  </sheetData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99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9" customWidth="1"/>
    <col min="2" max="2" width="64" customWidth="1"/>
    <col min="3" max="18" width="13" customWidth="1"/>
  </cols>
  <sheetData>
    <row r="1" spans="1:18" ht="16.5" x14ac:dyDescent="0.35">
      <c r="A1" s="2" t="s">
        <v>763</v>
      </c>
    </row>
    <row r="2" spans="1:18" x14ac:dyDescent="0.35">
      <c r="A2" s="3" t="s">
        <v>764</v>
      </c>
    </row>
    <row r="4" spans="1:18" x14ac:dyDescent="0.35">
      <c r="A4" s="8" t="s">
        <v>765</v>
      </c>
      <c r="B4" s="8" t="s">
        <v>298</v>
      </c>
      <c r="C4" s="8" t="s">
        <v>766</v>
      </c>
      <c r="D4" s="8" t="s">
        <v>43</v>
      </c>
      <c r="E4" s="8" t="s">
        <v>767</v>
      </c>
      <c r="F4" s="8" t="s">
        <v>768</v>
      </c>
      <c r="G4" s="8" t="s">
        <v>769</v>
      </c>
      <c r="H4" s="8" t="s">
        <v>770</v>
      </c>
      <c r="I4" s="8" t="s">
        <v>771</v>
      </c>
      <c r="J4" s="8" t="s">
        <v>772</v>
      </c>
      <c r="K4" s="8" t="s">
        <v>773</v>
      </c>
      <c r="L4" s="8" t="s">
        <v>774</v>
      </c>
      <c r="M4" s="8" t="s">
        <v>775</v>
      </c>
      <c r="N4" s="8" t="s">
        <v>776</v>
      </c>
      <c r="O4" s="8" t="s">
        <v>777</v>
      </c>
      <c r="P4" s="8" t="s">
        <v>778</v>
      </c>
      <c r="Q4" s="8" t="s">
        <v>779</v>
      </c>
      <c r="R4" s="8" t="s">
        <v>780</v>
      </c>
    </row>
    <row r="5" spans="1:18" x14ac:dyDescent="0.35">
      <c r="A5" s="6" t="s">
        <v>781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x14ac:dyDescent="0.35">
      <c r="A6" s="9" t="s">
        <v>782</v>
      </c>
      <c r="B6" s="9" t="s">
        <v>783</v>
      </c>
      <c r="C6" s="46">
        <v>0.92953992517168704</v>
      </c>
      <c r="D6" s="46">
        <v>0.927974543887222</v>
      </c>
      <c r="E6" s="46">
        <v>0.92989807913893396</v>
      </c>
      <c r="F6" s="46">
        <v>0.92913751606594797</v>
      </c>
      <c r="G6" s="46">
        <v>0.92900337969736801</v>
      </c>
      <c r="H6" s="46">
        <v>0.92934632496741698</v>
      </c>
      <c r="I6" s="46">
        <v>0.92916240691024399</v>
      </c>
      <c r="J6" s="46">
        <v>0.92917070385834299</v>
      </c>
      <c r="K6" s="46">
        <v>0.92922647857866802</v>
      </c>
      <c r="L6" s="46">
        <v>0.929186529782418</v>
      </c>
      <c r="M6" s="46">
        <v>0.92919457073981004</v>
      </c>
      <c r="N6" s="46">
        <v>0.92920252636696499</v>
      </c>
      <c r="O6" s="46">
        <v>0.92919454229639797</v>
      </c>
      <c r="P6" s="46">
        <v>0.92919721313439096</v>
      </c>
      <c r="Q6" s="46">
        <v>0.92919809393258501</v>
      </c>
      <c r="R6" s="46">
        <v>0.92919661645445795</v>
      </c>
    </row>
    <row r="7" spans="1:18" x14ac:dyDescent="0.35">
      <c r="A7" s="9" t="s">
        <v>784</v>
      </c>
      <c r="B7" s="9" t="s">
        <v>207</v>
      </c>
      <c r="C7" s="46">
        <v>3.50443819213586E-2</v>
      </c>
      <c r="D7" s="46">
        <v>3.6571749270354802E-2</v>
      </c>
      <c r="E7" s="46">
        <v>3.7721086296990697E-2</v>
      </c>
      <c r="F7" s="46">
        <v>3.8771451921732099E-2</v>
      </c>
      <c r="G7" s="46">
        <v>3.8629974701182297E-2</v>
      </c>
      <c r="H7" s="46">
        <v>3.8727902726878899E-2</v>
      </c>
      <c r="I7" s="46">
        <v>3.8742465709257601E-2</v>
      </c>
      <c r="J7" s="46">
        <v>3.8070833935099101E-2</v>
      </c>
      <c r="K7" s="46">
        <v>3.7784980810356798E-2</v>
      </c>
      <c r="L7" s="46">
        <v>3.8127555671481503E-2</v>
      </c>
      <c r="M7" s="46">
        <v>3.83220314716224E-2</v>
      </c>
      <c r="N7" s="46">
        <v>3.83971496184514E-2</v>
      </c>
      <c r="O7" s="46">
        <v>3.8350361830541302E-2</v>
      </c>
      <c r="P7" s="46">
        <v>3.8315410221711102E-2</v>
      </c>
      <c r="Q7" s="46">
        <v>3.8263848658565101E-2</v>
      </c>
      <c r="R7" s="46">
        <v>3.8204021527228599E-2</v>
      </c>
    </row>
    <row r="8" spans="1:18" x14ac:dyDescent="0.35">
      <c r="A8" s="9" t="s">
        <v>785</v>
      </c>
      <c r="B8" s="9" t="s">
        <v>209</v>
      </c>
      <c r="C8" s="46">
        <v>3.5415692906954503E-2</v>
      </c>
      <c r="D8" s="46">
        <v>3.5453706842423299E-2</v>
      </c>
      <c r="E8" s="46">
        <v>3.2380834564074999E-2</v>
      </c>
      <c r="F8" s="46">
        <v>3.2091032012320199E-2</v>
      </c>
      <c r="G8" s="46">
        <v>3.2366645601449799E-2</v>
      </c>
      <c r="H8" s="46">
        <v>3.1925772305704501E-2</v>
      </c>
      <c r="I8" s="46">
        <v>3.2095127380498502E-2</v>
      </c>
      <c r="J8" s="46">
        <v>3.2758462206558002E-2</v>
      </c>
      <c r="K8" s="46">
        <v>3.2988540610975503E-2</v>
      </c>
      <c r="L8" s="46">
        <v>3.2685914546100397E-2</v>
      </c>
      <c r="M8" s="46">
        <v>3.2483397788568E-2</v>
      </c>
      <c r="N8" s="46">
        <v>3.2400324014583502E-2</v>
      </c>
      <c r="O8" s="46">
        <v>3.2455095873061203E-2</v>
      </c>
      <c r="P8" s="46">
        <v>3.24873766438981E-2</v>
      </c>
      <c r="Q8" s="46">
        <v>3.25380574088504E-2</v>
      </c>
      <c r="R8" s="46">
        <v>3.2599362018313899E-2</v>
      </c>
    </row>
    <row r="9" spans="1:18" x14ac:dyDescent="0.35">
      <c r="A9" s="9" t="s">
        <v>786</v>
      </c>
      <c r="B9" s="9" t="s">
        <v>787</v>
      </c>
      <c r="C9" s="46">
        <v>0</v>
      </c>
      <c r="D9" s="46">
        <v>0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v>0</v>
      </c>
      <c r="O9" s="46">
        <v>0</v>
      </c>
      <c r="P9" s="46">
        <v>0</v>
      </c>
      <c r="Q9" s="46">
        <v>0</v>
      </c>
      <c r="R9" s="46">
        <v>0</v>
      </c>
    </row>
    <row r="10" spans="1:18" x14ac:dyDescent="0.35">
      <c r="A10" s="9" t="s">
        <v>788</v>
      </c>
      <c r="B10" s="9" t="s">
        <v>789</v>
      </c>
      <c r="C10" s="37">
        <v>278373.51664254098</v>
      </c>
      <c r="D10" s="37">
        <v>278373.51664254098</v>
      </c>
      <c r="E10" s="37">
        <v>278373.51664254098</v>
      </c>
      <c r="F10" s="37">
        <v>278373.51664254098</v>
      </c>
      <c r="G10" s="37">
        <v>278373.51664254098</v>
      </c>
      <c r="H10" s="37">
        <v>278373.51664254098</v>
      </c>
      <c r="I10" s="37">
        <v>278373.51664254098</v>
      </c>
      <c r="J10" s="37">
        <v>278373.51664254098</v>
      </c>
      <c r="K10" s="37">
        <v>278373.51664254098</v>
      </c>
      <c r="L10" s="37">
        <v>278373.51664254098</v>
      </c>
      <c r="M10" s="37">
        <v>278373.51664254098</v>
      </c>
      <c r="N10" s="37">
        <v>278373.51664254098</v>
      </c>
      <c r="O10" s="37">
        <v>278373.51664254098</v>
      </c>
      <c r="P10" s="37">
        <v>278373.51664254098</v>
      </c>
      <c r="Q10" s="37">
        <v>278373.51664254098</v>
      </c>
      <c r="R10" s="37">
        <v>278373.51664254098</v>
      </c>
    </row>
    <row r="11" spans="1:18" x14ac:dyDescent="0.35">
      <c r="A11" s="9" t="s">
        <v>790</v>
      </c>
      <c r="B11" s="9" t="s">
        <v>207</v>
      </c>
      <c r="C11" s="37">
        <v>10494.899218246101</v>
      </c>
      <c r="D11" s="37">
        <v>10970.782034076101</v>
      </c>
      <c r="E11" s="37">
        <v>11292.1530645524</v>
      </c>
      <c r="F11" s="37">
        <v>11616.090438892301</v>
      </c>
      <c r="G11" s="37">
        <v>11575.374363959399</v>
      </c>
      <c r="H11" s="37">
        <v>11600.4359027831</v>
      </c>
      <c r="I11" s="37">
        <v>11607.0951027304</v>
      </c>
      <c r="J11" s="37">
        <v>11405.7749345953</v>
      </c>
      <c r="K11" s="37">
        <v>11319.455726809099</v>
      </c>
      <c r="L11" s="37">
        <v>11422.573846114499</v>
      </c>
      <c r="M11" s="37">
        <v>11480.737190649001</v>
      </c>
      <c r="N11" s="37">
        <v>11503.143033983601</v>
      </c>
      <c r="O11" s="37">
        <v>11489.2249161277</v>
      </c>
      <c r="P11" s="37">
        <v>11478.7209154884</v>
      </c>
      <c r="Q11" s="37">
        <v>11463.262980106299</v>
      </c>
      <c r="R11" s="37">
        <v>11445.3578866892</v>
      </c>
    </row>
    <row r="12" spans="1:18" x14ac:dyDescent="0.35">
      <c r="A12" s="9" t="s">
        <v>791</v>
      </c>
      <c r="B12" s="9" t="s">
        <v>209</v>
      </c>
      <c r="C12" s="37">
        <v>10606.0973949239</v>
      </c>
      <c r="D12" s="37">
        <v>10635.3920123681</v>
      </c>
      <c r="E12" s="37">
        <v>9693.4997411422191</v>
      </c>
      <c r="F12" s="37">
        <v>9614.6084723629592</v>
      </c>
      <c r="G12" s="37">
        <v>9698.5836164917891</v>
      </c>
      <c r="H12" s="37">
        <v>9562.9468471611908</v>
      </c>
      <c r="I12" s="37">
        <v>9615.5778683615099</v>
      </c>
      <c r="J12" s="37">
        <v>9814.2228186647299</v>
      </c>
      <c r="K12" s="37">
        <v>9882.5596025082195</v>
      </c>
      <c r="L12" s="37">
        <v>9792.3212242499594</v>
      </c>
      <c r="M12" s="37">
        <v>9731.5653358830004</v>
      </c>
      <c r="N12" s="37">
        <v>9706.5945048188405</v>
      </c>
      <c r="O12" s="37">
        <v>9723.08678097353</v>
      </c>
      <c r="P12" s="37">
        <v>9732.7296670924006</v>
      </c>
      <c r="Q12" s="37">
        <v>9747.9036222342093</v>
      </c>
      <c r="R12" s="37">
        <v>9766.2850731937706</v>
      </c>
    </row>
    <row r="13" spans="1:18" x14ac:dyDescent="0.35">
      <c r="A13" s="9" t="s">
        <v>792</v>
      </c>
      <c r="B13" s="9" t="s">
        <v>793</v>
      </c>
      <c r="C13" s="46">
        <v>0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</row>
    <row r="14" spans="1:18" x14ac:dyDescent="0.35">
      <c r="A14" s="9" t="s">
        <v>794</v>
      </c>
      <c r="B14" s="9" t="s">
        <v>795</v>
      </c>
      <c r="C14" s="37">
        <v>299474.513255711</v>
      </c>
      <c r="D14" s="37">
        <v>299979.69068898499</v>
      </c>
      <c r="E14" s="37">
        <v>299359.16944823501</v>
      </c>
      <c r="F14" s="37">
        <v>299604.21555379598</v>
      </c>
      <c r="G14" s="37">
        <v>299647.47462299198</v>
      </c>
      <c r="H14" s="37">
        <v>299536.89939248498</v>
      </c>
      <c r="I14" s="37">
        <v>299596.18961363297</v>
      </c>
      <c r="J14" s="37">
        <v>299593.514395801</v>
      </c>
      <c r="K14" s="37">
        <v>299575.531971858</v>
      </c>
      <c r="L14" s="37">
        <v>299588.41171290498</v>
      </c>
      <c r="M14" s="37">
        <v>299585.81916907302</v>
      </c>
      <c r="N14" s="37">
        <v>299583.25418134301</v>
      </c>
      <c r="O14" s="37">
        <v>299585.82833964197</v>
      </c>
      <c r="P14" s="37">
        <v>299584.96722512197</v>
      </c>
      <c r="Q14" s="37">
        <v>299584.68324488099</v>
      </c>
      <c r="R14" s="37">
        <v>299585.15960242401</v>
      </c>
    </row>
    <row r="15" spans="1:18" x14ac:dyDescent="0.35">
      <c r="A15" s="9" t="s">
        <v>796</v>
      </c>
      <c r="B15" s="9" t="s">
        <v>797</v>
      </c>
      <c r="C15" s="46">
        <v>3.2</v>
      </c>
      <c r="D15" s="46">
        <v>3.2</v>
      </c>
      <c r="E15" s="46">
        <v>3.2</v>
      </c>
      <c r="F15" s="46">
        <v>3.2</v>
      </c>
      <c r="G15" s="46">
        <v>3.2</v>
      </c>
      <c r="H15" s="46">
        <v>3.2</v>
      </c>
      <c r="I15" s="46">
        <v>3.2</v>
      </c>
      <c r="J15" s="46">
        <v>3.2</v>
      </c>
      <c r="K15" s="46">
        <v>3.2</v>
      </c>
      <c r="L15" s="46">
        <v>3.2</v>
      </c>
      <c r="M15" s="46">
        <v>3.2</v>
      </c>
      <c r="N15" s="46">
        <v>3.2</v>
      </c>
      <c r="O15" s="46">
        <v>3.2</v>
      </c>
      <c r="P15" s="46">
        <v>3.2</v>
      </c>
      <c r="Q15" s="46">
        <v>3.2</v>
      </c>
      <c r="R15" s="46">
        <v>3.2</v>
      </c>
    </row>
    <row r="16" spans="1:18" x14ac:dyDescent="0.35">
      <c r="A16" s="9" t="s">
        <v>798</v>
      </c>
      <c r="B16" s="9" t="s">
        <v>799</v>
      </c>
      <c r="C16" s="37">
        <v>958318.44241827505</v>
      </c>
      <c r="D16" s="37">
        <v>959935.01020475198</v>
      </c>
      <c r="E16" s="37">
        <v>957949.34223435295</v>
      </c>
      <c r="F16" s="37">
        <v>958733.48977214703</v>
      </c>
      <c r="G16" s="37">
        <v>958871.91879357398</v>
      </c>
      <c r="H16" s="37">
        <v>958518.07805595198</v>
      </c>
      <c r="I16" s="37">
        <v>958707.80676362501</v>
      </c>
      <c r="J16" s="37">
        <v>958699.24606656295</v>
      </c>
      <c r="K16" s="37">
        <v>958641.70230994595</v>
      </c>
      <c r="L16" s="37">
        <v>958682.91748129705</v>
      </c>
      <c r="M16" s="37">
        <v>958674.62134103302</v>
      </c>
      <c r="N16" s="37">
        <v>958666.41338029795</v>
      </c>
      <c r="O16" s="37">
        <v>958674.65068685496</v>
      </c>
      <c r="P16" s="37">
        <v>958671.89512038894</v>
      </c>
      <c r="Q16" s="37">
        <v>958670.98638361995</v>
      </c>
      <c r="R16" s="37">
        <v>958672.51072775596</v>
      </c>
    </row>
    <row r="17" spans="1:18" x14ac:dyDescent="0.35">
      <c r="A17" s="9" t="s">
        <v>800</v>
      </c>
      <c r="B17" s="9" t="s">
        <v>801</v>
      </c>
      <c r="C17" s="46">
        <v>0.925099381901623</v>
      </c>
      <c r="D17" s="46">
        <v>0.92522551744738202</v>
      </c>
      <c r="E17" s="46">
        <v>0.92507052251345201</v>
      </c>
      <c r="F17" s="46">
        <v>0.92513180728748601</v>
      </c>
      <c r="G17" s="46">
        <v>0.92514261574944001</v>
      </c>
      <c r="H17" s="46">
        <v>0.92511498185012597</v>
      </c>
      <c r="I17" s="46">
        <v>0.92512980162901703</v>
      </c>
      <c r="J17" s="46">
        <v>0.92512913307619504</v>
      </c>
      <c r="K17" s="46">
        <v>0.92512463885177898</v>
      </c>
      <c r="L17" s="46">
        <v>0.92512785785232998</v>
      </c>
      <c r="M17" s="46">
        <v>0.925127209926768</v>
      </c>
      <c r="N17" s="46">
        <v>0.92512656887695899</v>
      </c>
      <c r="O17" s="46">
        <v>0.92512721221868599</v>
      </c>
      <c r="P17" s="46">
        <v>0.92512699700747103</v>
      </c>
      <c r="Q17" s="46">
        <v>0.92512692603437197</v>
      </c>
      <c r="R17" s="46">
        <v>0.92512704508684296</v>
      </c>
    </row>
    <row r="18" spans="1:18" x14ac:dyDescent="0.35">
      <c r="A18" s="9" t="s">
        <v>802</v>
      </c>
      <c r="B18" s="9" t="s">
        <v>52</v>
      </c>
      <c r="C18" s="37">
        <v>886539.79874607304</v>
      </c>
      <c r="D18" s="37">
        <v>888156.36653254996</v>
      </c>
      <c r="E18" s="37">
        <v>886170.69856215105</v>
      </c>
      <c r="F18" s="37">
        <v>886954.84609994502</v>
      </c>
      <c r="G18" s="37">
        <v>887093.27512137196</v>
      </c>
      <c r="H18" s="37">
        <v>886739.43438374996</v>
      </c>
      <c r="I18" s="37">
        <v>886929.16309142194</v>
      </c>
      <c r="J18" s="37">
        <v>886920.60239436105</v>
      </c>
      <c r="K18" s="37">
        <v>886863.05863774405</v>
      </c>
      <c r="L18" s="37">
        <v>886904.27380909503</v>
      </c>
      <c r="M18" s="37">
        <v>886895.97766883101</v>
      </c>
      <c r="N18" s="37">
        <v>886887.76970809605</v>
      </c>
      <c r="O18" s="37">
        <v>886896.00701465202</v>
      </c>
      <c r="P18" s="37">
        <v>886893.25144818705</v>
      </c>
      <c r="Q18" s="37">
        <v>886892.34271141805</v>
      </c>
      <c r="R18" s="37">
        <v>886893.86705555394</v>
      </c>
    </row>
    <row r="19" spans="1:18" x14ac:dyDescent="0.35">
      <c r="A19" s="9" t="s">
        <v>803</v>
      </c>
      <c r="B19" s="9" t="s">
        <v>804</v>
      </c>
      <c r="C19" s="37">
        <v>2949.9992386128602</v>
      </c>
      <c r="D19" s="37">
        <v>3000</v>
      </c>
      <c r="E19" s="37">
        <v>3100</v>
      </c>
      <c r="F19" s="37">
        <v>3100</v>
      </c>
      <c r="G19" s="37">
        <v>3100</v>
      </c>
      <c r="H19" s="37">
        <v>3100</v>
      </c>
      <c r="I19" s="37">
        <v>3100</v>
      </c>
      <c r="J19" s="37">
        <v>3100</v>
      </c>
      <c r="K19" s="37">
        <v>3100</v>
      </c>
      <c r="L19" s="37">
        <v>3100</v>
      </c>
      <c r="M19" s="37">
        <v>3100</v>
      </c>
      <c r="N19" s="37">
        <v>3100</v>
      </c>
      <c r="O19" s="37">
        <v>3100</v>
      </c>
      <c r="P19" s="37">
        <v>3100</v>
      </c>
      <c r="Q19" s="37">
        <v>3100</v>
      </c>
      <c r="R19" s="37">
        <v>3100</v>
      </c>
    </row>
    <row r="20" spans="1:18" x14ac:dyDescent="0.35">
      <c r="A20" s="9" t="s">
        <v>805</v>
      </c>
      <c r="B20" s="9" t="s">
        <v>806</v>
      </c>
      <c r="C20" s="37">
        <v>2615291731.30091</v>
      </c>
      <c r="D20" s="37">
        <v>2664469099.5976501</v>
      </c>
      <c r="E20" s="37">
        <v>2747129165.5426698</v>
      </c>
      <c r="F20" s="37">
        <v>2749560022.9098301</v>
      </c>
      <c r="G20" s="37">
        <v>2749989152.8762498</v>
      </c>
      <c r="H20" s="37">
        <v>2748892246.5896201</v>
      </c>
      <c r="I20" s="37">
        <v>2749480405.5834098</v>
      </c>
      <c r="J20" s="37">
        <v>2749453867.4225202</v>
      </c>
      <c r="K20" s="37">
        <v>2749275481.77701</v>
      </c>
      <c r="L20" s="37">
        <v>2749403248.8081899</v>
      </c>
      <c r="M20" s="37">
        <v>2749377530.7733698</v>
      </c>
      <c r="N20" s="37">
        <v>2749352086.0950999</v>
      </c>
      <c r="O20" s="37">
        <v>2749377621.74542</v>
      </c>
      <c r="P20" s="37">
        <v>2749369079.4893799</v>
      </c>
      <c r="Q20" s="37">
        <v>2749366262.4053998</v>
      </c>
      <c r="R20" s="37">
        <v>2749370987.87222</v>
      </c>
    </row>
    <row r="21" spans="1:18" x14ac:dyDescent="0.35">
      <c r="A21" s="9" t="s">
        <v>807</v>
      </c>
      <c r="B21" s="9" t="s">
        <v>808</v>
      </c>
      <c r="C21" s="46">
        <v>7.4900618098376601E-2</v>
      </c>
      <c r="D21" s="46">
        <v>7.4774482552617899E-2</v>
      </c>
      <c r="E21" s="46">
        <v>7.4929477486547894E-2</v>
      </c>
      <c r="F21" s="46">
        <v>7.4868192712514103E-2</v>
      </c>
      <c r="G21" s="46">
        <v>7.4857384250559905E-2</v>
      </c>
      <c r="H21" s="46">
        <v>7.4885018149874E-2</v>
      </c>
      <c r="I21" s="46">
        <v>7.4870198370982702E-2</v>
      </c>
      <c r="J21" s="46">
        <v>7.4870866923805499E-2</v>
      </c>
      <c r="K21" s="46">
        <v>7.4875361148220701E-2</v>
      </c>
      <c r="L21" s="46">
        <v>7.4872142147669601E-2</v>
      </c>
      <c r="M21" s="46">
        <v>7.4872790073231998E-2</v>
      </c>
      <c r="N21" s="46">
        <v>7.4873431123040804E-2</v>
      </c>
      <c r="O21" s="46">
        <v>7.4872787781314107E-2</v>
      </c>
      <c r="P21" s="46">
        <v>7.4873002992528997E-2</v>
      </c>
      <c r="Q21" s="46">
        <v>7.4873073965628006E-2</v>
      </c>
      <c r="R21" s="46">
        <v>7.4872954913157E-2</v>
      </c>
    </row>
    <row r="22" spans="1:18" x14ac:dyDescent="0.35">
      <c r="A22" s="9" t="s">
        <v>809</v>
      </c>
      <c r="B22" s="9" t="s">
        <v>52</v>
      </c>
      <c r="C22" s="37">
        <v>50167.5</v>
      </c>
      <c r="D22" s="37">
        <v>50167.5</v>
      </c>
      <c r="E22" s="37">
        <v>50167.5</v>
      </c>
      <c r="F22" s="37">
        <v>50167.5</v>
      </c>
      <c r="G22" s="37">
        <v>50167.5</v>
      </c>
      <c r="H22" s="37">
        <v>50167.5</v>
      </c>
      <c r="I22" s="37">
        <v>50167.5</v>
      </c>
      <c r="J22" s="37">
        <v>50167.5</v>
      </c>
      <c r="K22" s="37">
        <v>50167.5</v>
      </c>
      <c r="L22" s="37">
        <v>50167.5</v>
      </c>
      <c r="M22" s="37">
        <v>50167.5</v>
      </c>
      <c r="N22" s="37">
        <v>50167.5</v>
      </c>
      <c r="O22" s="37">
        <v>50167.5</v>
      </c>
      <c r="P22" s="37">
        <v>50167.5</v>
      </c>
      <c r="Q22" s="37">
        <v>50167.5</v>
      </c>
      <c r="R22" s="37">
        <v>50167.5</v>
      </c>
    </row>
    <row r="23" spans="1:18" x14ac:dyDescent="0.35">
      <c r="A23" s="9" t="s">
        <v>810</v>
      </c>
      <c r="B23" s="9" t="s">
        <v>804</v>
      </c>
      <c r="C23" s="37">
        <v>4600.0004983305898</v>
      </c>
      <c r="D23" s="37">
        <v>4700</v>
      </c>
      <c r="E23" s="37">
        <v>4700</v>
      </c>
      <c r="F23" s="37">
        <v>4700</v>
      </c>
      <c r="G23" s="37">
        <v>4700</v>
      </c>
      <c r="H23" s="37">
        <v>4700</v>
      </c>
      <c r="I23" s="37">
        <v>4700</v>
      </c>
      <c r="J23" s="37">
        <v>4700</v>
      </c>
      <c r="K23" s="37">
        <v>4700</v>
      </c>
      <c r="L23" s="37">
        <v>4700</v>
      </c>
      <c r="M23" s="37">
        <v>4700</v>
      </c>
      <c r="N23" s="37">
        <v>4700</v>
      </c>
      <c r="O23" s="37">
        <v>4700</v>
      </c>
      <c r="P23" s="37">
        <v>4700</v>
      </c>
      <c r="Q23" s="37">
        <v>4700</v>
      </c>
      <c r="R23" s="37">
        <v>4700</v>
      </c>
    </row>
    <row r="24" spans="1:18" x14ac:dyDescent="0.35">
      <c r="A24" s="9" t="s">
        <v>811</v>
      </c>
      <c r="B24" s="9" t="s">
        <v>812</v>
      </c>
      <c r="C24" s="37">
        <v>230770525</v>
      </c>
      <c r="D24" s="37">
        <v>235787250</v>
      </c>
      <c r="E24" s="37">
        <v>235787250</v>
      </c>
      <c r="F24" s="37">
        <v>235787250</v>
      </c>
      <c r="G24" s="37">
        <v>235787250</v>
      </c>
      <c r="H24" s="37">
        <v>235787250</v>
      </c>
      <c r="I24" s="37">
        <v>235787250</v>
      </c>
      <c r="J24" s="37">
        <v>235787250</v>
      </c>
      <c r="K24" s="37">
        <v>235787250</v>
      </c>
      <c r="L24" s="37">
        <v>235787250</v>
      </c>
      <c r="M24" s="37">
        <v>235787250</v>
      </c>
      <c r="N24" s="37">
        <v>235787250</v>
      </c>
      <c r="O24" s="37">
        <v>235787250</v>
      </c>
      <c r="P24" s="37">
        <v>235787250</v>
      </c>
      <c r="Q24" s="37">
        <v>235787250</v>
      </c>
      <c r="R24" s="37">
        <v>235787250</v>
      </c>
    </row>
    <row r="25" spans="1:18" x14ac:dyDescent="0.35">
      <c r="A25" s="9" t="s">
        <v>813</v>
      </c>
      <c r="B25" s="9" t="s">
        <v>814</v>
      </c>
      <c r="C25" s="46">
        <v>0.69891958712822999</v>
      </c>
      <c r="D25" s="46">
        <v>0.69891958712822999</v>
      </c>
      <c r="E25" s="46">
        <v>0.69891958712822999</v>
      </c>
      <c r="F25" s="46">
        <v>0.69891958712822999</v>
      </c>
      <c r="G25" s="46">
        <v>0.69891958712822999</v>
      </c>
      <c r="H25" s="46">
        <v>0.69891958712822999</v>
      </c>
      <c r="I25" s="46">
        <v>0.69891958712822999</v>
      </c>
      <c r="J25" s="46">
        <v>0.69891958712822999</v>
      </c>
      <c r="K25" s="46">
        <v>0.69891958712822999</v>
      </c>
      <c r="L25" s="46">
        <v>0.69891958712822999</v>
      </c>
      <c r="M25" s="46">
        <v>0.69891958712822999</v>
      </c>
      <c r="N25" s="46">
        <v>0.69891958712822999</v>
      </c>
      <c r="O25" s="46">
        <v>0.69891958712822999</v>
      </c>
      <c r="P25" s="46">
        <v>0.69891958712822999</v>
      </c>
      <c r="Q25" s="46">
        <v>0.69891958712822999</v>
      </c>
      <c r="R25" s="46">
        <v>0.69891958712822999</v>
      </c>
    </row>
    <row r="26" spans="1:18" x14ac:dyDescent="0.35">
      <c r="A26" s="9" t="s">
        <v>815</v>
      </c>
      <c r="B26" s="9" t="s">
        <v>816</v>
      </c>
      <c r="C26" s="46">
        <v>0.28196708350199501</v>
      </c>
      <c r="D26" s="46">
        <v>0.28196708350199501</v>
      </c>
      <c r="E26" s="46">
        <v>0.28196708350199501</v>
      </c>
      <c r="F26" s="46">
        <v>0.28196708350199501</v>
      </c>
      <c r="G26" s="46">
        <v>0.28196708350199501</v>
      </c>
      <c r="H26" s="46">
        <v>0.28196708350199501</v>
      </c>
      <c r="I26" s="46">
        <v>0.28196708350199501</v>
      </c>
      <c r="J26" s="46">
        <v>0.28196708350199501</v>
      </c>
      <c r="K26" s="46">
        <v>0.28196708350199501</v>
      </c>
      <c r="L26" s="46">
        <v>0.28196708350199501</v>
      </c>
      <c r="M26" s="46">
        <v>0.28196708350199501</v>
      </c>
      <c r="N26" s="46">
        <v>0.28196708350199501</v>
      </c>
      <c r="O26" s="46">
        <v>0.28196708350199501</v>
      </c>
      <c r="P26" s="46">
        <v>0.28196708350199501</v>
      </c>
      <c r="Q26" s="46">
        <v>0.28196708350199501</v>
      </c>
      <c r="R26" s="46">
        <v>0.28196708350199501</v>
      </c>
    </row>
    <row r="27" spans="1:18" x14ac:dyDescent="0.35">
      <c r="A27" s="9" t="s">
        <v>817</v>
      </c>
      <c r="B27" s="9" t="s">
        <v>52</v>
      </c>
      <c r="C27" s="37">
        <v>84441.955085892303</v>
      </c>
      <c r="D27" s="37">
        <v>84584.3984934037</v>
      </c>
      <c r="E27" s="37">
        <v>84409.431928898397</v>
      </c>
      <c r="F27" s="37">
        <v>84478.526864606902</v>
      </c>
      <c r="G27" s="37">
        <v>84490.724498183103</v>
      </c>
      <c r="H27" s="37">
        <v>84459.545922929494</v>
      </c>
      <c r="I27" s="37">
        <v>84476.263813666694</v>
      </c>
      <c r="J27" s="37">
        <v>84475.509490296899</v>
      </c>
      <c r="K27" s="37">
        <v>84470.439038663506</v>
      </c>
      <c r="L27" s="37">
        <v>84474.070701682795</v>
      </c>
      <c r="M27" s="37">
        <v>84473.339689659493</v>
      </c>
      <c r="N27" s="37">
        <v>84472.616447550201</v>
      </c>
      <c r="O27" s="37">
        <v>84473.342275458199</v>
      </c>
      <c r="P27" s="37">
        <v>84473.099469508306</v>
      </c>
      <c r="Q27" s="37">
        <v>84473.019396428193</v>
      </c>
      <c r="R27" s="37">
        <v>84473.153713575099</v>
      </c>
    </row>
    <row r="28" spans="1:18" x14ac:dyDescent="0.35">
      <c r="A28" s="9" t="s">
        <v>818</v>
      </c>
      <c r="B28" s="9" t="s">
        <v>804</v>
      </c>
      <c r="C28" s="37">
        <v>16796.409879772</v>
      </c>
      <c r="D28" s="37">
        <v>16774.634009465699</v>
      </c>
      <c r="E28" s="37">
        <v>16772.354069528101</v>
      </c>
      <c r="F28" s="37">
        <v>16772.114334387799</v>
      </c>
      <c r="G28" s="37">
        <v>16772.089204902899</v>
      </c>
      <c r="H28" s="37">
        <v>16772.0865690596</v>
      </c>
      <c r="I28" s="37">
        <v>16772.0862924176</v>
      </c>
      <c r="J28" s="37">
        <v>16772.086263401001</v>
      </c>
      <c r="K28" s="37">
        <v>16772.086260356798</v>
      </c>
      <c r="L28" s="37">
        <v>16772.086260037398</v>
      </c>
      <c r="M28" s="37">
        <v>16772.0862600039</v>
      </c>
      <c r="N28" s="37">
        <v>16772.0862600004</v>
      </c>
      <c r="O28" s="37">
        <v>16772.08626</v>
      </c>
      <c r="P28" s="37">
        <v>16772.08626</v>
      </c>
      <c r="Q28" s="37">
        <v>16772.08626</v>
      </c>
      <c r="R28" s="37">
        <v>16772.08626</v>
      </c>
    </row>
    <row r="29" spans="1:18" x14ac:dyDescent="0.35">
      <c r="A29" s="9" t="s">
        <v>819</v>
      </c>
      <c r="B29" s="9" t="s">
        <v>53</v>
      </c>
      <c r="C29" s="37">
        <v>1418321688.6719501</v>
      </c>
      <c r="D29" s="37">
        <v>1418872327.63765</v>
      </c>
      <c r="E29" s="37">
        <v>1415744879.11921</v>
      </c>
      <c r="F29" s="37">
        <v>1416883511.3738401</v>
      </c>
      <c r="G29" s="37">
        <v>1417085968.2704</v>
      </c>
      <c r="H29" s="37">
        <v>1416562815.80284</v>
      </c>
      <c r="I29" s="37">
        <v>1416843186.3438499</v>
      </c>
      <c r="J29" s="37">
        <v>1416830532.31601</v>
      </c>
      <c r="K29" s="37">
        <v>1416745490.00668</v>
      </c>
      <c r="L29" s="37">
        <v>1416806400.54512</v>
      </c>
      <c r="M29" s="37">
        <v>1416794139.94558</v>
      </c>
      <c r="N29" s="37">
        <v>1416782009.66624</v>
      </c>
      <c r="O29" s="37">
        <v>1416794183.3144901</v>
      </c>
      <c r="P29" s="37">
        <v>1416790110.9521501</v>
      </c>
      <c r="Q29" s="37">
        <v>1416788767.9595499</v>
      </c>
      <c r="R29" s="37">
        <v>1416791020.7383201</v>
      </c>
    </row>
    <row r="30" spans="1:18" x14ac:dyDescent="0.35">
      <c r="A30" s="9" t="s">
        <v>820</v>
      </c>
      <c r="B30" s="9" t="s">
        <v>816</v>
      </c>
      <c r="C30" s="46">
        <v>1.52035837646631E-2</v>
      </c>
      <c r="D30" s="46">
        <v>1.52035837646631E-2</v>
      </c>
      <c r="E30" s="46">
        <v>1.52035837646631E-2</v>
      </c>
      <c r="F30" s="46">
        <v>1.52035837646631E-2</v>
      </c>
      <c r="G30" s="46">
        <v>1.52035837646631E-2</v>
      </c>
      <c r="H30" s="46">
        <v>1.52035837646631E-2</v>
      </c>
      <c r="I30" s="46">
        <v>1.52035837646631E-2</v>
      </c>
      <c r="J30" s="46">
        <v>1.52035837646631E-2</v>
      </c>
      <c r="K30" s="46">
        <v>1.52035837646631E-2</v>
      </c>
      <c r="L30" s="46">
        <v>1.52035837646631E-2</v>
      </c>
      <c r="M30" s="46">
        <v>1.52035837646631E-2</v>
      </c>
      <c r="N30" s="46">
        <v>1.52035837646631E-2</v>
      </c>
      <c r="O30" s="46">
        <v>1.52035837646631E-2</v>
      </c>
      <c r="P30" s="46">
        <v>1.52035837646631E-2</v>
      </c>
      <c r="Q30" s="46">
        <v>1.52035837646631E-2</v>
      </c>
      <c r="R30" s="46">
        <v>1.52035837646631E-2</v>
      </c>
    </row>
    <row r="31" spans="1:18" x14ac:dyDescent="0.35">
      <c r="A31" s="9" t="s">
        <v>821</v>
      </c>
      <c r="B31" s="9" t="s">
        <v>52</v>
      </c>
      <c r="C31" s="37">
        <v>4553.0858476649</v>
      </c>
      <c r="D31" s="37">
        <v>4560.7663550877096</v>
      </c>
      <c r="E31" s="37">
        <v>4551.3322084262199</v>
      </c>
      <c r="F31" s="37">
        <v>4555.05778741831</v>
      </c>
      <c r="G31" s="37">
        <v>4555.7154803004096</v>
      </c>
      <c r="H31" s="37">
        <v>4554.0343405210997</v>
      </c>
      <c r="I31" s="37">
        <v>4554.93576436475</v>
      </c>
      <c r="J31" s="37">
        <v>4554.8950914663501</v>
      </c>
      <c r="K31" s="37">
        <v>4554.6216941776502</v>
      </c>
      <c r="L31" s="37">
        <v>4554.8175123995297</v>
      </c>
      <c r="M31" s="37">
        <v>4554.7780964422</v>
      </c>
      <c r="N31" s="37">
        <v>4554.7390994363996</v>
      </c>
      <c r="O31" s="37">
        <v>4554.7782358677196</v>
      </c>
      <c r="P31" s="37">
        <v>4554.7651438409803</v>
      </c>
      <c r="Q31" s="37">
        <v>4554.7608263236098</v>
      </c>
      <c r="R31" s="37">
        <v>4554.7680686654103</v>
      </c>
    </row>
    <row r="32" spans="1:18" x14ac:dyDescent="0.35">
      <c r="A32" s="9" t="s">
        <v>822</v>
      </c>
      <c r="B32" s="9" t="s">
        <v>54</v>
      </c>
      <c r="C32" s="37">
        <v>1044933192.51606</v>
      </c>
      <c r="D32" s="37">
        <v>1046695878.49263</v>
      </c>
      <c r="E32" s="37">
        <v>1044530741.83382</v>
      </c>
      <c r="F32" s="37">
        <v>1045385762.2125</v>
      </c>
      <c r="G32" s="37">
        <v>1045536702.72894</v>
      </c>
      <c r="H32" s="37">
        <v>1045150881.14959</v>
      </c>
      <c r="I32" s="37">
        <v>1045357757.92171</v>
      </c>
      <c r="J32" s="37">
        <v>1045348423.4915299</v>
      </c>
      <c r="K32" s="37">
        <v>1045285678.8137701</v>
      </c>
      <c r="L32" s="37">
        <v>1045330619.09569</v>
      </c>
      <c r="M32" s="37">
        <v>1045321573.13349</v>
      </c>
      <c r="N32" s="37">
        <v>1045312623.32065</v>
      </c>
      <c r="O32" s="37">
        <v>1045321605.13164</v>
      </c>
      <c r="P32" s="37">
        <v>1045318600.51151</v>
      </c>
      <c r="Q32" s="37">
        <v>1045317609.64127</v>
      </c>
      <c r="R32" s="37">
        <v>1045319271.75871</v>
      </c>
    </row>
    <row r="33" spans="1:18" x14ac:dyDescent="0.35">
      <c r="A33" s="9" t="s">
        <v>823</v>
      </c>
      <c r="B33" s="9" t="s">
        <v>52</v>
      </c>
      <c r="C33" s="37">
        <v>2157.8943763256102</v>
      </c>
      <c r="D33" s="37">
        <v>2161.5344842281402</v>
      </c>
      <c r="E33" s="37">
        <v>2157.06325466924</v>
      </c>
      <c r="F33" s="37">
        <v>2158.8289595613901</v>
      </c>
      <c r="G33" s="37">
        <v>2159.1406672293601</v>
      </c>
      <c r="H33" s="37">
        <v>2158.3439060443202</v>
      </c>
      <c r="I33" s="37">
        <v>2158.7711278248798</v>
      </c>
      <c r="J33" s="37">
        <v>2158.7518512679098</v>
      </c>
      <c r="K33" s="37">
        <v>2158.6222770644999</v>
      </c>
      <c r="L33" s="37">
        <v>2158.7150833620099</v>
      </c>
      <c r="M33" s="37">
        <v>2158.69640252104</v>
      </c>
      <c r="N33" s="37">
        <v>2158.6779202384</v>
      </c>
      <c r="O33" s="37">
        <v>2158.6964686005199</v>
      </c>
      <c r="P33" s="37">
        <v>2158.6902637513599</v>
      </c>
      <c r="Q33" s="37">
        <v>2158.6882175025598</v>
      </c>
      <c r="R33" s="37">
        <v>2158.6916499457798</v>
      </c>
    </row>
    <row r="34" spans="1:18" x14ac:dyDescent="0.35">
      <c r="A34" s="9" t="s">
        <v>824</v>
      </c>
      <c r="B34" s="9" t="s">
        <v>804</v>
      </c>
      <c r="C34" s="37">
        <v>4630.0491108003798</v>
      </c>
      <c r="D34" s="37">
        <v>4626.1795798090197</v>
      </c>
      <c r="E34" s="37">
        <v>4623.4142183342401</v>
      </c>
      <c r="F34" s="37">
        <v>4621.3957757639</v>
      </c>
      <c r="G34" s="37">
        <v>4619.94037255085</v>
      </c>
      <c r="H34" s="37">
        <v>4618.88980716269</v>
      </c>
      <c r="I34" s="37">
        <v>4618.1289370940103</v>
      </c>
      <c r="J34" s="37">
        <v>4617.5793016519501</v>
      </c>
      <c r="K34" s="37">
        <v>4617.1820138940902</v>
      </c>
      <c r="L34" s="37">
        <v>4616.8947159927402</v>
      </c>
      <c r="M34" s="37">
        <v>4616.6870622591896</v>
      </c>
      <c r="N34" s="37">
        <v>4616.5369458795103</v>
      </c>
      <c r="O34" s="37">
        <v>4616.4284194006104</v>
      </c>
      <c r="P34" s="37">
        <v>4616.3499675008898</v>
      </c>
      <c r="Q34" s="37">
        <v>4616.2932533582398</v>
      </c>
      <c r="R34" s="37">
        <v>4616.2522538040603</v>
      </c>
    </row>
    <row r="35" spans="1:18" x14ac:dyDescent="0.35">
      <c r="A35" s="9" t="s">
        <v>825</v>
      </c>
      <c r="B35" s="9" t="s">
        <v>826</v>
      </c>
      <c r="C35" s="37">
        <v>9991156.9383075107</v>
      </c>
      <c r="D35" s="37">
        <v>9999646.6919892505</v>
      </c>
      <c r="E35" s="37">
        <v>9972996.9214841202</v>
      </c>
      <c r="F35" s="37">
        <v>9976803.0343138091</v>
      </c>
      <c r="G35" s="37">
        <v>9975101.1385493204</v>
      </c>
      <c r="H35" s="37">
        <v>9969152.6679798104</v>
      </c>
      <c r="I35" s="37">
        <v>9969483.4139711596</v>
      </c>
      <c r="J35" s="37">
        <v>9968207.8658175394</v>
      </c>
      <c r="K35" s="37">
        <v>9966751.9524533097</v>
      </c>
      <c r="L35" s="37">
        <v>9966560.2617078908</v>
      </c>
      <c r="M35" s="37">
        <v>9966025.7528643403</v>
      </c>
      <c r="N35" s="37">
        <v>9965616.3730349205</v>
      </c>
      <c r="O35" s="37">
        <v>9965467.7265071608</v>
      </c>
      <c r="P35" s="37">
        <v>9965269.7289130893</v>
      </c>
      <c r="Q35" s="37">
        <v>9965137.8545609899</v>
      </c>
      <c r="R35" s="37">
        <v>9965065.1943302099</v>
      </c>
    </row>
    <row r="36" spans="1:18" x14ac:dyDescent="0.35">
      <c r="A36" s="9" t="s">
        <v>827</v>
      </c>
      <c r="B36" s="9" t="s">
        <v>52</v>
      </c>
      <c r="C36" s="46">
        <v>305.14579611920499</v>
      </c>
      <c r="D36" s="46">
        <v>305.660540323585</v>
      </c>
      <c r="E36" s="46">
        <v>305.02826799443397</v>
      </c>
      <c r="F36" s="46">
        <v>305.27795464774698</v>
      </c>
      <c r="G36" s="46">
        <v>305.32203293329297</v>
      </c>
      <c r="H36" s="46">
        <v>305.20936369016698</v>
      </c>
      <c r="I36" s="46">
        <v>305.26977671676298</v>
      </c>
      <c r="J36" s="46">
        <v>305.26705083713398</v>
      </c>
      <c r="K36" s="46">
        <v>305.248727871982</v>
      </c>
      <c r="L36" s="46">
        <v>305.26185152244898</v>
      </c>
      <c r="M36" s="46">
        <v>305.259209882454</v>
      </c>
      <c r="N36" s="46">
        <v>305.25659632040401</v>
      </c>
      <c r="O36" s="46">
        <v>305.25921922668999</v>
      </c>
      <c r="P36" s="46">
        <v>305.25834180485901</v>
      </c>
      <c r="Q36" s="46">
        <v>305.25805244675797</v>
      </c>
      <c r="R36" s="46">
        <v>305.258537825296</v>
      </c>
    </row>
    <row r="37" spans="1:18" x14ac:dyDescent="0.35">
      <c r="A37" s="9" t="s">
        <v>828</v>
      </c>
      <c r="B37" s="9" t="s">
        <v>804</v>
      </c>
      <c r="C37" s="37">
        <v>31999.803314511701</v>
      </c>
      <c r="D37" s="37">
        <v>31542.625913469601</v>
      </c>
      <c r="E37" s="37">
        <v>31233.237937795198</v>
      </c>
      <c r="F37" s="37">
        <v>31020.1199246178</v>
      </c>
      <c r="G37" s="37">
        <v>30874.8294305364</v>
      </c>
      <c r="H37" s="37">
        <v>30775.680799431098</v>
      </c>
      <c r="I37" s="37">
        <v>30707.831449863501</v>
      </c>
      <c r="J37" s="37">
        <v>30661.502351357401</v>
      </c>
      <c r="K37" s="37">
        <v>30629.850965944101</v>
      </c>
      <c r="L37" s="37">
        <v>30608.2190663601</v>
      </c>
      <c r="M37" s="37">
        <v>30593.4412263165</v>
      </c>
      <c r="N37" s="37">
        <v>30583.3441261345</v>
      </c>
      <c r="O37" s="37">
        <v>30576.444938169901</v>
      </c>
      <c r="P37" s="37">
        <v>30571.731196810899</v>
      </c>
      <c r="Q37" s="37">
        <v>30568.510493805501</v>
      </c>
      <c r="R37" s="37">
        <v>30566.309922986798</v>
      </c>
    </row>
    <row r="38" spans="1:18" x14ac:dyDescent="0.35">
      <c r="A38" s="9" t="s">
        <v>829</v>
      </c>
      <c r="B38" s="9" t="s">
        <v>268</v>
      </c>
      <c r="C38" s="37">
        <v>9764605.4580646399</v>
      </c>
      <c r="D38" s="37">
        <v>9641336.0799358208</v>
      </c>
      <c r="E38" s="37">
        <v>9527020.4720237199</v>
      </c>
      <c r="F38" s="37">
        <v>9469758.7635151204</v>
      </c>
      <c r="G38" s="37">
        <v>9426765.6882000305</v>
      </c>
      <c r="H38" s="37">
        <v>9393025.9539260492</v>
      </c>
      <c r="I38" s="37">
        <v>9374172.8501558304</v>
      </c>
      <c r="J38" s="37">
        <v>9359946.3970347308</v>
      </c>
      <c r="K38" s="37">
        <v>9349723.0422628596</v>
      </c>
      <c r="L38" s="37">
        <v>9343521.6240018103</v>
      </c>
      <c r="M38" s="37">
        <v>9338929.6963306796</v>
      </c>
      <c r="N38" s="37">
        <v>9335767.5320394505</v>
      </c>
      <c r="O38" s="37">
        <v>9333741.7085536197</v>
      </c>
      <c r="P38" s="37">
        <v>9332275.9712423608</v>
      </c>
      <c r="Q38" s="37">
        <v>9331283.9795373492</v>
      </c>
      <c r="R38" s="37">
        <v>9330627.0738057792</v>
      </c>
    </row>
    <row r="39" spans="1:18" x14ac:dyDescent="0.35">
      <c r="A39" s="9" t="s">
        <v>830</v>
      </c>
      <c r="B39" s="9" t="s">
        <v>52</v>
      </c>
      <c r="C39" s="37">
        <v>2086.62400790226</v>
      </c>
      <c r="D39" s="37">
        <v>2090.1438912775102</v>
      </c>
      <c r="E39" s="37">
        <v>2085.8203363135699</v>
      </c>
      <c r="F39" s="37">
        <v>2087.5277239685201</v>
      </c>
      <c r="G39" s="37">
        <v>2087.8291366375402</v>
      </c>
      <c r="H39" s="37">
        <v>2087.0586906715498</v>
      </c>
      <c r="I39" s="37">
        <v>2087.4718022834099</v>
      </c>
      <c r="J39" s="37">
        <v>2087.4531623875</v>
      </c>
      <c r="K39" s="37">
        <v>2087.3278677268199</v>
      </c>
      <c r="L39" s="37">
        <v>2087.4176088423301</v>
      </c>
      <c r="M39" s="37">
        <v>2087.39954498726</v>
      </c>
      <c r="N39" s="37">
        <v>2087.3816731326001</v>
      </c>
      <c r="O39" s="37">
        <v>2087.39960888429</v>
      </c>
      <c r="P39" s="37">
        <v>2087.3936089672602</v>
      </c>
      <c r="Q39" s="37">
        <v>2087.3916303014298</v>
      </c>
      <c r="R39" s="37">
        <v>2087.39494937881</v>
      </c>
    </row>
    <row r="40" spans="1:18" x14ac:dyDescent="0.35">
      <c r="A40" s="9" t="s">
        <v>831</v>
      </c>
      <c r="B40" s="9" t="s">
        <v>804</v>
      </c>
      <c r="C40" s="37">
        <v>34879.083979057599</v>
      </c>
      <c r="D40" s="37">
        <v>33900.038425008897</v>
      </c>
      <c r="E40" s="37">
        <v>33127.132905379702</v>
      </c>
      <c r="F40" s="37">
        <v>32725.337495661199</v>
      </c>
      <c r="G40" s="37">
        <v>32517.8604235598</v>
      </c>
      <c r="H40" s="37">
        <v>32410.633919260799</v>
      </c>
      <c r="I40" s="37">
        <v>32355.125367417499</v>
      </c>
      <c r="J40" s="37">
        <v>32326.430026639799</v>
      </c>
      <c r="K40" s="37">
        <v>32311.590325880799</v>
      </c>
      <c r="L40" s="37">
        <v>32303.914364455599</v>
      </c>
      <c r="M40" s="37">
        <v>32299.944974766</v>
      </c>
      <c r="N40" s="37">
        <v>32297.8921059983</v>
      </c>
      <c r="O40" s="37">
        <v>32296.8303944658</v>
      </c>
      <c r="P40" s="37">
        <v>32296.281320163798</v>
      </c>
      <c r="Q40" s="37">
        <v>32295.997353792602</v>
      </c>
      <c r="R40" s="37">
        <v>32295.850494256101</v>
      </c>
    </row>
    <row r="41" spans="1:18" x14ac:dyDescent="0.35">
      <c r="A41" s="9" t="s">
        <v>832</v>
      </c>
      <c r="B41" s="9" t="s">
        <v>271</v>
      </c>
      <c r="C41" s="37">
        <v>72779534.004340693</v>
      </c>
      <c r="D41" s="37">
        <v>70855958.228105307</v>
      </c>
      <c r="E41" s="37">
        <v>69097247.497803494</v>
      </c>
      <c r="F41" s="37">
        <v>68315049.298419505</v>
      </c>
      <c r="G41" s="37">
        <v>67891736.453420997</v>
      </c>
      <c r="H41" s="37">
        <v>67642895.191367403</v>
      </c>
      <c r="I41" s="37">
        <v>67540411.863828495</v>
      </c>
      <c r="J41" s="37">
        <v>67479908.587807298</v>
      </c>
      <c r="K41" s="37">
        <v>67444882.937783495</v>
      </c>
      <c r="L41" s="37">
        <v>67431759.678899199</v>
      </c>
      <c r="M41" s="37">
        <v>67422890.443440199</v>
      </c>
      <c r="N41" s="37">
        <v>67418028.062874898</v>
      </c>
      <c r="O41" s="37">
        <v>67416391.133609995</v>
      </c>
      <c r="P41" s="37">
        <v>67415051.221118599</v>
      </c>
      <c r="Q41" s="37">
        <v>67414394.568543598</v>
      </c>
      <c r="R41" s="37">
        <v>67414195.207603395</v>
      </c>
    </row>
    <row r="42" spans="1:18" x14ac:dyDescent="0.35">
      <c r="A42" s="9" t="s">
        <v>833</v>
      </c>
      <c r="B42" s="9" t="s">
        <v>52</v>
      </c>
      <c r="C42" s="37">
        <v>2404.6781076658899</v>
      </c>
      <c r="D42" s="37">
        <v>2408.7345099990198</v>
      </c>
      <c r="E42" s="37">
        <v>2403.7519362676098</v>
      </c>
      <c r="F42" s="37">
        <v>2405.7195728421102</v>
      </c>
      <c r="G42" s="37">
        <v>2406.0669284000901</v>
      </c>
      <c r="H42" s="37">
        <v>2405.17904704698</v>
      </c>
      <c r="I42" s="37">
        <v>2405.6551272824699</v>
      </c>
      <c r="J42" s="37">
        <v>2405.6336461965402</v>
      </c>
      <c r="K42" s="37">
        <v>2405.4892534710698</v>
      </c>
      <c r="L42" s="37">
        <v>2405.5926733948299</v>
      </c>
      <c r="M42" s="37">
        <v>2405.5718561528902</v>
      </c>
      <c r="N42" s="37">
        <v>2405.5512601770502</v>
      </c>
      <c r="O42" s="37">
        <v>2405.5719297894302</v>
      </c>
      <c r="P42" s="37">
        <v>2405.5650153337901</v>
      </c>
      <c r="Q42" s="37">
        <v>2405.5627350694099</v>
      </c>
      <c r="R42" s="37">
        <v>2405.56656005786</v>
      </c>
    </row>
    <row r="43" spans="1:18" x14ac:dyDescent="0.35">
      <c r="A43" s="9" t="s">
        <v>834</v>
      </c>
      <c r="B43" s="9" t="s">
        <v>804</v>
      </c>
      <c r="C43" s="37">
        <v>32690.5356190659</v>
      </c>
      <c r="D43" s="37">
        <v>32219.380208561099</v>
      </c>
      <c r="E43" s="37">
        <v>32008.239075479101</v>
      </c>
      <c r="F43" s="37">
        <v>31912.826877100801</v>
      </c>
      <c r="G43" s="37">
        <v>31869.937654707101</v>
      </c>
      <c r="H43" s="37">
        <v>31850.644231735299</v>
      </c>
      <c r="I43" s="37">
        <v>31841.954209195101</v>
      </c>
      <c r="J43" s="37">
        <v>31838.044361893601</v>
      </c>
      <c r="K43" s="37">
        <v>31836.284695509901</v>
      </c>
      <c r="L43" s="37">
        <v>31835.492612546299</v>
      </c>
      <c r="M43" s="37">
        <v>31835.136144513101</v>
      </c>
      <c r="N43" s="37">
        <v>31834.975706409099</v>
      </c>
      <c r="O43" s="37">
        <v>31834.9034959817</v>
      </c>
      <c r="P43" s="37">
        <v>31834.8709965079</v>
      </c>
      <c r="Q43" s="37">
        <v>31834.856369295201</v>
      </c>
      <c r="R43" s="37">
        <v>31834.849785955601</v>
      </c>
    </row>
    <row r="44" spans="1:18" x14ac:dyDescent="0.35">
      <c r="A44" s="9" t="s">
        <v>835</v>
      </c>
      <c r="B44" s="9" t="s">
        <v>274</v>
      </c>
      <c r="C44" s="37">
        <v>78610215.331039801</v>
      </c>
      <c r="D44" s="37">
        <v>77607932.999140501</v>
      </c>
      <c r="E44" s="37">
        <v>76939866.654199496</v>
      </c>
      <c r="F44" s="37">
        <v>76773312.242963001</v>
      </c>
      <c r="G44" s="37">
        <v>76681203.001163498</v>
      </c>
      <c r="H44" s="37">
        <v>76606502.141117498</v>
      </c>
      <c r="I44" s="37">
        <v>76600760.406043693</v>
      </c>
      <c r="J44" s="37">
        <v>76590670.746069193</v>
      </c>
      <c r="K44" s="37">
        <v>76581840.705494493</v>
      </c>
      <c r="L44" s="37">
        <v>76583227.782656506</v>
      </c>
      <c r="M44" s="37">
        <v>76581707.546036199</v>
      </c>
      <c r="N44" s="37">
        <v>76580665.928258002</v>
      </c>
      <c r="O44" s="37">
        <v>76581150.237488806</v>
      </c>
      <c r="P44" s="37">
        <v>76580851.936863795</v>
      </c>
      <c r="Q44" s="37">
        <v>76580744.158263594</v>
      </c>
      <c r="R44" s="37">
        <v>76580850.089559793</v>
      </c>
    </row>
    <row r="45" spans="1:18" x14ac:dyDescent="0.35">
      <c r="A45" s="9" t="s">
        <v>836</v>
      </c>
      <c r="B45" s="9" t="s">
        <v>52</v>
      </c>
      <c r="C45" s="37">
        <v>6719.3995689087897</v>
      </c>
      <c r="D45" s="37">
        <v>6730.7343866549199</v>
      </c>
      <c r="E45" s="37">
        <v>6716.8115652693396</v>
      </c>
      <c r="F45" s="37">
        <v>6722.3097383130698</v>
      </c>
      <c r="G45" s="37">
        <v>6723.2803550368399</v>
      </c>
      <c r="H45" s="37">
        <v>6720.7993453905601</v>
      </c>
      <c r="I45" s="37">
        <v>6722.1296578839001</v>
      </c>
      <c r="J45" s="37">
        <v>6722.0696332181897</v>
      </c>
      <c r="K45" s="37">
        <v>6721.6661561730998</v>
      </c>
      <c r="L45" s="37">
        <v>6721.9551427900196</v>
      </c>
      <c r="M45" s="37">
        <v>6721.8969731056604</v>
      </c>
      <c r="N45" s="37">
        <v>6721.8394217058503</v>
      </c>
      <c r="O45" s="37">
        <v>6721.8971788684803</v>
      </c>
      <c r="P45" s="37">
        <v>6721.87785778344</v>
      </c>
      <c r="Q45" s="37">
        <v>6721.8714860335203</v>
      </c>
      <c r="R45" s="37">
        <v>6721.8821742107302</v>
      </c>
    </row>
    <row r="46" spans="1:18" x14ac:dyDescent="0.35">
      <c r="A46" s="9" t="s">
        <v>837</v>
      </c>
      <c r="B46" s="9" t="s">
        <v>804</v>
      </c>
      <c r="C46" s="37">
        <v>9375.2135813817094</v>
      </c>
      <c r="D46" s="37">
        <v>9281.24020658068</v>
      </c>
      <c r="E46" s="37">
        <v>9211.7681677924102</v>
      </c>
      <c r="F46" s="37">
        <v>9159.1827339562205</v>
      </c>
      <c r="G46" s="37">
        <v>9119.9142145681508</v>
      </c>
      <c r="H46" s="37">
        <v>9090.5565167007298</v>
      </c>
      <c r="I46" s="37">
        <v>9068.5261221392502</v>
      </c>
      <c r="J46" s="37">
        <v>9052.0416907372801</v>
      </c>
      <c r="K46" s="37">
        <v>9039.6987938168295</v>
      </c>
      <c r="L46" s="37">
        <v>9030.4521948995298</v>
      </c>
      <c r="M46" s="37">
        <v>9023.5290742339803</v>
      </c>
      <c r="N46" s="37">
        <v>9018.3445225179694</v>
      </c>
      <c r="O46" s="37">
        <v>9014.4617443639509</v>
      </c>
      <c r="P46" s="37">
        <v>9011.5541793908196</v>
      </c>
      <c r="Q46" s="37">
        <v>9009.3767774583393</v>
      </c>
      <c r="R46" s="37">
        <v>9007.7461763432002</v>
      </c>
    </row>
    <row r="47" spans="1:18" x14ac:dyDescent="0.35">
      <c r="A47" s="9" t="s">
        <v>838</v>
      </c>
      <c r="B47" s="9" t="s">
        <v>839</v>
      </c>
      <c r="C47" s="37">
        <v>62995806.097164102</v>
      </c>
      <c r="D47" s="37">
        <v>62469562.609236799</v>
      </c>
      <c r="E47" s="37">
        <v>61873710.966008</v>
      </c>
      <c r="F47" s="37">
        <v>61570863.287462801</v>
      </c>
      <c r="G47" s="37">
        <v>61315740.078427203</v>
      </c>
      <c r="H47" s="37">
        <v>61095806.286678202</v>
      </c>
      <c r="I47" s="37">
        <v>60959808.3989271</v>
      </c>
      <c r="J47" s="37">
        <v>60848454.567930199</v>
      </c>
      <c r="K47" s="37">
        <v>60761837.444397397</v>
      </c>
      <c r="L47" s="37">
        <v>60702294.573224299</v>
      </c>
      <c r="M47" s="37">
        <v>60655232.770824298</v>
      </c>
      <c r="N47" s="37">
        <v>60619863.729986303</v>
      </c>
      <c r="O47" s="37">
        <v>60594284.968457803</v>
      </c>
      <c r="P47" s="37">
        <v>60574566.502662897</v>
      </c>
      <c r="Q47" s="37">
        <v>60559872.867329799</v>
      </c>
      <c r="R47" s="37">
        <v>60549008.452576198</v>
      </c>
    </row>
    <row r="48" spans="1:18" x14ac:dyDescent="0.35">
      <c r="A48" s="9" t="s">
        <v>840</v>
      </c>
      <c r="B48" s="9" t="s">
        <v>841</v>
      </c>
      <c r="C48" s="37">
        <v>13608261.403450301</v>
      </c>
      <c r="D48" s="37">
        <v>13631216.901373601</v>
      </c>
      <c r="E48" s="37">
        <v>13603020.1271015</v>
      </c>
      <c r="F48" s="37">
        <v>13614155.136301899</v>
      </c>
      <c r="G48" s="37">
        <v>13616120.848559899</v>
      </c>
      <c r="H48" s="37">
        <v>13611096.2585702</v>
      </c>
      <c r="I48" s="37">
        <v>13613790.4338417</v>
      </c>
      <c r="J48" s="37">
        <v>13613668.870696999</v>
      </c>
      <c r="K48" s="37">
        <v>13612851.7409753</v>
      </c>
      <c r="L48" s="37">
        <v>13613437.002409</v>
      </c>
      <c r="M48" s="37">
        <v>13613319.196009399</v>
      </c>
      <c r="N48" s="37">
        <v>13613202.641772</v>
      </c>
      <c r="O48" s="37">
        <v>13613319.6127243</v>
      </c>
      <c r="P48" s="37">
        <v>13613280.4832794</v>
      </c>
      <c r="Q48" s="37">
        <v>13613267.579084899</v>
      </c>
      <c r="R48" s="37">
        <v>13613289.2249936</v>
      </c>
    </row>
    <row r="49" spans="1:18" x14ac:dyDescent="0.35">
      <c r="A49" s="9" t="s">
        <v>842</v>
      </c>
      <c r="B49" s="9" t="s">
        <v>843</v>
      </c>
      <c r="C49" s="37">
        <v>886539.79874607304</v>
      </c>
      <c r="D49" s="37">
        <v>888156.36653254996</v>
      </c>
      <c r="E49" s="37">
        <v>886170.69856215105</v>
      </c>
      <c r="F49" s="37">
        <v>886954.84609994502</v>
      </c>
      <c r="G49" s="37">
        <v>887093.27512137196</v>
      </c>
      <c r="H49" s="37">
        <v>886739.43438374996</v>
      </c>
      <c r="I49" s="37">
        <v>886929.16309142194</v>
      </c>
      <c r="J49" s="37">
        <v>886920.60239436105</v>
      </c>
      <c r="K49" s="37">
        <v>886863.05863774405</v>
      </c>
      <c r="L49" s="37">
        <v>886904.27380909503</v>
      </c>
      <c r="M49" s="37">
        <v>886895.97766883101</v>
      </c>
      <c r="N49" s="37">
        <v>886887.76970809605</v>
      </c>
      <c r="O49" s="37">
        <v>886896.00701465202</v>
      </c>
      <c r="P49" s="37">
        <v>886893.25144818705</v>
      </c>
      <c r="Q49" s="37">
        <v>886892.34271141805</v>
      </c>
      <c r="R49" s="37">
        <v>886893.86705555394</v>
      </c>
    </row>
    <row r="50" spans="1:18" x14ac:dyDescent="0.35">
      <c r="A50" s="9" t="s">
        <v>844</v>
      </c>
      <c r="B50" s="9" t="s">
        <v>845</v>
      </c>
      <c r="C50" s="46">
        <v>0.69891958712822999</v>
      </c>
      <c r="D50" s="46">
        <v>0.69891958712822999</v>
      </c>
      <c r="E50" s="46">
        <v>0.69891958712822999</v>
      </c>
      <c r="F50" s="46">
        <v>0.69891958712822999</v>
      </c>
      <c r="G50" s="46">
        <v>0.69891958712822999</v>
      </c>
      <c r="H50" s="46">
        <v>0.69891958712822999</v>
      </c>
      <c r="I50" s="46">
        <v>0.69891958712822999</v>
      </c>
      <c r="J50" s="46">
        <v>0.69891958712822999</v>
      </c>
      <c r="K50" s="46">
        <v>0.69891958712822999</v>
      </c>
      <c r="L50" s="46">
        <v>0.69891958712822999</v>
      </c>
      <c r="M50" s="46">
        <v>0.69891958712822999</v>
      </c>
      <c r="N50" s="46">
        <v>0.69891958712822999</v>
      </c>
      <c r="O50" s="46">
        <v>0.69891958712822999</v>
      </c>
      <c r="P50" s="46">
        <v>0.69891958712822999</v>
      </c>
      <c r="Q50" s="46">
        <v>0.69891958712822999</v>
      </c>
      <c r="R50" s="46">
        <v>0.69891958712822999</v>
      </c>
    </row>
    <row r="51" spans="1:18" x14ac:dyDescent="0.35">
      <c r="A51" s="9" t="s">
        <v>846</v>
      </c>
      <c r="B51" s="9" t="s">
        <v>847</v>
      </c>
      <c r="C51" s="37">
        <v>619620.03011234896</v>
      </c>
      <c r="D51" s="37">
        <v>620749.88100223895</v>
      </c>
      <c r="E51" s="37">
        <v>619362.05876419402</v>
      </c>
      <c r="F51" s="37">
        <v>619910.11483755696</v>
      </c>
      <c r="G51" s="37">
        <v>620006.86559205898</v>
      </c>
      <c r="H51" s="37">
        <v>619759.55936981097</v>
      </c>
      <c r="I51" s="37">
        <v>619892.16447984404</v>
      </c>
      <c r="J51" s="37">
        <v>619886.18124098796</v>
      </c>
      <c r="K51" s="37">
        <v>619845.96278237097</v>
      </c>
      <c r="L51" s="37">
        <v>619874.76887291495</v>
      </c>
      <c r="M51" s="37">
        <v>619868.97053798696</v>
      </c>
      <c r="N51" s="37">
        <v>619863.23383346002</v>
      </c>
      <c r="O51" s="37">
        <v>619868.99104835698</v>
      </c>
      <c r="P51" s="37">
        <v>619867.06512898102</v>
      </c>
      <c r="Q51" s="37">
        <v>619866.42999505298</v>
      </c>
      <c r="R51" s="37">
        <v>619867.49538902706</v>
      </c>
    </row>
    <row r="52" spans="1:18" x14ac:dyDescent="0.35">
      <c r="A52" s="9" t="s">
        <v>848</v>
      </c>
      <c r="B52" s="9" t="s">
        <v>849</v>
      </c>
      <c r="C52" s="46">
        <v>268.629860343762</v>
      </c>
      <c r="D52" s="46">
        <v>268.629860343762</v>
      </c>
      <c r="E52" s="46">
        <v>268.629860343762</v>
      </c>
      <c r="F52" s="46">
        <v>268.629860343762</v>
      </c>
      <c r="G52" s="46">
        <v>268.629860343762</v>
      </c>
      <c r="H52" s="46">
        <v>268.629860343762</v>
      </c>
      <c r="I52" s="46">
        <v>268.629860343762</v>
      </c>
      <c r="J52" s="46">
        <v>268.629860343762</v>
      </c>
      <c r="K52" s="46">
        <v>268.629860343762</v>
      </c>
      <c r="L52" s="46">
        <v>268.629860343762</v>
      </c>
      <c r="M52" s="46">
        <v>268.629860343762</v>
      </c>
      <c r="N52" s="46">
        <v>268.629860343762</v>
      </c>
      <c r="O52" s="46">
        <v>268.629860343762</v>
      </c>
      <c r="P52" s="46">
        <v>268.629860343762</v>
      </c>
      <c r="Q52" s="46">
        <v>268.629860343762</v>
      </c>
      <c r="R52" s="46">
        <v>268.629860343762</v>
      </c>
    </row>
    <row r="53" spans="1:18" x14ac:dyDescent="0.35">
      <c r="A53" s="9" t="s">
        <v>850</v>
      </c>
      <c r="B53" s="9" t="s">
        <v>851</v>
      </c>
      <c r="C53" s="37">
        <v>166448442.155278</v>
      </c>
      <c r="D53" s="37">
        <v>166751953.84203801</v>
      </c>
      <c r="E53" s="37">
        <v>166379143.34805</v>
      </c>
      <c r="F53" s="37">
        <v>166526367.574498</v>
      </c>
      <c r="G53" s="37">
        <v>166552357.71616799</v>
      </c>
      <c r="H53" s="37">
        <v>166485923.88022399</v>
      </c>
      <c r="I53" s="37">
        <v>166521545.572413</v>
      </c>
      <c r="J53" s="37">
        <v>166519938.29579401</v>
      </c>
      <c r="K53" s="37">
        <v>166509134.41687301</v>
      </c>
      <c r="L53" s="37">
        <v>166516872.592953</v>
      </c>
      <c r="M53" s="37">
        <v>166515314.98705101</v>
      </c>
      <c r="N53" s="37">
        <v>166513773.93691501</v>
      </c>
      <c r="O53" s="37">
        <v>166515320.49674901</v>
      </c>
      <c r="P53" s="37">
        <v>166514803.13729599</v>
      </c>
      <c r="Q53" s="37">
        <v>166514632.521357</v>
      </c>
      <c r="R53" s="37">
        <v>166514918.71799201</v>
      </c>
    </row>
    <row r="54" spans="1:18" x14ac:dyDescent="0.35">
      <c r="A54" s="9" t="s">
        <v>852</v>
      </c>
      <c r="B54" s="9" t="s">
        <v>853</v>
      </c>
      <c r="C54" s="37">
        <v>840609360.03719604</v>
      </c>
      <c r="D54" s="37">
        <v>840325756.40021205</v>
      </c>
      <c r="E54" s="37">
        <v>840458024.87188196</v>
      </c>
      <c r="F54" s="37">
        <v>840464383.42039204</v>
      </c>
      <c r="G54" s="37">
        <v>840416056.80046797</v>
      </c>
      <c r="H54" s="37">
        <v>840446155.21247399</v>
      </c>
      <c r="I54" s="37">
        <v>840442198.53798902</v>
      </c>
      <c r="J54" s="37">
        <v>840434803.58741999</v>
      </c>
      <c r="K54" s="37">
        <v>840441052.45828295</v>
      </c>
      <c r="L54" s="37">
        <v>840439351.52888799</v>
      </c>
      <c r="M54" s="37">
        <v>840438402.52712595</v>
      </c>
      <c r="N54" s="37">
        <v>840439602.17210305</v>
      </c>
      <c r="O54" s="37">
        <v>840439118.742733</v>
      </c>
      <c r="P54" s="37">
        <v>840439041.14738297</v>
      </c>
      <c r="Q54" s="37">
        <v>840439254.02076995</v>
      </c>
      <c r="R54" s="37">
        <v>840439137.97029805</v>
      </c>
    </row>
    <row r="55" spans="1:18" x14ac:dyDescent="0.35">
      <c r="A55" s="9" t="s">
        <v>854</v>
      </c>
      <c r="B55" s="9" t="s">
        <v>855</v>
      </c>
      <c r="C55" s="37">
        <v>190378217.378739</v>
      </c>
      <c r="D55" s="37">
        <v>190176887.00507399</v>
      </c>
      <c r="E55" s="37">
        <v>190287726.89284801</v>
      </c>
      <c r="F55" s="37">
        <v>190280946.056274</v>
      </c>
      <c r="G55" s="37">
        <v>190248521.556835</v>
      </c>
      <c r="H55" s="37">
        <v>190272398.375173</v>
      </c>
      <c r="I55" s="37">
        <v>190267288.712571</v>
      </c>
      <c r="J55" s="37">
        <v>190262736.270969</v>
      </c>
      <c r="K55" s="37">
        <v>190267474.46494299</v>
      </c>
      <c r="L55" s="37">
        <v>190265833.150599</v>
      </c>
      <c r="M55" s="37">
        <v>190265347.963925</v>
      </c>
      <c r="N55" s="37">
        <v>190266218.527089</v>
      </c>
      <c r="O55" s="37">
        <v>190265799.88058001</v>
      </c>
      <c r="P55" s="37">
        <v>190265788.79057899</v>
      </c>
      <c r="Q55" s="37">
        <v>190265935.732775</v>
      </c>
      <c r="R55" s="37">
        <v>190265841.46798101</v>
      </c>
    </row>
    <row r="56" spans="1:18" x14ac:dyDescent="0.35">
      <c r="A56" s="9" t="s">
        <v>856</v>
      </c>
      <c r="B56" s="9" t="s">
        <v>857</v>
      </c>
      <c r="C56" s="37">
        <v>51739729.559814803</v>
      </c>
      <c r="D56" s="37">
        <v>51826885.1085831</v>
      </c>
      <c r="E56" s="37">
        <v>50114786.5866687</v>
      </c>
      <c r="F56" s="37">
        <v>51226654.014761902</v>
      </c>
      <c r="G56" s="37">
        <v>51055530.057326898</v>
      </c>
      <c r="H56" s="37">
        <v>50798791.2302863</v>
      </c>
      <c r="I56" s="37">
        <v>51026973.299878001</v>
      </c>
      <c r="J56" s="37">
        <v>50960415.438957602</v>
      </c>
      <c r="K56" s="37">
        <v>50928718.178180598</v>
      </c>
      <c r="L56" s="37">
        <v>50972034.608775698</v>
      </c>
      <c r="M56" s="37">
        <v>50953722.345636897</v>
      </c>
      <c r="N56" s="37">
        <v>50951491.3909356</v>
      </c>
      <c r="O56" s="37">
        <v>50959082.722757101</v>
      </c>
      <c r="P56" s="37">
        <v>50954765.477055103</v>
      </c>
      <c r="Q56" s="37">
        <v>50955113.186209403</v>
      </c>
      <c r="R56" s="37">
        <v>50956320.458979197</v>
      </c>
    </row>
    <row r="57" spans="1:18" x14ac:dyDescent="0.35">
      <c r="A57" s="9" t="s">
        <v>858</v>
      </c>
      <c r="B57" s="9" t="s">
        <v>859</v>
      </c>
      <c r="C57" s="37">
        <v>267851287.35959199</v>
      </c>
      <c r="D57" s="37">
        <v>267864922.735998</v>
      </c>
      <c r="E57" s="37">
        <v>266807877.258632</v>
      </c>
      <c r="F57" s="37">
        <v>264795666.31505099</v>
      </c>
      <c r="G57" s="37">
        <v>264796821.35270801</v>
      </c>
      <c r="H57" s="37">
        <v>264793868.29817301</v>
      </c>
      <c r="I57" s="37">
        <v>264795451.98306799</v>
      </c>
      <c r="J57" s="37">
        <v>257789156.649156</v>
      </c>
      <c r="K57" s="37">
        <v>257788689.088864</v>
      </c>
      <c r="L57" s="37">
        <v>257452556.21116501</v>
      </c>
      <c r="M57" s="37">
        <v>257289061.73235899</v>
      </c>
      <c r="N57" s="37">
        <v>256923687.496236</v>
      </c>
      <c r="O57" s="37">
        <v>256923754.20218101</v>
      </c>
      <c r="P57" s="37">
        <v>256923731.887649</v>
      </c>
      <c r="Q57" s="37">
        <v>256923724.52868599</v>
      </c>
      <c r="R57" s="37">
        <v>256923736.87283799</v>
      </c>
    </row>
    <row r="58" spans="1:18" x14ac:dyDescent="0.35">
      <c r="A58" s="9" t="s">
        <v>860</v>
      </c>
      <c r="B58" s="9" t="s">
        <v>861</v>
      </c>
      <c r="C58" s="37">
        <v>145315035.05638301</v>
      </c>
      <c r="D58" s="37">
        <v>146638239.329606</v>
      </c>
      <c r="E58" s="37">
        <v>143975282.39119801</v>
      </c>
      <c r="F58" s="37">
        <v>144188438.06327999</v>
      </c>
      <c r="G58" s="37">
        <v>143358816.60729399</v>
      </c>
      <c r="H58" s="37">
        <v>142746724.74659401</v>
      </c>
      <c r="I58" s="37">
        <v>142456631.71478599</v>
      </c>
      <c r="J58" s="37">
        <v>142415916.35061699</v>
      </c>
      <c r="K58" s="37">
        <v>141827857.16652799</v>
      </c>
      <c r="L58" s="37">
        <v>141524580.854532</v>
      </c>
      <c r="M58" s="37">
        <v>141520186.36133799</v>
      </c>
      <c r="N58" s="37">
        <v>140929254.624942</v>
      </c>
      <c r="O58" s="37">
        <v>140808537.43112999</v>
      </c>
      <c r="P58" s="37">
        <v>140183694.219962</v>
      </c>
      <c r="Q58" s="37">
        <v>140089368.91607901</v>
      </c>
      <c r="R58" s="37">
        <v>139589065.052149</v>
      </c>
    </row>
    <row r="59" spans="1:18" x14ac:dyDescent="0.35">
      <c r="A59" s="9" t="s">
        <v>862</v>
      </c>
      <c r="B59" s="9" t="s">
        <v>863</v>
      </c>
      <c r="C59" s="37">
        <v>540093744</v>
      </c>
      <c r="D59" s="37">
        <v>540093744</v>
      </c>
      <c r="E59" s="37">
        <v>540093744</v>
      </c>
      <c r="F59" s="37">
        <v>540093744</v>
      </c>
      <c r="G59" s="37">
        <v>540093744</v>
      </c>
      <c r="H59" s="37">
        <v>540093744</v>
      </c>
      <c r="I59" s="37">
        <v>540093744</v>
      </c>
      <c r="J59" s="37">
        <v>540093744</v>
      </c>
      <c r="K59" s="37">
        <v>540093744</v>
      </c>
      <c r="L59" s="37">
        <v>540093744</v>
      </c>
      <c r="M59" s="37">
        <v>540093744</v>
      </c>
      <c r="N59" s="37">
        <v>540093744</v>
      </c>
      <c r="O59" s="37">
        <v>540093744</v>
      </c>
      <c r="P59" s="37">
        <v>540093744</v>
      </c>
      <c r="Q59" s="37">
        <v>540093744</v>
      </c>
      <c r="R59" s="37">
        <v>540093744</v>
      </c>
    </row>
    <row r="60" spans="1:18" x14ac:dyDescent="0.35">
      <c r="A60" s="9" t="s">
        <v>864</v>
      </c>
      <c r="B60" s="9" t="s">
        <v>863</v>
      </c>
      <c r="C60" s="37">
        <v>200412144</v>
      </c>
      <c r="D60" s="37">
        <v>200412144</v>
      </c>
      <c r="E60" s="37">
        <v>200412144</v>
      </c>
      <c r="F60" s="37">
        <v>200412144</v>
      </c>
      <c r="G60" s="37">
        <v>200412144</v>
      </c>
      <c r="H60" s="37">
        <v>200412144</v>
      </c>
      <c r="I60" s="37">
        <v>200412144</v>
      </c>
      <c r="J60" s="37">
        <v>200412144</v>
      </c>
      <c r="K60" s="37">
        <v>200412144</v>
      </c>
      <c r="L60" s="37">
        <v>200412144</v>
      </c>
      <c r="M60" s="37">
        <v>200412144</v>
      </c>
      <c r="N60" s="37">
        <v>200412144</v>
      </c>
      <c r="O60" s="37">
        <v>200412144</v>
      </c>
      <c r="P60" s="37">
        <v>200412144</v>
      </c>
      <c r="Q60" s="37">
        <v>200412144</v>
      </c>
      <c r="R60" s="37">
        <v>200412144</v>
      </c>
    </row>
    <row r="61" spans="1:18" x14ac:dyDescent="0.35">
      <c r="A61" s="9" t="s">
        <v>865</v>
      </c>
      <c r="B61" s="9" t="s">
        <v>863</v>
      </c>
      <c r="C61" s="37">
        <v>140679886.967742</v>
      </c>
      <c r="D61" s="37">
        <v>140679886.967742</v>
      </c>
      <c r="E61" s="37">
        <v>140679886.967742</v>
      </c>
      <c r="F61" s="37">
        <v>140679886.967742</v>
      </c>
      <c r="G61" s="37">
        <v>140679886.967742</v>
      </c>
      <c r="H61" s="37">
        <v>140679886.967742</v>
      </c>
      <c r="I61" s="37">
        <v>140679886.967742</v>
      </c>
      <c r="J61" s="37">
        <v>140679886.967742</v>
      </c>
      <c r="K61" s="37">
        <v>140679886.967742</v>
      </c>
      <c r="L61" s="37">
        <v>140679886.967742</v>
      </c>
      <c r="M61" s="37">
        <v>140679886.967742</v>
      </c>
      <c r="N61" s="37">
        <v>140679886.967742</v>
      </c>
      <c r="O61" s="37">
        <v>140679886.967742</v>
      </c>
      <c r="P61" s="37">
        <v>140679886.967742</v>
      </c>
      <c r="Q61" s="37">
        <v>140679886.967742</v>
      </c>
      <c r="R61" s="37">
        <v>140679886.967742</v>
      </c>
    </row>
    <row r="62" spans="1:18" x14ac:dyDescent="0.35">
      <c r="A62" s="9" t="s">
        <v>866</v>
      </c>
      <c r="B62" s="9" t="s">
        <v>867</v>
      </c>
      <c r="C62" s="37">
        <v>61708824</v>
      </c>
      <c r="D62" s="37">
        <v>61708824</v>
      </c>
      <c r="E62" s="37">
        <v>61708824</v>
      </c>
      <c r="F62" s="37">
        <v>61708824</v>
      </c>
      <c r="G62" s="37">
        <v>61708824</v>
      </c>
      <c r="H62" s="37">
        <v>61708824</v>
      </c>
      <c r="I62" s="37">
        <v>61708824</v>
      </c>
      <c r="J62" s="37">
        <v>61708824</v>
      </c>
      <c r="K62" s="37">
        <v>61708824</v>
      </c>
      <c r="L62" s="37">
        <v>61708824</v>
      </c>
      <c r="M62" s="37">
        <v>61708824</v>
      </c>
      <c r="N62" s="37">
        <v>61708824</v>
      </c>
      <c r="O62" s="37">
        <v>61708824</v>
      </c>
      <c r="P62" s="37">
        <v>61708824</v>
      </c>
      <c r="Q62" s="37">
        <v>61708824</v>
      </c>
      <c r="R62" s="37">
        <v>61708824</v>
      </c>
    </row>
    <row r="63" spans="1:18" x14ac:dyDescent="0.35">
      <c r="A63" s="9" t="s">
        <v>868</v>
      </c>
      <c r="B63" s="9" t="s">
        <v>869</v>
      </c>
      <c r="C63" s="37">
        <v>11723323.9139785</v>
      </c>
      <c r="D63" s="37">
        <v>11723323.9139785</v>
      </c>
      <c r="E63" s="37">
        <v>11723323.9139785</v>
      </c>
      <c r="F63" s="37">
        <v>11723323.9139785</v>
      </c>
      <c r="G63" s="37">
        <v>11723323.9139785</v>
      </c>
      <c r="H63" s="37">
        <v>11723323.9139785</v>
      </c>
      <c r="I63" s="37">
        <v>11723323.9139785</v>
      </c>
      <c r="J63" s="37">
        <v>11723323.9139785</v>
      </c>
      <c r="K63" s="37">
        <v>11723323.9139785</v>
      </c>
      <c r="L63" s="37">
        <v>11723323.9139785</v>
      </c>
      <c r="M63" s="37">
        <v>11723323.9139785</v>
      </c>
      <c r="N63" s="37">
        <v>11723323.9139785</v>
      </c>
      <c r="O63" s="37">
        <v>11723323.9139785</v>
      </c>
      <c r="P63" s="37">
        <v>11723323.9139785</v>
      </c>
      <c r="Q63" s="37">
        <v>11723323.9139785</v>
      </c>
      <c r="R63" s="37">
        <v>11723323.9139785</v>
      </c>
    </row>
    <row r="64" spans="1:18" x14ac:dyDescent="0.35">
      <c r="A64" s="9" t="s">
        <v>870</v>
      </c>
      <c r="B64" s="9" t="s">
        <v>867</v>
      </c>
      <c r="C64" s="37">
        <v>72283369.664801598</v>
      </c>
      <c r="D64" s="37">
        <v>71931282.029872194</v>
      </c>
      <c r="E64" s="37">
        <v>72138988.557524204</v>
      </c>
      <c r="F64" s="37">
        <v>72117880.084066004</v>
      </c>
      <c r="G64" s="37">
        <v>72062716.890487507</v>
      </c>
      <c r="H64" s="37">
        <v>72106528.510692596</v>
      </c>
      <c r="I64" s="37">
        <v>72095708.495082006</v>
      </c>
      <c r="J64" s="37">
        <v>72088317.965420693</v>
      </c>
      <c r="K64" s="37">
        <v>72096851.657065094</v>
      </c>
      <c r="L64" s="37">
        <v>72093626.039189294</v>
      </c>
      <c r="M64" s="37">
        <v>72092931.887225002</v>
      </c>
      <c r="N64" s="37">
        <v>72094469.861159801</v>
      </c>
      <c r="O64" s="37">
        <v>72093675.929191396</v>
      </c>
      <c r="P64" s="37">
        <v>72093692.559192106</v>
      </c>
      <c r="Q64" s="37">
        <v>72093946.1165144</v>
      </c>
      <c r="R64" s="37">
        <v>72093771.534966007</v>
      </c>
    </row>
    <row r="65" spans="1:18" x14ac:dyDescent="0.35">
      <c r="A65" s="9" t="s">
        <v>871</v>
      </c>
      <c r="B65" s="9" t="s">
        <v>869</v>
      </c>
      <c r="C65" s="37">
        <v>45650003.611519799</v>
      </c>
      <c r="D65" s="37">
        <v>45427645.3860991</v>
      </c>
      <c r="E65" s="37">
        <v>45558820.838785</v>
      </c>
      <c r="F65" s="37">
        <v>45545489.945468001</v>
      </c>
      <c r="G65" s="37">
        <v>45510652.056783997</v>
      </c>
      <c r="H65" s="37">
        <v>45538320.947012298</v>
      </c>
      <c r="I65" s="37">
        <v>45531487.6497548</v>
      </c>
      <c r="J65" s="37">
        <v>45526820.217850402</v>
      </c>
      <c r="K65" s="37">
        <v>45532209.604872502</v>
      </c>
      <c r="L65" s="37">
        <v>45530172.490825899</v>
      </c>
      <c r="M65" s="37">
        <v>45529734.104516201</v>
      </c>
      <c r="N65" s="37">
        <v>45530705.400071502</v>
      </c>
      <c r="O65" s="37">
        <v>45530203.9984712</v>
      </c>
      <c r="P65" s="37">
        <v>45530214.501019701</v>
      </c>
      <c r="Q65" s="37">
        <v>45530374.633187503</v>
      </c>
      <c r="R65" s="37">
        <v>45530264.377559498</v>
      </c>
    </row>
    <row r="66" spans="1:18" x14ac:dyDescent="0.35">
      <c r="A66" s="9" t="s">
        <v>872</v>
      </c>
      <c r="B66" s="9" t="s">
        <v>873</v>
      </c>
      <c r="C66" s="37">
        <v>874498081.66480196</v>
      </c>
      <c r="D66" s="37">
        <v>874145994.02987194</v>
      </c>
      <c r="E66" s="37">
        <v>874353700.55752397</v>
      </c>
      <c r="F66" s="37">
        <v>874332592.08406603</v>
      </c>
      <c r="G66" s="37">
        <v>874277428.89048696</v>
      </c>
      <c r="H66" s="37">
        <v>874321240.51069295</v>
      </c>
      <c r="I66" s="37">
        <v>874310420.49508202</v>
      </c>
      <c r="J66" s="37">
        <v>874303029.96542096</v>
      </c>
      <c r="K66" s="37">
        <v>874311563.65706503</v>
      </c>
      <c r="L66" s="37">
        <v>874308338.03918898</v>
      </c>
      <c r="M66" s="37">
        <v>874307643.88722503</v>
      </c>
      <c r="N66" s="37">
        <v>874309181.86116004</v>
      </c>
      <c r="O66" s="37">
        <v>874308387.92919099</v>
      </c>
      <c r="P66" s="37">
        <v>874308404.55919194</v>
      </c>
      <c r="Q66" s="37">
        <v>874308658.11651397</v>
      </c>
      <c r="R66" s="37">
        <v>874308483.53496599</v>
      </c>
    </row>
    <row r="67" spans="1:18" x14ac:dyDescent="0.35">
      <c r="A67" s="9" t="s">
        <v>874</v>
      </c>
      <c r="B67" s="9" t="s">
        <v>875</v>
      </c>
      <c r="C67" s="37">
        <v>198053214.49324</v>
      </c>
      <c r="D67" s="37">
        <v>197830856.26782</v>
      </c>
      <c r="E67" s="37">
        <v>197962031.720505</v>
      </c>
      <c r="F67" s="37">
        <v>197948700.82718799</v>
      </c>
      <c r="G67" s="37">
        <v>197913862.93850499</v>
      </c>
      <c r="H67" s="37">
        <v>197941531.828733</v>
      </c>
      <c r="I67" s="37">
        <v>197934698.53147501</v>
      </c>
      <c r="J67" s="37">
        <v>197930031.09957099</v>
      </c>
      <c r="K67" s="37">
        <v>197935420.48659301</v>
      </c>
      <c r="L67" s="37">
        <v>197933383.37254599</v>
      </c>
      <c r="M67" s="37">
        <v>197932944.98623699</v>
      </c>
      <c r="N67" s="37">
        <v>197933916.28179201</v>
      </c>
      <c r="O67" s="37">
        <v>197933414.88019201</v>
      </c>
      <c r="P67" s="37">
        <v>197933425.38273999</v>
      </c>
      <c r="Q67" s="37">
        <v>197933585.51490799</v>
      </c>
      <c r="R67" s="37">
        <v>197933475.25928</v>
      </c>
    </row>
    <row r="68" spans="1:18" x14ac:dyDescent="0.35">
      <c r="A68" s="9" t="s">
        <v>876</v>
      </c>
      <c r="B68" s="9" t="s">
        <v>877</v>
      </c>
      <c r="C68" s="37">
        <v>53825589.384243302</v>
      </c>
      <c r="D68" s="37">
        <v>53912739.976921298</v>
      </c>
      <c r="E68" s="37">
        <v>52135916.1409446</v>
      </c>
      <c r="F68" s="37">
        <v>53290935.430534899</v>
      </c>
      <c r="G68" s="37">
        <v>53112618.670205198</v>
      </c>
      <c r="H68" s="37">
        <v>52846291.091282502</v>
      </c>
      <c r="I68" s="37">
        <v>53083263.263096496</v>
      </c>
      <c r="J68" s="37">
        <v>53014041.5846579</v>
      </c>
      <c r="K68" s="37">
        <v>52981190.168153197</v>
      </c>
      <c r="L68" s="37">
        <v>53026163.975072898</v>
      </c>
      <c r="M68" s="37">
        <v>53007131.5129603</v>
      </c>
      <c r="N68" s="37">
        <v>53004828.232133299</v>
      </c>
      <c r="O68" s="37">
        <v>53012707.847696498</v>
      </c>
      <c r="P68" s="37">
        <v>53008222.521541998</v>
      </c>
      <c r="Q68" s="37">
        <v>53008586.189750798</v>
      </c>
      <c r="R68" s="37">
        <v>53009838.849968404</v>
      </c>
    </row>
    <row r="69" spans="1:18" x14ac:dyDescent="0.35">
      <c r="A69" s="9" t="s">
        <v>878</v>
      </c>
      <c r="B69" s="9" t="s">
        <v>879</v>
      </c>
      <c r="C69" s="37">
        <v>290236529.21249998</v>
      </c>
      <c r="D69" s="37">
        <v>290236529.21249998</v>
      </c>
      <c r="E69" s="37">
        <v>289109284.89999998</v>
      </c>
      <c r="F69" s="37">
        <v>286921784.89999998</v>
      </c>
      <c r="G69" s="37">
        <v>286921784.89999998</v>
      </c>
      <c r="H69" s="37">
        <v>286921784.89999998</v>
      </c>
      <c r="I69" s="37">
        <v>286921784.89999998</v>
      </c>
      <c r="J69" s="37">
        <v>279330118.23333299</v>
      </c>
      <c r="K69" s="37">
        <v>279330118.23333299</v>
      </c>
      <c r="L69" s="37">
        <v>278965534.89999998</v>
      </c>
      <c r="M69" s="37">
        <v>278788451.56666702</v>
      </c>
      <c r="N69" s="37">
        <v>278392618.23333299</v>
      </c>
      <c r="O69" s="37">
        <v>278392618.23333299</v>
      </c>
      <c r="P69" s="37">
        <v>278392618.23333299</v>
      </c>
      <c r="Q69" s="37">
        <v>278392618.23333299</v>
      </c>
      <c r="R69" s="37">
        <v>278392618.23333299</v>
      </c>
    </row>
    <row r="70" spans="1:18" x14ac:dyDescent="0.35">
      <c r="A70" s="9" t="s">
        <v>880</v>
      </c>
      <c r="B70" s="9" t="s">
        <v>881</v>
      </c>
      <c r="C70" s="37">
        <v>155705581.10540399</v>
      </c>
      <c r="D70" s="37">
        <v>157023629.66146699</v>
      </c>
      <c r="E70" s="37">
        <v>154041416.50207999</v>
      </c>
      <c r="F70" s="37">
        <v>154264059.109483</v>
      </c>
      <c r="G70" s="37">
        <v>153376364.70483899</v>
      </c>
      <c r="H70" s="37">
        <v>152725560.43447101</v>
      </c>
      <c r="I70" s="37">
        <v>152413885.56885001</v>
      </c>
      <c r="J70" s="37">
        <v>152370714.772219</v>
      </c>
      <c r="K70" s="37">
        <v>151742295.08386201</v>
      </c>
      <c r="L70" s="37">
        <v>151417578.63683701</v>
      </c>
      <c r="M70" s="37">
        <v>151413054.994369</v>
      </c>
      <c r="N70" s="37">
        <v>150780962.3477</v>
      </c>
      <c r="O70" s="37">
        <v>150651781.99271601</v>
      </c>
      <c r="P70" s="37">
        <v>149983322.00040001</v>
      </c>
      <c r="Q70" s="37">
        <v>149882438.78020701</v>
      </c>
      <c r="R70" s="37">
        <v>149347167.03553799</v>
      </c>
    </row>
    <row r="71" spans="1:18" x14ac:dyDescent="0.35">
      <c r="A71" s="9" t="s">
        <v>882</v>
      </c>
      <c r="B71" s="9" t="s">
        <v>883</v>
      </c>
      <c r="C71" s="37">
        <v>311547.66982136702</v>
      </c>
      <c r="D71" s="37">
        <v>312052.84725464199</v>
      </c>
      <c r="E71" s="37">
        <v>311432.32601389202</v>
      </c>
      <c r="F71" s="37">
        <v>311677.37211945298</v>
      </c>
      <c r="G71" s="37">
        <v>311720.63118864899</v>
      </c>
      <c r="H71" s="37">
        <v>311610.05595814198</v>
      </c>
      <c r="I71" s="37">
        <v>311669.34617928899</v>
      </c>
      <c r="J71" s="37">
        <v>311666.67096145701</v>
      </c>
      <c r="K71" s="37">
        <v>311648.688537515</v>
      </c>
      <c r="L71" s="37">
        <v>311661.56827856199</v>
      </c>
      <c r="M71" s="37">
        <v>311658.97573472903</v>
      </c>
      <c r="N71" s="37">
        <v>311656.41074700002</v>
      </c>
      <c r="O71" s="37">
        <v>311658.98490529897</v>
      </c>
      <c r="P71" s="37">
        <v>311658.12379077799</v>
      </c>
      <c r="Q71" s="37">
        <v>311657.83981053799</v>
      </c>
      <c r="R71" s="37">
        <v>311658.31616808003</v>
      </c>
    </row>
    <row r="72" spans="1:18" x14ac:dyDescent="0.35">
      <c r="A72" s="9" t="s">
        <v>884</v>
      </c>
      <c r="B72" s="9" t="s">
        <v>885</v>
      </c>
      <c r="C72" s="37">
        <v>299474.513255711</v>
      </c>
      <c r="D72" s="37">
        <v>299979.69068898499</v>
      </c>
      <c r="E72" s="37">
        <v>299359.16944823501</v>
      </c>
      <c r="F72" s="37">
        <v>299604.21555379598</v>
      </c>
      <c r="G72" s="37">
        <v>299647.47462299198</v>
      </c>
      <c r="H72" s="37">
        <v>299536.89939248498</v>
      </c>
      <c r="I72" s="37">
        <v>299596.18961363297</v>
      </c>
      <c r="J72" s="37">
        <v>299593.514395801</v>
      </c>
      <c r="K72" s="37">
        <v>299575.531971858</v>
      </c>
      <c r="L72" s="37">
        <v>299588.41171290498</v>
      </c>
      <c r="M72" s="37">
        <v>299585.81916907302</v>
      </c>
      <c r="N72" s="37">
        <v>299583.25418134301</v>
      </c>
      <c r="O72" s="37">
        <v>299585.82833964197</v>
      </c>
      <c r="P72" s="37">
        <v>299584.96722512197</v>
      </c>
      <c r="Q72" s="37">
        <v>299584.68324488099</v>
      </c>
      <c r="R72" s="37">
        <v>299585.15960242401</v>
      </c>
    </row>
    <row r="73" spans="1:18" x14ac:dyDescent="0.35">
      <c r="A73" s="9" t="s">
        <v>886</v>
      </c>
      <c r="B73" s="9" t="s">
        <v>887</v>
      </c>
      <c r="C73" s="37">
        <v>62216132.497189797</v>
      </c>
      <c r="D73" s="37">
        <v>62317911.2311358</v>
      </c>
      <c r="E73" s="37">
        <v>62192894.034978099</v>
      </c>
      <c r="F73" s="37">
        <v>62242263.782594703</v>
      </c>
      <c r="G73" s="37">
        <v>62250979.2417669</v>
      </c>
      <c r="H73" s="37">
        <v>62228701.510764897</v>
      </c>
      <c r="I73" s="37">
        <v>62240646.786318198</v>
      </c>
      <c r="J73" s="37">
        <v>62240107.806811199</v>
      </c>
      <c r="K73" s="37">
        <v>62236484.865203701</v>
      </c>
      <c r="L73" s="37">
        <v>62239079.762859397</v>
      </c>
      <c r="M73" s="37">
        <v>62238557.439787202</v>
      </c>
      <c r="N73" s="37">
        <v>62238040.668477803</v>
      </c>
      <c r="O73" s="37">
        <v>62238559.287393399</v>
      </c>
      <c r="P73" s="37">
        <v>62238385.797565997</v>
      </c>
      <c r="Q73" s="37">
        <v>62238328.583709203</v>
      </c>
      <c r="R73" s="37">
        <v>62238424.556063503</v>
      </c>
    </row>
    <row r="74" spans="1:18" x14ac:dyDescent="0.35">
      <c r="A74" s="9" t="s">
        <v>888</v>
      </c>
      <c r="B74" s="9" t="s">
        <v>885</v>
      </c>
      <c r="C74" s="37">
        <v>57417552.604847997</v>
      </c>
      <c r="D74" s="37">
        <v>57514409.100362301</v>
      </c>
      <c r="E74" s="37">
        <v>57395438.004639201</v>
      </c>
      <c r="F74" s="37">
        <v>57442420.125099801</v>
      </c>
      <c r="G74" s="37">
        <v>57450714.085925303</v>
      </c>
      <c r="H74" s="37">
        <v>57429513.753899097</v>
      </c>
      <c r="I74" s="37">
        <v>57440881.330240302</v>
      </c>
      <c r="J74" s="37">
        <v>57440368.416941203</v>
      </c>
      <c r="K74" s="37">
        <v>57436920.688580401</v>
      </c>
      <c r="L74" s="37">
        <v>57439390.0914056</v>
      </c>
      <c r="M74" s="37">
        <v>57438893.029000297</v>
      </c>
      <c r="N74" s="37">
        <v>57438401.249862701</v>
      </c>
      <c r="O74" s="37">
        <v>57438894.787252299</v>
      </c>
      <c r="P74" s="37">
        <v>57438729.687766097</v>
      </c>
      <c r="Q74" s="37">
        <v>57438675.2408944</v>
      </c>
      <c r="R74" s="37">
        <v>57438766.571819201</v>
      </c>
    </row>
    <row r="75" spans="1:18" x14ac:dyDescent="0.35">
      <c r="A75" s="9" t="s">
        <v>889</v>
      </c>
      <c r="B75" s="9" t="s">
        <v>890</v>
      </c>
      <c r="C75" s="37">
        <v>5954416912.4196997</v>
      </c>
      <c r="D75" s="37">
        <v>6007350538.2516203</v>
      </c>
      <c r="E75" s="37">
        <v>6081621191.1501102</v>
      </c>
      <c r="F75" s="37">
        <v>6084757030.3472004</v>
      </c>
      <c r="G75" s="37">
        <v>6084720146.1066599</v>
      </c>
      <c r="H75" s="37">
        <v>6082106455.0671301</v>
      </c>
      <c r="I75" s="37">
        <v>6082926819.8591099</v>
      </c>
      <c r="J75" s="37">
        <v>6082679107.9496698</v>
      </c>
      <c r="K75" s="37">
        <v>6082207015.8044701</v>
      </c>
      <c r="L75" s="37">
        <v>6082364860.92274</v>
      </c>
      <c r="M75" s="37">
        <v>6082254622.8628101</v>
      </c>
      <c r="N75" s="37">
        <v>6082162701.8082895</v>
      </c>
      <c r="O75" s="37">
        <v>6082180871.0379496</v>
      </c>
      <c r="P75" s="37">
        <v>6082142042.7442598</v>
      </c>
      <c r="Q75" s="37">
        <v>6082120235.7285299</v>
      </c>
      <c r="R75" s="37">
        <v>6082117255.3367395</v>
      </c>
    </row>
    <row r="76" spans="1:18" x14ac:dyDescent="0.35">
      <c r="A76" s="9" t="s">
        <v>891</v>
      </c>
      <c r="B76" s="9" t="s">
        <v>885</v>
      </c>
      <c r="C76" s="37">
        <v>5557066716.7212896</v>
      </c>
      <c r="D76" s="37">
        <v>5610030209.2377005</v>
      </c>
      <c r="E76" s="37">
        <v>5684205899.1343203</v>
      </c>
      <c r="F76" s="37">
        <v>5687336488.2591496</v>
      </c>
      <c r="G76" s="37">
        <v>5687305741.0839195</v>
      </c>
      <c r="H76" s="37">
        <v>5684711672.0417004</v>
      </c>
      <c r="I76" s="37">
        <v>5685527027.2157402</v>
      </c>
      <c r="J76" s="37">
        <v>5685280930.2654104</v>
      </c>
      <c r="K76" s="37">
        <v>5684811788.4208202</v>
      </c>
      <c r="L76" s="37">
        <v>5684968319.3719101</v>
      </c>
      <c r="M76" s="37">
        <v>5684858599.2579498</v>
      </c>
      <c r="N76" s="37">
        <v>5684767113.3499603</v>
      </c>
      <c r="O76" s="37">
        <v>5684785015.5789003</v>
      </c>
      <c r="P76" s="37">
        <v>5684746336.7971201</v>
      </c>
      <c r="Q76" s="37">
        <v>5684724591.0135298</v>
      </c>
      <c r="R76" s="37">
        <v>5684721565.6121197</v>
      </c>
    </row>
    <row r="77" spans="1:18" x14ac:dyDescent="0.35">
      <c r="A77" s="9" t="s">
        <v>892</v>
      </c>
      <c r="B77" s="9" t="s">
        <v>893</v>
      </c>
      <c r="C77" s="37">
        <v>7219408788.2682896</v>
      </c>
      <c r="D77" s="37">
        <v>7273614853.6592197</v>
      </c>
      <c r="E77" s="37">
        <v>7342228740.4835901</v>
      </c>
      <c r="F77" s="37">
        <v>7344818943.7034101</v>
      </c>
      <c r="G77" s="37">
        <v>7343733845.1747198</v>
      </c>
      <c r="H77" s="37">
        <v>7340255533.7846203</v>
      </c>
      <c r="I77" s="37">
        <v>7341037117.0364504</v>
      </c>
      <c r="J77" s="37">
        <v>7333663896.8583202</v>
      </c>
      <c r="K77" s="37">
        <v>7332574714.1944904</v>
      </c>
      <c r="L77" s="37">
        <v>7332139548.31882</v>
      </c>
      <c r="M77" s="37">
        <v>7331840635.1753798</v>
      </c>
      <c r="N77" s="37">
        <v>7330791141.4981804</v>
      </c>
      <c r="O77" s="37">
        <v>7330696629.0550299</v>
      </c>
      <c r="P77" s="37">
        <v>7330028161.4570398</v>
      </c>
      <c r="Q77" s="37">
        <v>7329912619.9194098</v>
      </c>
      <c r="R77" s="37">
        <v>7329410586.1523504</v>
      </c>
    </row>
    <row r="78" spans="1:18" x14ac:dyDescent="0.35">
      <c r="A78" s="9" t="s">
        <v>894</v>
      </c>
      <c r="B78" s="9" t="s">
        <v>895</v>
      </c>
      <c r="C78" s="37">
        <v>-102608629.656792</v>
      </c>
      <c r="D78" s="37">
        <v>-107261335.947162</v>
      </c>
      <c r="E78" s="37">
        <v>-110403380.512128</v>
      </c>
      <c r="F78" s="37">
        <v>-113570516.22104999</v>
      </c>
      <c r="G78" s="37">
        <v>-113172435.156431</v>
      </c>
      <c r="H78" s="37">
        <v>-113417461.82151</v>
      </c>
      <c r="I78" s="37">
        <v>-113482568.81939501</v>
      </c>
      <c r="J78" s="37">
        <v>-111514261.535538</v>
      </c>
      <c r="K78" s="37">
        <v>-110670318.641012</v>
      </c>
      <c r="L78" s="37">
        <v>-111678504.493462</v>
      </c>
      <c r="M78" s="37">
        <v>-112247167.51297501</v>
      </c>
      <c r="N78" s="37">
        <v>-112466229.443257</v>
      </c>
      <c r="O78" s="37">
        <v>-112330152.00498</v>
      </c>
      <c r="P78" s="37">
        <v>-112227454.39072999</v>
      </c>
      <c r="Q78" s="37">
        <v>-112076322.156499</v>
      </c>
      <c r="R78" s="37">
        <v>-111901264.05816001</v>
      </c>
    </row>
    <row r="79" spans="1:18" x14ac:dyDescent="0.35">
      <c r="A79" s="9" t="s">
        <v>896</v>
      </c>
      <c r="B79" s="9" t="s">
        <v>897</v>
      </c>
      <c r="C79" s="37">
        <v>-261148617.425488</v>
      </c>
      <c r="D79" s="37">
        <v>-263716157.70008999</v>
      </c>
      <c r="E79" s="37">
        <v>-243348336.543497</v>
      </c>
      <c r="F79" s="37">
        <v>-241418302.661621</v>
      </c>
      <c r="G79" s="37">
        <v>-243432939.009927</v>
      </c>
      <c r="H79" s="37">
        <v>-240017784.96586499</v>
      </c>
      <c r="I79" s="37">
        <v>-241318584.947083</v>
      </c>
      <c r="J79" s="37">
        <v>-245950477.397576</v>
      </c>
      <c r="K79" s="37">
        <v>-247595560.468606</v>
      </c>
      <c r="L79" s="37">
        <v>-245362408.54502699</v>
      </c>
      <c r="M79" s="37">
        <v>-243862194.78537399</v>
      </c>
      <c r="N79" s="37">
        <v>-243214848.71005601</v>
      </c>
      <c r="O79" s="37">
        <v>-243615534.95482099</v>
      </c>
      <c r="P79" s="37">
        <v>-243829884.69284499</v>
      </c>
      <c r="Q79" s="37">
        <v>-244198354.64294201</v>
      </c>
      <c r="R79" s="37">
        <v>-244632163.531046</v>
      </c>
    </row>
    <row r="80" spans="1:18" x14ac:dyDescent="0.35">
      <c r="A80" s="9" t="s">
        <v>898</v>
      </c>
      <c r="B80" s="9" t="s">
        <v>899</v>
      </c>
      <c r="C80" s="37">
        <v>24622.498521508402</v>
      </c>
      <c r="D80" s="37">
        <v>24796.091897074399</v>
      </c>
      <c r="E80" s="37">
        <v>25104.280501566602</v>
      </c>
      <c r="F80" s="37">
        <v>25109.530289826602</v>
      </c>
      <c r="G80" s="37">
        <v>25099.8443314945</v>
      </c>
      <c r="H80" s="37">
        <v>25098.726240135398</v>
      </c>
      <c r="I80" s="37">
        <v>25096.6284346885</v>
      </c>
      <c r="J80" s="37">
        <v>25060.616815202698</v>
      </c>
      <c r="K80" s="37">
        <v>25053.788737663199</v>
      </c>
      <c r="L80" s="37">
        <v>25056.613536880799</v>
      </c>
      <c r="M80" s="37">
        <v>25058.886866451601</v>
      </c>
      <c r="N80" s="37">
        <v>25056.661076066601</v>
      </c>
      <c r="O80" s="37">
        <v>25055.3698061748</v>
      </c>
      <c r="P80" s="37">
        <v>25052.5693236158</v>
      </c>
      <c r="Q80" s="37">
        <v>25051.371464726501</v>
      </c>
      <c r="R80" s="37">
        <v>25048.640470520899</v>
      </c>
    </row>
    <row r="81" spans="1:18" x14ac:dyDescent="0.35">
      <c r="A81" s="9" t="s">
        <v>900</v>
      </c>
      <c r="B81" s="9" t="s">
        <v>901</v>
      </c>
      <c r="C81" s="37">
        <v>24526.0489742461</v>
      </c>
      <c r="D81" s="37">
        <v>24789.4411788996</v>
      </c>
      <c r="E81" s="37">
        <v>25096.5265208903</v>
      </c>
      <c r="F81" s="37">
        <v>25109.210028138201</v>
      </c>
      <c r="G81" s="37">
        <v>25100.074993376798</v>
      </c>
      <c r="H81" s="37">
        <v>25098.759457734999</v>
      </c>
      <c r="I81" s="37">
        <v>25096.680918321701</v>
      </c>
      <c r="J81" s="37">
        <v>25061.505015432402</v>
      </c>
      <c r="K81" s="37">
        <v>25053.9787770402</v>
      </c>
      <c r="L81" s="37">
        <v>25056.5486470293</v>
      </c>
      <c r="M81" s="37">
        <v>25058.829279908499</v>
      </c>
      <c r="N81" s="37">
        <v>25056.714475402299</v>
      </c>
      <c r="O81" s="37">
        <v>25055.402923191799</v>
      </c>
      <c r="P81" s="37">
        <v>25052.639110566801</v>
      </c>
      <c r="Q81" s="37">
        <v>25051.402684782701</v>
      </c>
      <c r="R81" s="37">
        <v>25048.7084993676</v>
      </c>
    </row>
    <row r="82" spans="1:18" x14ac:dyDescent="0.35">
      <c r="A82" s="9" t="s">
        <v>902</v>
      </c>
      <c r="B82" s="9" t="s">
        <v>903</v>
      </c>
      <c r="C82" s="37">
        <v>6827402502.3080702</v>
      </c>
      <c r="D82" s="37">
        <v>6900723916.5736904</v>
      </c>
      <c r="E82" s="37">
        <v>6986208343.1330099</v>
      </c>
      <c r="F82" s="37">
        <v>6989739095.6489897</v>
      </c>
      <c r="G82" s="37">
        <v>6987196143.8978004</v>
      </c>
      <c r="H82" s="37">
        <v>6986829933.6149302</v>
      </c>
      <c r="I82" s="37">
        <v>6986251323.28895</v>
      </c>
      <c r="J82" s="37">
        <v>6976459283.5005903</v>
      </c>
      <c r="K82" s="37">
        <v>6974364178.0522499</v>
      </c>
      <c r="L82" s="37">
        <v>6975079561.79846</v>
      </c>
      <c r="M82" s="37">
        <v>6975714429.5932102</v>
      </c>
      <c r="N82" s="37">
        <v>6975125724.0257998</v>
      </c>
      <c r="O82" s="37">
        <v>6974760622.6246996</v>
      </c>
      <c r="P82" s="37">
        <v>6973991250.3849201</v>
      </c>
      <c r="Q82" s="37">
        <v>6973647062.19135</v>
      </c>
      <c r="R82" s="37">
        <v>6972897072.3228598</v>
      </c>
    </row>
    <row r="83" spans="1:18" x14ac:dyDescent="0.35">
      <c r="A83" s="9" t="s">
        <v>904</v>
      </c>
      <c r="B83" s="9" t="s">
        <v>905</v>
      </c>
      <c r="C83" s="37">
        <v>261148617.425488</v>
      </c>
      <c r="D83" s="37">
        <v>263716157.70008999</v>
      </c>
      <c r="E83" s="37">
        <v>243348336.543497</v>
      </c>
      <c r="F83" s="37">
        <v>241418302.661621</v>
      </c>
      <c r="G83" s="37">
        <v>243432939.009927</v>
      </c>
      <c r="H83" s="37">
        <v>240017784.96586499</v>
      </c>
      <c r="I83" s="37">
        <v>241318584.947083</v>
      </c>
      <c r="J83" s="37">
        <v>245950477.397576</v>
      </c>
      <c r="K83" s="37">
        <v>247595560.468606</v>
      </c>
      <c r="L83" s="37">
        <v>245362408.54502699</v>
      </c>
      <c r="M83" s="37">
        <v>243862194.78537399</v>
      </c>
      <c r="N83" s="37">
        <v>243214848.71005601</v>
      </c>
      <c r="O83" s="37">
        <v>243615534.95482099</v>
      </c>
      <c r="P83" s="37">
        <v>243829884.69284499</v>
      </c>
      <c r="Q83" s="37">
        <v>244198354.64294201</v>
      </c>
      <c r="R83" s="37">
        <v>244632163.531046</v>
      </c>
    </row>
    <row r="84" spans="1:18" x14ac:dyDescent="0.35">
      <c r="A84" s="9" t="s">
        <v>906</v>
      </c>
      <c r="B84" s="9" t="s">
        <v>907</v>
      </c>
      <c r="C84" s="37">
        <v>7088551119.7335596</v>
      </c>
      <c r="D84" s="37">
        <v>7164440074.2737799</v>
      </c>
      <c r="E84" s="37">
        <v>7229556679.6765099</v>
      </c>
      <c r="F84" s="37">
        <v>7231157398.3106098</v>
      </c>
      <c r="G84" s="37">
        <v>7230629082.9077301</v>
      </c>
      <c r="H84" s="37">
        <v>7226847718.5808001</v>
      </c>
      <c r="I84" s="37">
        <v>7227569908.2360296</v>
      </c>
      <c r="J84" s="37">
        <v>7222409760.89816</v>
      </c>
      <c r="K84" s="37">
        <v>7221959738.5208597</v>
      </c>
      <c r="L84" s="37">
        <v>7220441970.3434801</v>
      </c>
      <c r="M84" s="37">
        <v>7219576624.3785801</v>
      </c>
      <c r="N84" s="37">
        <v>7218340572.7358599</v>
      </c>
      <c r="O84" s="37">
        <v>7218376157.5795202</v>
      </c>
      <c r="P84" s="37">
        <v>7217821135.0777702</v>
      </c>
      <c r="Q84" s="37">
        <v>7217845416.8343</v>
      </c>
      <c r="R84" s="37">
        <v>7217529235.8539104</v>
      </c>
    </row>
    <row r="85" spans="1:18" x14ac:dyDescent="0.35">
      <c r="A85" s="9" t="s">
        <v>908</v>
      </c>
      <c r="B85" s="9" t="s">
        <v>909</v>
      </c>
      <c r="C85" s="37">
        <v>6452.5252525252499</v>
      </c>
      <c r="D85" s="37">
        <v>6452.5252525252499</v>
      </c>
      <c r="E85" s="37">
        <v>6452.5252525252499</v>
      </c>
      <c r="F85" s="37">
        <v>6452.5252525252499</v>
      </c>
      <c r="G85" s="37">
        <v>6452.5252525252499</v>
      </c>
      <c r="H85" s="37">
        <v>6452.5252525252499</v>
      </c>
      <c r="I85" s="37">
        <v>6452.5252525252499</v>
      </c>
      <c r="J85" s="37">
        <v>6452.5252525252499</v>
      </c>
      <c r="K85" s="37">
        <v>6452.5252525252499</v>
      </c>
      <c r="L85" s="37">
        <v>6452.5252525252499</v>
      </c>
      <c r="M85" s="37">
        <v>6452.5252525252499</v>
      </c>
      <c r="N85" s="37">
        <v>6452.5252525252499</v>
      </c>
      <c r="O85" s="37">
        <v>6452.5252525252499</v>
      </c>
      <c r="P85" s="37">
        <v>6452.5252525252499</v>
      </c>
      <c r="Q85" s="37">
        <v>6452.5252525252499</v>
      </c>
      <c r="R85" s="37">
        <v>6452.5252525252499</v>
      </c>
    </row>
    <row r="86" spans="1:18" x14ac:dyDescent="0.35">
      <c r="A86" s="9" t="s">
        <v>910</v>
      </c>
      <c r="B86" s="9" t="s">
        <v>911</v>
      </c>
      <c r="C86" s="37">
        <v>5620.63131313131</v>
      </c>
      <c r="D86" s="37">
        <v>5620.63131313131</v>
      </c>
      <c r="E86" s="37">
        <v>5620.63131313131</v>
      </c>
      <c r="F86" s="37">
        <v>5620.63131313131</v>
      </c>
      <c r="G86" s="37">
        <v>5620.63131313131</v>
      </c>
      <c r="H86" s="37">
        <v>5620.63131313131</v>
      </c>
      <c r="I86" s="37">
        <v>5620.63131313131</v>
      </c>
      <c r="J86" s="37">
        <v>5620.63131313131</v>
      </c>
      <c r="K86" s="37">
        <v>5620.63131313131</v>
      </c>
      <c r="L86" s="37">
        <v>5620.63131313131</v>
      </c>
      <c r="M86" s="37">
        <v>5620.63131313131</v>
      </c>
      <c r="N86" s="37">
        <v>5620.63131313131</v>
      </c>
      <c r="O86" s="37">
        <v>5620.63131313131</v>
      </c>
      <c r="P86" s="37">
        <v>5620.63131313131</v>
      </c>
      <c r="Q86" s="37">
        <v>5620.63131313131</v>
      </c>
      <c r="R86" s="37">
        <v>5620.63131313131</v>
      </c>
    </row>
    <row r="87" spans="1:18" x14ac:dyDescent="0.35">
      <c r="B87" s="4" t="s">
        <v>912</v>
      </c>
      <c r="C87" s="19">
        <f t="shared" ref="C87:R87" si="0">(C59+C59/12+C64)*IF(C71=0,0,C72/C71)</f>
        <v>631909815.75303757</v>
      </c>
      <c r="D87" s="19">
        <f t="shared" si="0"/>
        <v>631612591.45272899</v>
      </c>
      <c r="E87" s="19">
        <f t="shared" si="0"/>
        <v>631761596.69972634</v>
      </c>
      <c r="F87" s="19">
        <f t="shared" si="0"/>
        <v>631761337.87219238</v>
      </c>
      <c r="G87" s="19">
        <f t="shared" si="0"/>
        <v>631711844.13814926</v>
      </c>
      <c r="H87" s="19">
        <f t="shared" si="0"/>
        <v>631744926.47455096</v>
      </c>
      <c r="I87" s="19">
        <f t="shared" si="0"/>
        <v>631739369.56240022</v>
      </c>
      <c r="J87" s="19">
        <f t="shared" si="0"/>
        <v>631732046.80260074</v>
      </c>
      <c r="K87" s="19">
        <f t="shared" si="0"/>
        <v>631738780.96144664</v>
      </c>
      <c r="L87" s="19">
        <f t="shared" si="0"/>
        <v>631736732.44343162</v>
      </c>
      <c r="M87" s="19">
        <f t="shared" si="0"/>
        <v>631735853.40495682</v>
      </c>
      <c r="N87" s="19">
        <f t="shared" si="0"/>
        <v>631737122.27072334</v>
      </c>
      <c r="O87" s="19">
        <f t="shared" si="0"/>
        <v>631736569.37307942</v>
      </c>
      <c r="P87" s="19">
        <f t="shared" si="0"/>
        <v>631736515.01632166</v>
      </c>
      <c r="Q87" s="19">
        <f t="shared" si="0"/>
        <v>631736735.55340886</v>
      </c>
      <c r="R87" s="19">
        <f t="shared" si="0"/>
        <v>631736606.64760768</v>
      </c>
    </row>
    <row r="88" spans="1:18" x14ac:dyDescent="0.35">
      <c r="B88" s="4" t="s">
        <v>913</v>
      </c>
      <c r="C88" s="19">
        <f t="shared" ref="C88:R88" si="1">(C60+C60/12+C61+C63+C65)*IF(C71=0,0,C72/C71)</f>
        <v>399077761.66289985</v>
      </c>
      <c r="D88" s="19">
        <f t="shared" si="1"/>
        <v>398890051.95255518</v>
      </c>
      <c r="E88" s="19">
        <f t="shared" si="1"/>
        <v>398984155.06500137</v>
      </c>
      <c r="F88" s="19">
        <f t="shared" si="1"/>
        <v>398983991.60447216</v>
      </c>
      <c r="G88" s="19">
        <f t="shared" si="1"/>
        <v>398952734.21915245</v>
      </c>
      <c r="H88" s="19">
        <f t="shared" si="1"/>
        <v>398973627.11309499</v>
      </c>
      <c r="I88" s="19">
        <f t="shared" si="1"/>
        <v>398970117.68816203</v>
      </c>
      <c r="J88" s="19">
        <f t="shared" si="1"/>
        <v>398965493.05579013</v>
      </c>
      <c r="K88" s="19">
        <f t="shared" si="1"/>
        <v>398969745.96177757</v>
      </c>
      <c r="L88" s="19">
        <f t="shared" si="1"/>
        <v>398968452.23605311</v>
      </c>
      <c r="M88" s="19">
        <f t="shared" si="1"/>
        <v>398967897.08609623</v>
      </c>
      <c r="N88" s="19">
        <f t="shared" si="1"/>
        <v>398968698.42846715</v>
      </c>
      <c r="O88" s="19">
        <f t="shared" si="1"/>
        <v>398968349.2502321</v>
      </c>
      <c r="P88" s="19">
        <f t="shared" si="1"/>
        <v>398968314.92164183</v>
      </c>
      <c r="Q88" s="19">
        <f t="shared" si="1"/>
        <v>398968454.20013517</v>
      </c>
      <c r="R88" s="19">
        <f t="shared" si="1"/>
        <v>398968372.79067248</v>
      </c>
    </row>
    <row r="89" spans="1:18" x14ac:dyDescent="0.35">
      <c r="B89" s="9" t="s">
        <v>914</v>
      </c>
      <c r="C89" s="19">
        <f t="shared" ref="C89:R89" si="2">C87+C88-C54-C55</f>
        <v>2.384185791015625E-6</v>
      </c>
      <c r="D89" s="19">
        <f t="shared" si="2"/>
        <v>-1.8775463104248047E-6</v>
      </c>
      <c r="E89" s="19">
        <f t="shared" si="2"/>
        <v>-2.2649765014648438E-6</v>
      </c>
      <c r="F89" s="19">
        <f t="shared" si="2"/>
        <v>-1.4901161193847656E-6</v>
      </c>
      <c r="G89" s="19">
        <f t="shared" si="2"/>
        <v>-1.2516975402832031E-6</v>
      </c>
      <c r="H89" s="19">
        <f t="shared" si="2"/>
        <v>-9.8347663879394531E-7</v>
      </c>
      <c r="I89" s="19">
        <f t="shared" si="2"/>
        <v>2.1755695343017578E-6</v>
      </c>
      <c r="J89" s="19">
        <f t="shared" si="2"/>
        <v>1.8179416656494141E-6</v>
      </c>
      <c r="K89" s="19">
        <f t="shared" si="2"/>
        <v>-1.7285346984863281E-6</v>
      </c>
      <c r="L89" s="19">
        <f t="shared" si="2"/>
        <v>-2.2649765014648438E-6</v>
      </c>
      <c r="M89" s="19">
        <f t="shared" si="2"/>
        <v>2.1457672119140625E-6</v>
      </c>
      <c r="N89" s="19">
        <f t="shared" si="2"/>
        <v>-1.5497207641601563E-6</v>
      </c>
      <c r="O89" s="19">
        <f t="shared" si="2"/>
        <v>-1.4901161193847656E-6</v>
      </c>
      <c r="P89" s="19">
        <f t="shared" si="2"/>
        <v>1.5199184417724609E-6</v>
      </c>
      <c r="Q89" s="19">
        <f t="shared" si="2"/>
        <v>-8.6426734924316406E-7</v>
      </c>
      <c r="R89" s="19">
        <f t="shared" si="2"/>
        <v>1.0430812835693359E-6</v>
      </c>
    </row>
    <row r="91" spans="1:18" x14ac:dyDescent="0.35">
      <c r="A91" s="6" t="s">
        <v>915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x14ac:dyDescent="0.35">
      <c r="A92" s="9" t="s">
        <v>916</v>
      </c>
      <c r="B92" s="9" t="s">
        <v>783</v>
      </c>
      <c r="C92" s="46">
        <v>0.99</v>
      </c>
      <c r="D92" s="46">
        <v>0.99</v>
      </c>
      <c r="E92" s="46">
        <v>0.99</v>
      </c>
      <c r="F92" s="46">
        <v>0.99</v>
      </c>
      <c r="G92" s="46">
        <v>0.99</v>
      </c>
      <c r="H92" s="46">
        <v>0.99</v>
      </c>
      <c r="I92" s="46">
        <v>0.99</v>
      </c>
      <c r="J92" s="46">
        <v>0.99</v>
      </c>
      <c r="K92" s="46">
        <v>0.99</v>
      </c>
      <c r="L92" s="46">
        <v>0.99</v>
      </c>
      <c r="M92" s="46">
        <v>0.99</v>
      </c>
      <c r="N92" s="46">
        <v>0.99</v>
      </c>
      <c r="O92" s="46">
        <v>0.99</v>
      </c>
      <c r="P92" s="46">
        <v>0.99</v>
      </c>
      <c r="Q92" s="46">
        <v>0.99</v>
      </c>
      <c r="R92" s="46">
        <v>0.99</v>
      </c>
    </row>
    <row r="93" spans="1:18" x14ac:dyDescent="0.35">
      <c r="A93" s="9" t="s">
        <v>917</v>
      </c>
      <c r="B93" s="9" t="s">
        <v>207</v>
      </c>
      <c r="C93" s="46">
        <v>0</v>
      </c>
      <c r="D93" s="46">
        <v>0</v>
      </c>
      <c r="E93" s="46">
        <v>0</v>
      </c>
      <c r="F93" s="46">
        <v>0</v>
      </c>
      <c r="G93" s="46">
        <v>0</v>
      </c>
      <c r="H93" s="46">
        <v>0</v>
      </c>
      <c r="I93" s="46">
        <v>0</v>
      </c>
      <c r="J93" s="46">
        <v>0</v>
      </c>
      <c r="K93" s="46">
        <v>0</v>
      </c>
      <c r="L93" s="46">
        <v>0</v>
      </c>
      <c r="M93" s="46">
        <v>0</v>
      </c>
      <c r="N93" s="46">
        <v>0</v>
      </c>
      <c r="O93" s="46">
        <v>0</v>
      </c>
      <c r="P93" s="46">
        <v>0</v>
      </c>
      <c r="Q93" s="46">
        <v>0</v>
      </c>
      <c r="R93" s="46">
        <v>0</v>
      </c>
    </row>
    <row r="94" spans="1:18" x14ac:dyDescent="0.35">
      <c r="A94" s="9" t="s">
        <v>918</v>
      </c>
      <c r="B94" s="9" t="s">
        <v>209</v>
      </c>
      <c r="C94" s="46">
        <v>0.01</v>
      </c>
      <c r="D94" s="46">
        <v>0.01</v>
      </c>
      <c r="E94" s="46">
        <v>0.01</v>
      </c>
      <c r="F94" s="46">
        <v>0.01</v>
      </c>
      <c r="G94" s="46">
        <v>0.01</v>
      </c>
      <c r="H94" s="46">
        <v>0.01</v>
      </c>
      <c r="I94" s="46">
        <v>0.01</v>
      </c>
      <c r="J94" s="46">
        <v>0.01</v>
      </c>
      <c r="K94" s="46">
        <v>0.01</v>
      </c>
      <c r="L94" s="46">
        <v>0.01</v>
      </c>
      <c r="M94" s="46">
        <v>0.01</v>
      </c>
      <c r="N94" s="46">
        <v>0.01</v>
      </c>
      <c r="O94" s="46">
        <v>0.01</v>
      </c>
      <c r="P94" s="46">
        <v>0.01</v>
      </c>
      <c r="Q94" s="46">
        <v>0.01</v>
      </c>
      <c r="R94" s="46">
        <v>0.01</v>
      </c>
    </row>
    <row r="95" spans="1:18" x14ac:dyDescent="0.35">
      <c r="A95" s="9" t="s">
        <v>919</v>
      </c>
      <c r="B95" s="9" t="s">
        <v>789</v>
      </c>
      <c r="C95" s="37">
        <v>6388</v>
      </c>
      <c r="D95" s="37">
        <v>6388</v>
      </c>
      <c r="E95" s="37">
        <v>6388</v>
      </c>
      <c r="F95" s="37">
        <v>6388</v>
      </c>
      <c r="G95" s="37">
        <v>6388</v>
      </c>
      <c r="H95" s="37">
        <v>6388</v>
      </c>
      <c r="I95" s="37">
        <v>6388</v>
      </c>
      <c r="J95" s="37">
        <v>6388</v>
      </c>
      <c r="K95" s="37">
        <v>6388</v>
      </c>
      <c r="L95" s="37">
        <v>6388</v>
      </c>
      <c r="M95" s="37">
        <v>6388</v>
      </c>
      <c r="N95" s="37">
        <v>6388</v>
      </c>
      <c r="O95" s="37">
        <v>6388</v>
      </c>
      <c r="P95" s="37">
        <v>6388</v>
      </c>
      <c r="Q95" s="37">
        <v>6388</v>
      </c>
      <c r="R95" s="37">
        <v>6388</v>
      </c>
    </row>
    <row r="96" spans="1:18" x14ac:dyDescent="0.35">
      <c r="A96" s="9" t="s">
        <v>920</v>
      </c>
      <c r="B96" s="9" t="s">
        <v>207</v>
      </c>
      <c r="C96" s="46">
        <v>0</v>
      </c>
      <c r="D96" s="46">
        <v>0</v>
      </c>
      <c r="E96" s="46">
        <v>0</v>
      </c>
      <c r="F96" s="46">
        <v>0</v>
      </c>
      <c r="G96" s="46">
        <v>0</v>
      </c>
      <c r="H96" s="46">
        <v>0</v>
      </c>
      <c r="I96" s="46">
        <v>0</v>
      </c>
      <c r="J96" s="46">
        <v>0</v>
      </c>
      <c r="K96" s="46">
        <v>0</v>
      </c>
      <c r="L96" s="46">
        <v>0</v>
      </c>
      <c r="M96" s="46">
        <v>0</v>
      </c>
      <c r="N96" s="46">
        <v>0</v>
      </c>
      <c r="O96" s="46">
        <v>0</v>
      </c>
      <c r="P96" s="46">
        <v>0</v>
      </c>
      <c r="Q96" s="46">
        <v>0</v>
      </c>
      <c r="R96" s="46">
        <v>0</v>
      </c>
    </row>
    <row r="97" spans="1:18" x14ac:dyDescent="0.35">
      <c r="A97" s="9" t="s">
        <v>921</v>
      </c>
      <c r="B97" s="9" t="s">
        <v>209</v>
      </c>
      <c r="C97" s="46">
        <v>64.525252525252498</v>
      </c>
      <c r="D97" s="46">
        <v>64.525252525252498</v>
      </c>
      <c r="E97" s="46">
        <v>64.525252525252498</v>
      </c>
      <c r="F97" s="46">
        <v>64.525252525252498</v>
      </c>
      <c r="G97" s="46">
        <v>64.525252525252498</v>
      </c>
      <c r="H97" s="46">
        <v>64.525252525252498</v>
      </c>
      <c r="I97" s="46">
        <v>64.525252525252498</v>
      </c>
      <c r="J97" s="46">
        <v>64.525252525252498</v>
      </c>
      <c r="K97" s="46">
        <v>64.525252525252498</v>
      </c>
      <c r="L97" s="46">
        <v>64.525252525252498</v>
      </c>
      <c r="M97" s="46">
        <v>64.525252525252498</v>
      </c>
      <c r="N97" s="46">
        <v>64.525252525252498</v>
      </c>
      <c r="O97" s="46">
        <v>64.525252525252498</v>
      </c>
      <c r="P97" s="46">
        <v>64.525252525252498</v>
      </c>
      <c r="Q97" s="46">
        <v>64.525252525252498</v>
      </c>
      <c r="R97" s="46">
        <v>64.525252525252498</v>
      </c>
    </row>
    <row r="98" spans="1:18" x14ac:dyDescent="0.35">
      <c r="A98" s="9" t="s">
        <v>922</v>
      </c>
      <c r="B98" s="9" t="s">
        <v>793</v>
      </c>
      <c r="C98" s="46">
        <v>0</v>
      </c>
      <c r="D98" s="46">
        <v>0</v>
      </c>
      <c r="E98" s="46">
        <v>0</v>
      </c>
      <c r="F98" s="46">
        <v>0</v>
      </c>
      <c r="G98" s="46">
        <v>0</v>
      </c>
      <c r="H98" s="46">
        <v>0</v>
      </c>
      <c r="I98" s="46">
        <v>0</v>
      </c>
      <c r="J98" s="46">
        <v>0</v>
      </c>
      <c r="K98" s="46">
        <v>0</v>
      </c>
      <c r="L98" s="46">
        <v>0</v>
      </c>
      <c r="M98" s="46">
        <v>0</v>
      </c>
      <c r="N98" s="46">
        <v>0</v>
      </c>
      <c r="O98" s="46">
        <v>0</v>
      </c>
      <c r="P98" s="46">
        <v>0</v>
      </c>
      <c r="Q98" s="46">
        <v>0</v>
      </c>
      <c r="R98" s="46">
        <v>0</v>
      </c>
    </row>
    <row r="99" spans="1:18" x14ac:dyDescent="0.35">
      <c r="A99" s="9" t="s">
        <v>923</v>
      </c>
      <c r="B99" s="9" t="s">
        <v>795</v>
      </c>
      <c r="C99" s="37">
        <v>6452.5252525252499</v>
      </c>
      <c r="D99" s="37">
        <v>6452.5252525252499</v>
      </c>
      <c r="E99" s="37">
        <v>6452.5252525252499</v>
      </c>
      <c r="F99" s="37">
        <v>6452.5252525252499</v>
      </c>
      <c r="G99" s="37">
        <v>6452.5252525252499</v>
      </c>
      <c r="H99" s="37">
        <v>6452.5252525252499</v>
      </c>
      <c r="I99" s="37">
        <v>6452.5252525252499</v>
      </c>
      <c r="J99" s="37">
        <v>6452.5252525252499</v>
      </c>
      <c r="K99" s="37">
        <v>6452.5252525252499</v>
      </c>
      <c r="L99" s="37">
        <v>6452.5252525252499</v>
      </c>
      <c r="M99" s="37">
        <v>6452.5252525252499</v>
      </c>
      <c r="N99" s="37">
        <v>6452.5252525252499</v>
      </c>
      <c r="O99" s="37">
        <v>6452.5252525252499</v>
      </c>
      <c r="P99" s="37">
        <v>6452.5252525252499</v>
      </c>
      <c r="Q99" s="37">
        <v>6452.5252525252499</v>
      </c>
      <c r="R99" s="37">
        <v>6452.5252525252499</v>
      </c>
    </row>
    <row r="100" spans="1:18" x14ac:dyDescent="0.35">
      <c r="A100" s="9" t="s">
        <v>924</v>
      </c>
      <c r="B100" s="9" t="s">
        <v>816</v>
      </c>
      <c r="C100" s="46">
        <v>3.1297846889952199</v>
      </c>
      <c r="D100" s="46">
        <v>3.1297846889952199</v>
      </c>
      <c r="E100" s="46">
        <v>3.1297846889952199</v>
      </c>
      <c r="F100" s="46">
        <v>3.1297846889952199</v>
      </c>
      <c r="G100" s="46">
        <v>3.1297846889952199</v>
      </c>
      <c r="H100" s="46">
        <v>3.1297846889952199</v>
      </c>
      <c r="I100" s="46">
        <v>3.1297846889952199</v>
      </c>
      <c r="J100" s="46">
        <v>3.1297846889952199</v>
      </c>
      <c r="K100" s="46">
        <v>3.1297846889952199</v>
      </c>
      <c r="L100" s="46">
        <v>3.1297846889952199</v>
      </c>
      <c r="M100" s="46">
        <v>3.1297846889952199</v>
      </c>
      <c r="N100" s="46">
        <v>3.1297846889952199</v>
      </c>
      <c r="O100" s="46">
        <v>3.1297846889952199</v>
      </c>
      <c r="P100" s="46">
        <v>3.1297846889952199</v>
      </c>
      <c r="Q100" s="46">
        <v>3.1297846889952199</v>
      </c>
      <c r="R100" s="46">
        <v>3.1297846889952199</v>
      </c>
    </row>
    <row r="101" spans="1:18" x14ac:dyDescent="0.35">
      <c r="A101" s="9" t="s">
        <v>925</v>
      </c>
      <c r="B101" s="9" t="s">
        <v>52</v>
      </c>
      <c r="C101" s="37">
        <v>20195.014740708601</v>
      </c>
      <c r="D101" s="37">
        <v>20195.014740708601</v>
      </c>
      <c r="E101" s="37">
        <v>20195.014740708601</v>
      </c>
      <c r="F101" s="37">
        <v>20195.014740708601</v>
      </c>
      <c r="G101" s="37">
        <v>20195.014740708601</v>
      </c>
      <c r="H101" s="37">
        <v>20195.014740708601</v>
      </c>
      <c r="I101" s="37">
        <v>20195.014740708601</v>
      </c>
      <c r="J101" s="37">
        <v>20195.014740708601</v>
      </c>
      <c r="K101" s="37">
        <v>20195.014740708601</v>
      </c>
      <c r="L101" s="37">
        <v>20195.014740708601</v>
      </c>
      <c r="M101" s="37">
        <v>20195.014740708601</v>
      </c>
      <c r="N101" s="37">
        <v>20195.014740708601</v>
      </c>
      <c r="O101" s="37">
        <v>20195.014740708601</v>
      </c>
      <c r="P101" s="37">
        <v>20195.014740708601</v>
      </c>
      <c r="Q101" s="37">
        <v>20195.014740708601</v>
      </c>
      <c r="R101" s="37">
        <v>20195.014740708601</v>
      </c>
    </row>
    <row r="102" spans="1:18" x14ac:dyDescent="0.35">
      <c r="A102" s="9" t="s">
        <v>926</v>
      </c>
      <c r="B102" s="9" t="s">
        <v>927</v>
      </c>
      <c r="C102" s="37">
        <v>119400399.302523</v>
      </c>
      <c r="D102" s="37">
        <v>119400399.302523</v>
      </c>
      <c r="E102" s="37">
        <v>119400399.302523</v>
      </c>
      <c r="F102" s="37">
        <v>119400399.302523</v>
      </c>
      <c r="G102" s="37">
        <v>119400399.302523</v>
      </c>
      <c r="H102" s="37">
        <v>119400399.302523</v>
      </c>
      <c r="I102" s="37">
        <v>119400399.302523</v>
      </c>
      <c r="J102" s="37">
        <v>119400399.302523</v>
      </c>
      <c r="K102" s="37">
        <v>119400399.302523</v>
      </c>
      <c r="L102" s="37">
        <v>119400399.302523</v>
      </c>
      <c r="M102" s="37">
        <v>119400399.302523</v>
      </c>
      <c r="N102" s="37">
        <v>119400399.302523</v>
      </c>
      <c r="O102" s="37">
        <v>119400399.302523</v>
      </c>
      <c r="P102" s="37">
        <v>119400399.302523</v>
      </c>
      <c r="Q102" s="37">
        <v>119400399.302523</v>
      </c>
      <c r="R102" s="37">
        <v>119400399.302523</v>
      </c>
    </row>
    <row r="103" spans="1:18" x14ac:dyDescent="0.35">
      <c r="A103" s="9" t="s">
        <v>928</v>
      </c>
      <c r="B103" s="9" t="s">
        <v>52</v>
      </c>
      <c r="C103" s="37">
        <v>2561.91036412423</v>
      </c>
      <c r="D103" s="37">
        <v>2561.91036412423</v>
      </c>
      <c r="E103" s="37">
        <v>2561.91036412423</v>
      </c>
      <c r="F103" s="37">
        <v>2561.91036412423</v>
      </c>
      <c r="G103" s="37">
        <v>2561.91036412423</v>
      </c>
      <c r="H103" s="37">
        <v>2561.91036412423</v>
      </c>
      <c r="I103" s="37">
        <v>2561.91036412423</v>
      </c>
      <c r="J103" s="37">
        <v>2561.91036412423</v>
      </c>
      <c r="K103" s="37">
        <v>2561.91036412423</v>
      </c>
      <c r="L103" s="37">
        <v>2561.91036412423</v>
      </c>
      <c r="M103" s="37">
        <v>2561.91036412423</v>
      </c>
      <c r="N103" s="37">
        <v>2561.91036412423</v>
      </c>
      <c r="O103" s="37">
        <v>2561.91036412423</v>
      </c>
      <c r="P103" s="37">
        <v>2561.91036412423</v>
      </c>
      <c r="Q103" s="37">
        <v>2561.91036412423</v>
      </c>
      <c r="R103" s="37">
        <v>2561.91036412423</v>
      </c>
    </row>
    <row r="104" spans="1:18" x14ac:dyDescent="0.35">
      <c r="A104" s="9" t="s">
        <v>929</v>
      </c>
      <c r="B104" s="9" t="s">
        <v>53</v>
      </c>
      <c r="C104" s="37">
        <v>43030896.5510666</v>
      </c>
      <c r="D104" s="37">
        <v>42975108.723240897</v>
      </c>
      <c r="E104" s="37">
        <v>42969267.721485101</v>
      </c>
      <c r="F104" s="37">
        <v>42968653.541544698</v>
      </c>
      <c r="G104" s="37">
        <v>42968589.162056699</v>
      </c>
      <c r="H104" s="37">
        <v>42968582.409262702</v>
      </c>
      <c r="I104" s="37">
        <v>42968581.700530604</v>
      </c>
      <c r="J104" s="37">
        <v>42968581.6261926</v>
      </c>
      <c r="K104" s="37">
        <v>42968581.618393697</v>
      </c>
      <c r="L104" s="37">
        <v>42968581.617575496</v>
      </c>
      <c r="M104" s="37">
        <v>42968581.617489703</v>
      </c>
      <c r="N104" s="37">
        <v>42968581.617480703</v>
      </c>
      <c r="O104" s="37">
        <v>42968581.617479697</v>
      </c>
      <c r="P104" s="37">
        <v>42968581.6174796</v>
      </c>
      <c r="Q104" s="37">
        <v>42968581.6174796</v>
      </c>
      <c r="R104" s="37">
        <v>42968581.6174796</v>
      </c>
    </row>
    <row r="105" spans="1:18" x14ac:dyDescent="0.35">
      <c r="A105" s="9" t="s">
        <v>930</v>
      </c>
      <c r="B105" s="9" t="s">
        <v>52</v>
      </c>
      <c r="C105" s="46">
        <v>123.343334089027</v>
      </c>
      <c r="D105" s="46">
        <v>123.343334089027</v>
      </c>
      <c r="E105" s="46">
        <v>123.343334089027</v>
      </c>
      <c r="F105" s="46">
        <v>123.343334089027</v>
      </c>
      <c r="G105" s="46">
        <v>123.343334089027</v>
      </c>
      <c r="H105" s="46">
        <v>123.343334089027</v>
      </c>
      <c r="I105" s="46">
        <v>123.343334089027</v>
      </c>
      <c r="J105" s="46">
        <v>123.343334089027</v>
      </c>
      <c r="K105" s="46">
        <v>123.343334089027</v>
      </c>
      <c r="L105" s="46">
        <v>123.343334089027</v>
      </c>
      <c r="M105" s="46">
        <v>123.343334089027</v>
      </c>
      <c r="N105" s="46">
        <v>123.343334089027</v>
      </c>
      <c r="O105" s="46">
        <v>123.343334089027</v>
      </c>
      <c r="P105" s="46">
        <v>123.343334089027</v>
      </c>
      <c r="Q105" s="46">
        <v>123.343334089027</v>
      </c>
      <c r="R105" s="46">
        <v>123.343334089027</v>
      </c>
    </row>
    <row r="106" spans="1:18" x14ac:dyDescent="0.35">
      <c r="A106" s="9" t="s">
        <v>931</v>
      </c>
      <c r="B106" s="9" t="s">
        <v>54</v>
      </c>
      <c r="C106" s="37">
        <v>28307294.915452201</v>
      </c>
      <c r="D106" s="37">
        <v>28307295.173431698</v>
      </c>
      <c r="E106" s="37">
        <v>28307295.173431698</v>
      </c>
      <c r="F106" s="37">
        <v>28307295.173431698</v>
      </c>
      <c r="G106" s="37">
        <v>28307295.173431698</v>
      </c>
      <c r="H106" s="37">
        <v>28307295.173431698</v>
      </c>
      <c r="I106" s="37">
        <v>28307295.173431698</v>
      </c>
      <c r="J106" s="37">
        <v>28307295.173431698</v>
      </c>
      <c r="K106" s="37">
        <v>28307295.173431698</v>
      </c>
      <c r="L106" s="37">
        <v>28307295.173431698</v>
      </c>
      <c r="M106" s="37">
        <v>28307295.173431698</v>
      </c>
      <c r="N106" s="37">
        <v>28307295.173431698</v>
      </c>
      <c r="O106" s="37">
        <v>28307295.173431698</v>
      </c>
      <c r="P106" s="37">
        <v>28307295.173431698</v>
      </c>
      <c r="Q106" s="37">
        <v>28307295.173431698</v>
      </c>
      <c r="R106" s="37">
        <v>28307295.173431698</v>
      </c>
    </row>
    <row r="107" spans="1:18" x14ac:dyDescent="0.35">
      <c r="A107" s="9" t="s">
        <v>932</v>
      </c>
      <c r="B107" s="9" t="s">
        <v>52</v>
      </c>
      <c r="C107" s="46">
        <v>0</v>
      </c>
      <c r="D107" s="46">
        <v>0</v>
      </c>
      <c r="E107" s="46">
        <v>0</v>
      </c>
      <c r="F107" s="46">
        <v>0</v>
      </c>
      <c r="G107" s="46">
        <v>0</v>
      </c>
      <c r="H107" s="46">
        <v>0</v>
      </c>
      <c r="I107" s="46">
        <v>0</v>
      </c>
      <c r="J107" s="46">
        <v>0</v>
      </c>
      <c r="K107" s="46">
        <v>0</v>
      </c>
      <c r="L107" s="46">
        <v>0</v>
      </c>
      <c r="M107" s="46">
        <v>0</v>
      </c>
      <c r="N107" s="46">
        <v>0</v>
      </c>
      <c r="O107" s="46">
        <v>0</v>
      </c>
      <c r="P107" s="46">
        <v>0</v>
      </c>
      <c r="Q107" s="46">
        <v>0</v>
      </c>
      <c r="R107" s="46">
        <v>0</v>
      </c>
    </row>
    <row r="108" spans="1:18" x14ac:dyDescent="0.35">
      <c r="A108" s="9" t="s">
        <v>933</v>
      </c>
      <c r="B108" s="9" t="s">
        <v>826</v>
      </c>
      <c r="C108" s="46">
        <v>0</v>
      </c>
      <c r="D108" s="46">
        <v>0</v>
      </c>
      <c r="E108" s="46">
        <v>0</v>
      </c>
      <c r="F108" s="46">
        <v>0</v>
      </c>
      <c r="G108" s="46">
        <v>0</v>
      </c>
      <c r="H108" s="46">
        <v>0</v>
      </c>
      <c r="I108" s="46">
        <v>0</v>
      </c>
      <c r="J108" s="46">
        <v>0</v>
      </c>
      <c r="K108" s="46">
        <v>0</v>
      </c>
      <c r="L108" s="46">
        <v>0</v>
      </c>
      <c r="M108" s="46">
        <v>0</v>
      </c>
      <c r="N108" s="46">
        <v>0</v>
      </c>
      <c r="O108" s="46">
        <v>0</v>
      </c>
      <c r="P108" s="46">
        <v>0</v>
      </c>
      <c r="Q108" s="46">
        <v>0</v>
      </c>
      <c r="R108" s="46">
        <v>0</v>
      </c>
    </row>
    <row r="109" spans="1:18" x14ac:dyDescent="0.35">
      <c r="A109" s="9" t="s">
        <v>934</v>
      </c>
      <c r="B109" s="9" t="s">
        <v>52</v>
      </c>
      <c r="C109" s="46">
        <v>5.9739375504344396</v>
      </c>
      <c r="D109" s="46">
        <v>5.9739375504344396</v>
      </c>
      <c r="E109" s="46">
        <v>5.9739375504344396</v>
      </c>
      <c r="F109" s="46">
        <v>5.9739375504344396</v>
      </c>
      <c r="G109" s="46">
        <v>5.9739375504344396</v>
      </c>
      <c r="H109" s="46">
        <v>5.9739375504344396</v>
      </c>
      <c r="I109" s="46">
        <v>5.9739375504344396</v>
      </c>
      <c r="J109" s="46">
        <v>5.9739375504344396</v>
      </c>
      <c r="K109" s="46">
        <v>5.9739375504344396</v>
      </c>
      <c r="L109" s="46">
        <v>5.9739375504344396</v>
      </c>
      <c r="M109" s="46">
        <v>5.9739375504344396</v>
      </c>
      <c r="N109" s="46">
        <v>5.9739375504344396</v>
      </c>
      <c r="O109" s="46">
        <v>5.9739375504344396</v>
      </c>
      <c r="P109" s="46">
        <v>5.9739375504344396</v>
      </c>
      <c r="Q109" s="46">
        <v>5.9739375504344396</v>
      </c>
      <c r="R109" s="46">
        <v>5.9739375504344396</v>
      </c>
    </row>
    <row r="110" spans="1:18" x14ac:dyDescent="0.35">
      <c r="A110" s="9" t="s">
        <v>935</v>
      </c>
      <c r="B110" s="9" t="s">
        <v>268</v>
      </c>
      <c r="C110" s="37">
        <v>191164.826627078</v>
      </c>
      <c r="D110" s="37">
        <v>188433.67738378301</v>
      </c>
      <c r="E110" s="37">
        <v>186585.41293824799</v>
      </c>
      <c r="F110" s="37">
        <v>185312.259236654</v>
      </c>
      <c r="G110" s="37">
        <v>184444.30289834001</v>
      </c>
      <c r="H110" s="37">
        <v>183851.99516790599</v>
      </c>
      <c r="I110" s="37">
        <v>183446.66739075101</v>
      </c>
      <c r="J110" s="37">
        <v>183169.90024950801</v>
      </c>
      <c r="K110" s="37">
        <v>182980.816849664</v>
      </c>
      <c r="L110" s="37">
        <v>182851.58923245201</v>
      </c>
      <c r="M110" s="37">
        <v>182763.307338902</v>
      </c>
      <c r="N110" s="37">
        <v>182702.98789297399</v>
      </c>
      <c r="O110" s="37">
        <v>182661.77257492399</v>
      </c>
      <c r="P110" s="37">
        <v>182633.612978416</v>
      </c>
      <c r="Q110" s="37">
        <v>182614.37269979401</v>
      </c>
      <c r="R110" s="37">
        <v>182601.226627147</v>
      </c>
    </row>
    <row r="111" spans="1:18" x14ac:dyDescent="0.35">
      <c r="A111" s="9" t="s">
        <v>936</v>
      </c>
      <c r="B111" s="9" t="s">
        <v>52</v>
      </c>
      <c r="C111" s="46">
        <v>0</v>
      </c>
      <c r="D111" s="46">
        <v>0</v>
      </c>
      <c r="E111" s="46">
        <v>0</v>
      </c>
      <c r="F111" s="46">
        <v>0</v>
      </c>
      <c r="G111" s="46">
        <v>0</v>
      </c>
      <c r="H111" s="46">
        <v>0</v>
      </c>
      <c r="I111" s="46">
        <v>0</v>
      </c>
      <c r="J111" s="46">
        <v>0</v>
      </c>
      <c r="K111" s="46">
        <v>0</v>
      </c>
      <c r="L111" s="46">
        <v>0</v>
      </c>
      <c r="M111" s="46">
        <v>0</v>
      </c>
      <c r="N111" s="46">
        <v>0</v>
      </c>
      <c r="O111" s="46">
        <v>0</v>
      </c>
      <c r="P111" s="46">
        <v>0</v>
      </c>
      <c r="Q111" s="46">
        <v>0</v>
      </c>
      <c r="R111" s="46">
        <v>0</v>
      </c>
    </row>
    <row r="112" spans="1:18" x14ac:dyDescent="0.35">
      <c r="A112" s="9" t="s">
        <v>937</v>
      </c>
      <c r="B112" s="9" t="s">
        <v>938</v>
      </c>
      <c r="C112" s="46">
        <v>0</v>
      </c>
      <c r="D112" s="46">
        <v>0</v>
      </c>
      <c r="E112" s="46">
        <v>0</v>
      </c>
      <c r="F112" s="46">
        <v>0</v>
      </c>
      <c r="G112" s="46">
        <v>0</v>
      </c>
      <c r="H112" s="46">
        <v>0</v>
      </c>
      <c r="I112" s="46">
        <v>0</v>
      </c>
      <c r="J112" s="46">
        <v>0</v>
      </c>
      <c r="K112" s="46">
        <v>0</v>
      </c>
      <c r="L112" s="46">
        <v>0</v>
      </c>
      <c r="M112" s="46">
        <v>0</v>
      </c>
      <c r="N112" s="46">
        <v>0</v>
      </c>
      <c r="O112" s="46">
        <v>0</v>
      </c>
      <c r="P112" s="46">
        <v>0</v>
      </c>
      <c r="Q112" s="46">
        <v>0</v>
      </c>
      <c r="R112" s="46">
        <v>0</v>
      </c>
    </row>
    <row r="113" spans="1:18" x14ac:dyDescent="0.35">
      <c r="A113" s="9" t="s">
        <v>939</v>
      </c>
      <c r="B113" s="9" t="s">
        <v>52</v>
      </c>
      <c r="C113" s="46">
        <v>131.238400998022</v>
      </c>
      <c r="D113" s="46">
        <v>131.238400998022</v>
      </c>
      <c r="E113" s="46">
        <v>131.238400998022</v>
      </c>
      <c r="F113" s="46">
        <v>131.238400998022</v>
      </c>
      <c r="G113" s="46">
        <v>131.238400998022</v>
      </c>
      <c r="H113" s="46">
        <v>131.238400998022</v>
      </c>
      <c r="I113" s="46">
        <v>131.238400998022</v>
      </c>
      <c r="J113" s="46">
        <v>131.238400998022</v>
      </c>
      <c r="K113" s="46">
        <v>131.238400998022</v>
      </c>
      <c r="L113" s="46">
        <v>131.238400998022</v>
      </c>
      <c r="M113" s="46">
        <v>131.238400998022</v>
      </c>
      <c r="N113" s="46">
        <v>131.238400998022</v>
      </c>
      <c r="O113" s="46">
        <v>131.238400998022</v>
      </c>
      <c r="P113" s="46">
        <v>131.238400998022</v>
      </c>
      <c r="Q113" s="46">
        <v>131.238400998022</v>
      </c>
      <c r="R113" s="46">
        <v>131.238400998022</v>
      </c>
    </row>
    <row r="114" spans="1:18" x14ac:dyDescent="0.35">
      <c r="A114" s="9" t="s">
        <v>940</v>
      </c>
      <c r="B114" s="9" t="s">
        <v>274</v>
      </c>
      <c r="C114" s="37">
        <v>4290253.6224151002</v>
      </c>
      <c r="D114" s="37">
        <v>4228419.93971889</v>
      </c>
      <c r="E114" s="37">
        <v>4200710.1150282901</v>
      </c>
      <c r="F114" s="37">
        <v>4188188.3706774199</v>
      </c>
      <c r="G114" s="37">
        <v>4182559.6577104302</v>
      </c>
      <c r="H114" s="37">
        <v>4180027.6197298202</v>
      </c>
      <c r="I114" s="37">
        <v>4178887.1550670099</v>
      </c>
      <c r="J114" s="37">
        <v>4178374.0329590202</v>
      </c>
      <c r="K114" s="37">
        <v>4178143.09715654</v>
      </c>
      <c r="L114" s="37">
        <v>4178039.1454549301</v>
      </c>
      <c r="M114" s="37">
        <v>4177992.3631602498</v>
      </c>
      <c r="N114" s="37">
        <v>4177971.30752001</v>
      </c>
      <c r="O114" s="37">
        <v>4177961.8307389901</v>
      </c>
      <c r="P114" s="37">
        <v>4177957.56556002</v>
      </c>
      <c r="Q114" s="37">
        <v>4177955.64590802</v>
      </c>
      <c r="R114" s="37">
        <v>4177954.78192105</v>
      </c>
    </row>
    <row r="115" spans="1:18" x14ac:dyDescent="0.35">
      <c r="A115" s="9" t="s">
        <v>941</v>
      </c>
      <c r="B115" s="9" t="s">
        <v>52</v>
      </c>
      <c r="C115" s="46">
        <v>0</v>
      </c>
      <c r="D115" s="46">
        <v>0</v>
      </c>
      <c r="E115" s="46">
        <v>0</v>
      </c>
      <c r="F115" s="46">
        <v>0</v>
      </c>
      <c r="G115" s="46">
        <v>0</v>
      </c>
      <c r="H115" s="46">
        <v>0</v>
      </c>
      <c r="I115" s="46">
        <v>0</v>
      </c>
      <c r="J115" s="46">
        <v>0</v>
      </c>
      <c r="K115" s="46">
        <v>0</v>
      </c>
      <c r="L115" s="46">
        <v>0</v>
      </c>
      <c r="M115" s="46">
        <v>0</v>
      </c>
      <c r="N115" s="46">
        <v>0</v>
      </c>
      <c r="O115" s="46">
        <v>0</v>
      </c>
      <c r="P115" s="46">
        <v>0</v>
      </c>
      <c r="Q115" s="46">
        <v>0</v>
      </c>
      <c r="R115" s="46">
        <v>0</v>
      </c>
    </row>
    <row r="116" spans="1:18" x14ac:dyDescent="0.35">
      <c r="A116" s="9" t="s">
        <v>942</v>
      </c>
      <c r="B116" s="9" t="s">
        <v>839</v>
      </c>
      <c r="C116" s="46">
        <v>0</v>
      </c>
      <c r="D116" s="46">
        <v>0</v>
      </c>
      <c r="E116" s="46">
        <v>0</v>
      </c>
      <c r="F116" s="46">
        <v>0</v>
      </c>
      <c r="G116" s="46">
        <v>0</v>
      </c>
      <c r="H116" s="46">
        <v>0</v>
      </c>
      <c r="I116" s="46">
        <v>0</v>
      </c>
      <c r="J116" s="46">
        <v>0</v>
      </c>
      <c r="K116" s="46">
        <v>0</v>
      </c>
      <c r="L116" s="46">
        <v>0</v>
      </c>
      <c r="M116" s="46">
        <v>0</v>
      </c>
      <c r="N116" s="46">
        <v>0</v>
      </c>
      <c r="O116" s="46">
        <v>0</v>
      </c>
      <c r="P116" s="46">
        <v>0</v>
      </c>
      <c r="Q116" s="46">
        <v>0</v>
      </c>
      <c r="R116" s="46">
        <v>0</v>
      </c>
    </row>
    <row r="117" spans="1:18" x14ac:dyDescent="0.35">
      <c r="A117" s="9" t="s">
        <v>943</v>
      </c>
      <c r="B117" s="9" t="s">
        <v>841</v>
      </c>
      <c r="C117" s="46">
        <v>0</v>
      </c>
      <c r="D117" s="46">
        <v>0</v>
      </c>
      <c r="E117" s="46">
        <v>0</v>
      </c>
      <c r="F117" s="46">
        <v>0</v>
      </c>
      <c r="G117" s="46">
        <v>0</v>
      </c>
      <c r="H117" s="46">
        <v>0</v>
      </c>
      <c r="I117" s="46">
        <v>0</v>
      </c>
      <c r="J117" s="46">
        <v>0</v>
      </c>
      <c r="K117" s="46">
        <v>0</v>
      </c>
      <c r="L117" s="46">
        <v>0</v>
      </c>
      <c r="M117" s="46">
        <v>0</v>
      </c>
      <c r="N117" s="46">
        <v>0</v>
      </c>
      <c r="O117" s="46">
        <v>0</v>
      </c>
      <c r="P117" s="46">
        <v>0</v>
      </c>
      <c r="Q117" s="46">
        <v>0</v>
      </c>
      <c r="R117" s="46">
        <v>0</v>
      </c>
    </row>
    <row r="118" spans="1:18" x14ac:dyDescent="0.35">
      <c r="A118" s="9" t="s">
        <v>944</v>
      </c>
      <c r="B118" s="9" t="s">
        <v>847</v>
      </c>
      <c r="C118" s="46">
        <v>0</v>
      </c>
      <c r="D118" s="46">
        <v>0</v>
      </c>
      <c r="E118" s="46">
        <v>0</v>
      </c>
      <c r="F118" s="46">
        <v>0</v>
      </c>
      <c r="G118" s="46">
        <v>0</v>
      </c>
      <c r="H118" s="46">
        <v>0</v>
      </c>
      <c r="I118" s="46">
        <v>0</v>
      </c>
      <c r="J118" s="46">
        <v>0</v>
      </c>
      <c r="K118" s="46">
        <v>0</v>
      </c>
      <c r="L118" s="46">
        <v>0</v>
      </c>
      <c r="M118" s="46">
        <v>0</v>
      </c>
      <c r="N118" s="46">
        <v>0</v>
      </c>
      <c r="O118" s="46">
        <v>0</v>
      </c>
      <c r="P118" s="46">
        <v>0</v>
      </c>
      <c r="Q118" s="46">
        <v>0</v>
      </c>
      <c r="R118" s="46">
        <v>0</v>
      </c>
    </row>
    <row r="119" spans="1:18" x14ac:dyDescent="0.35">
      <c r="A119" s="9" t="s">
        <v>945</v>
      </c>
      <c r="B119" s="9" t="s">
        <v>946</v>
      </c>
      <c r="C119" s="46">
        <v>0</v>
      </c>
      <c r="D119" s="46">
        <v>0</v>
      </c>
      <c r="E119" s="46">
        <v>0</v>
      </c>
      <c r="F119" s="46">
        <v>0</v>
      </c>
      <c r="G119" s="46">
        <v>0</v>
      </c>
      <c r="H119" s="46">
        <v>0</v>
      </c>
      <c r="I119" s="46">
        <v>0</v>
      </c>
      <c r="J119" s="46">
        <v>0</v>
      </c>
      <c r="K119" s="46">
        <v>0</v>
      </c>
      <c r="L119" s="46">
        <v>0</v>
      </c>
      <c r="M119" s="46">
        <v>0</v>
      </c>
      <c r="N119" s="46">
        <v>0</v>
      </c>
      <c r="O119" s="46">
        <v>0</v>
      </c>
      <c r="P119" s="46">
        <v>0</v>
      </c>
      <c r="Q119" s="46">
        <v>0</v>
      </c>
      <c r="R119" s="46">
        <v>0</v>
      </c>
    </row>
    <row r="120" spans="1:18" x14ac:dyDescent="0.35">
      <c r="A120" s="9" t="s">
        <v>947</v>
      </c>
      <c r="B120" s="9" t="s">
        <v>853</v>
      </c>
      <c r="C120" s="37">
        <v>18111902.292392001</v>
      </c>
      <c r="D120" s="37">
        <v>18075300.868089199</v>
      </c>
      <c r="E120" s="37">
        <v>18115618.904104002</v>
      </c>
      <c r="F120" s="37">
        <v>18100939.09341</v>
      </c>
      <c r="G120" s="37">
        <v>18097285.2714862</v>
      </c>
      <c r="H120" s="37">
        <v>18104614.325964801</v>
      </c>
      <c r="I120" s="37">
        <v>18100946.198107</v>
      </c>
      <c r="J120" s="37">
        <v>18100948.560870901</v>
      </c>
      <c r="K120" s="37">
        <v>18102169.688395601</v>
      </c>
      <c r="L120" s="37">
        <v>18101354.815262001</v>
      </c>
      <c r="M120" s="37">
        <v>18101491.020300198</v>
      </c>
      <c r="N120" s="37">
        <v>18101671.840960599</v>
      </c>
      <c r="O120" s="37">
        <v>18101505.8921596</v>
      </c>
      <c r="P120" s="37">
        <v>18101556.251107</v>
      </c>
      <c r="Q120" s="37">
        <v>18101577.994725998</v>
      </c>
      <c r="R120" s="37">
        <v>18101546.712663099</v>
      </c>
    </row>
    <row r="121" spans="1:18" x14ac:dyDescent="0.35">
      <c r="A121" s="9" t="s">
        <v>948</v>
      </c>
      <c r="B121" s="9" t="s">
        <v>855</v>
      </c>
      <c r="C121" s="37">
        <v>4101919.1977721099</v>
      </c>
      <c r="D121" s="37">
        <v>4090680.8158527799</v>
      </c>
      <c r="E121" s="37">
        <v>4101549.2035364001</v>
      </c>
      <c r="F121" s="37">
        <v>4098048.5112100998</v>
      </c>
      <c r="G121" s="37">
        <v>4096758.66998574</v>
      </c>
      <c r="H121" s="37">
        <v>4098785.3512018798</v>
      </c>
      <c r="I121" s="37">
        <v>4097864.1508447002</v>
      </c>
      <c r="J121" s="37">
        <v>4097802.6940231598</v>
      </c>
      <c r="K121" s="37">
        <v>4098150.7255892199</v>
      </c>
      <c r="L121" s="37">
        <v>4097939.1895621498</v>
      </c>
      <c r="M121" s="37">
        <v>4097964.2021202501</v>
      </c>
      <c r="N121" s="37">
        <v>4098018.0387698901</v>
      </c>
      <c r="O121" s="37">
        <v>4097973.8101280099</v>
      </c>
      <c r="P121" s="37">
        <v>4097985.3503139899</v>
      </c>
      <c r="Q121" s="37">
        <v>4097992.3997234399</v>
      </c>
      <c r="R121" s="37">
        <v>4097983.8533870401</v>
      </c>
    </row>
    <row r="122" spans="1:18" x14ac:dyDescent="0.35">
      <c r="A122" s="9" t="s">
        <v>949</v>
      </c>
      <c r="B122" s="9" t="s">
        <v>857</v>
      </c>
      <c r="C122" s="37">
        <v>1114792.4005755601</v>
      </c>
      <c r="D122" s="37">
        <v>1114789.75178214</v>
      </c>
      <c r="E122" s="37">
        <v>1080197.1644009</v>
      </c>
      <c r="F122" s="37">
        <v>1103259.7723020799</v>
      </c>
      <c r="G122" s="37">
        <v>1099415.5628725099</v>
      </c>
      <c r="H122" s="37">
        <v>1094290.83320278</v>
      </c>
      <c r="I122" s="37">
        <v>1098988.7227938599</v>
      </c>
      <c r="J122" s="37">
        <v>1097565.03962444</v>
      </c>
      <c r="K122" s="37">
        <v>1096948.1985408701</v>
      </c>
      <c r="L122" s="37">
        <v>1097833.9869864499</v>
      </c>
      <c r="M122" s="37">
        <v>1097449.0750506199</v>
      </c>
      <c r="N122" s="37">
        <v>1097410.4201926701</v>
      </c>
      <c r="O122" s="37">
        <v>1097564.49407658</v>
      </c>
      <c r="P122" s="37">
        <v>1097474.6631066301</v>
      </c>
      <c r="Q122" s="37">
        <v>1097483.1924586301</v>
      </c>
      <c r="R122" s="37">
        <v>1097507.44988061</v>
      </c>
    </row>
    <row r="123" spans="1:18" x14ac:dyDescent="0.35">
      <c r="A123" s="9" t="s">
        <v>950</v>
      </c>
      <c r="B123" s="9" t="s">
        <v>859</v>
      </c>
      <c r="C123" s="37">
        <v>6608887.86774443</v>
      </c>
      <c r="D123" s="37">
        <v>6598094.1131611699</v>
      </c>
      <c r="E123" s="37">
        <v>6585679.5591245303</v>
      </c>
      <c r="F123" s="37">
        <v>6530665.8984400602</v>
      </c>
      <c r="G123" s="37">
        <v>6529751.5714254696</v>
      </c>
      <c r="H123" s="37">
        <v>6532089.2073633401</v>
      </c>
      <c r="I123" s="37">
        <v>6530835.5634899298</v>
      </c>
      <c r="J123" s="37">
        <v>6358091.1719559403</v>
      </c>
      <c r="K123" s="37">
        <v>6358461.2923620101</v>
      </c>
      <c r="L123" s="37">
        <v>6349897.43721868</v>
      </c>
      <c r="M123" s="37">
        <v>6345919.8693625797</v>
      </c>
      <c r="N123" s="37">
        <v>6336962.33258384</v>
      </c>
      <c r="O123" s="37">
        <v>6336909.5282038702</v>
      </c>
      <c r="P123" s="37">
        <v>6336927.1923724702</v>
      </c>
      <c r="Q123" s="37">
        <v>6336933.0177224297</v>
      </c>
      <c r="R123" s="37">
        <v>6336923.2461000802</v>
      </c>
    </row>
    <row r="124" spans="1:18" x14ac:dyDescent="0.35">
      <c r="A124" s="9" t="s">
        <v>951</v>
      </c>
      <c r="B124" s="9" t="s">
        <v>861</v>
      </c>
      <c r="C124" s="37">
        <v>5104923.8616970899</v>
      </c>
      <c r="D124" s="37">
        <v>5099628.540724</v>
      </c>
      <c r="E124" s="37">
        <v>4940783.6536536999</v>
      </c>
      <c r="F124" s="37">
        <v>4945009.5099891499</v>
      </c>
      <c r="G124" s="37">
        <v>4916418.4537062198</v>
      </c>
      <c r="H124" s="37">
        <v>4897582.34729522</v>
      </c>
      <c r="I124" s="37">
        <v>4886889.6940922001</v>
      </c>
      <c r="J124" s="37">
        <v>4885684.6660812804</v>
      </c>
      <c r="K124" s="37">
        <v>4865901.9049424203</v>
      </c>
      <c r="L124" s="37">
        <v>4855357.4506935095</v>
      </c>
      <c r="M124" s="37">
        <v>4855297.0316972202</v>
      </c>
      <c r="N124" s="37">
        <v>4835099.0453195097</v>
      </c>
      <c r="O124" s="37">
        <v>4830940.9267263999</v>
      </c>
      <c r="P124" s="37">
        <v>4809535.3677078802</v>
      </c>
      <c r="Q124" s="37">
        <v>4806317.0431176396</v>
      </c>
      <c r="R124" s="37">
        <v>4789154.3551644897</v>
      </c>
    </row>
    <row r="125" spans="1:18" x14ac:dyDescent="0.35">
      <c r="A125" s="9" t="s">
        <v>952</v>
      </c>
      <c r="B125" s="9" t="s">
        <v>893</v>
      </c>
      <c r="C125" s="37">
        <v>230262434.838265</v>
      </c>
      <c r="D125" s="37">
        <v>230078150.90590799</v>
      </c>
      <c r="E125" s="37">
        <v>229888086.210226</v>
      </c>
      <c r="F125" s="37">
        <v>229827771.43276501</v>
      </c>
      <c r="G125" s="37">
        <v>229782917.12809601</v>
      </c>
      <c r="H125" s="37">
        <v>229767518.56514299</v>
      </c>
      <c r="I125" s="37">
        <v>229754134.328271</v>
      </c>
      <c r="J125" s="37">
        <v>229577912.16791201</v>
      </c>
      <c r="K125" s="37">
        <v>229559031.818185</v>
      </c>
      <c r="L125" s="37">
        <v>229539549.70794001</v>
      </c>
      <c r="M125" s="37">
        <v>229535152.96247399</v>
      </c>
      <c r="N125" s="37">
        <v>229506112.06667501</v>
      </c>
      <c r="O125" s="37">
        <v>229501794.34804299</v>
      </c>
      <c r="P125" s="37">
        <v>229480346.09658101</v>
      </c>
      <c r="Q125" s="37">
        <v>229477149.75979</v>
      </c>
      <c r="R125" s="37">
        <v>229459947.71917799</v>
      </c>
    </row>
    <row r="126" spans="1:18" x14ac:dyDescent="0.35">
      <c r="A126" s="9" t="s">
        <v>953</v>
      </c>
      <c r="B126" s="9" t="s">
        <v>954</v>
      </c>
      <c r="C126" s="37">
        <v>33921.901593576797</v>
      </c>
      <c r="D126" s="37">
        <v>34988.714106198699</v>
      </c>
      <c r="E126" s="37">
        <v>35381.5216304684</v>
      </c>
      <c r="F126" s="37">
        <v>35527.077224918401</v>
      </c>
      <c r="G126" s="37">
        <v>35578.868828351202</v>
      </c>
      <c r="H126" s="37">
        <v>35597.350822367996</v>
      </c>
      <c r="I126" s="37">
        <v>35603.194469473703</v>
      </c>
      <c r="J126" s="37">
        <v>35588.654321807197</v>
      </c>
      <c r="K126" s="37">
        <v>35581.254730591398</v>
      </c>
      <c r="L126" s="37">
        <v>35576.548219025601</v>
      </c>
      <c r="M126" s="37">
        <v>35574.316417014001</v>
      </c>
      <c r="N126" s="37">
        <v>35570.689655332601</v>
      </c>
      <c r="O126" s="37">
        <v>35568.881284006799</v>
      </c>
      <c r="P126" s="37">
        <v>35566.141072158498</v>
      </c>
      <c r="Q126" s="37">
        <v>35564.781033202496</v>
      </c>
      <c r="R126" s="37">
        <v>35562.618103857698</v>
      </c>
    </row>
    <row r="127" spans="1:18" x14ac:dyDescent="0.35">
      <c r="A127" s="9" t="s">
        <v>955</v>
      </c>
      <c r="B127" s="9" t="s">
        <v>956</v>
      </c>
      <c r="C127" s="37">
        <v>33418.511231320503</v>
      </c>
      <c r="D127" s="37">
        <v>34597.039719714601</v>
      </c>
      <c r="E127" s="37">
        <v>35185.838973138998</v>
      </c>
      <c r="F127" s="37">
        <v>35441.958107478902</v>
      </c>
      <c r="G127" s="37">
        <v>35544.717558181801</v>
      </c>
      <c r="H127" s="37">
        <v>35584.221881013596</v>
      </c>
      <c r="I127" s="37">
        <v>35598.461910984603</v>
      </c>
      <c r="J127" s="37">
        <v>35591.100745473501</v>
      </c>
      <c r="K127" s="37">
        <v>35583.710739238399</v>
      </c>
      <c r="L127" s="37">
        <v>35578.334851667103</v>
      </c>
      <c r="M127" s="37">
        <v>35575.318782983799</v>
      </c>
      <c r="N127" s="37">
        <v>35571.844353723303</v>
      </c>
      <c r="O127" s="37">
        <v>35569.620397742998</v>
      </c>
      <c r="P127" s="37">
        <v>35567.008961738502</v>
      </c>
      <c r="Q127" s="37">
        <v>35565.336771926697</v>
      </c>
      <c r="R127" s="37">
        <v>35563.296253582797</v>
      </c>
    </row>
    <row r="128" spans="1:18" x14ac:dyDescent="0.35">
      <c r="A128" s="9" t="s">
        <v>957</v>
      </c>
      <c r="B128" s="9" t="s">
        <v>907</v>
      </c>
      <c r="C128" s="37">
        <v>215666269.01213801</v>
      </c>
      <c r="D128" s="37">
        <v>223263545.34277299</v>
      </c>
      <c r="E128" s="37">
        <v>227050140.97834599</v>
      </c>
      <c r="F128" s="37">
        <v>228695622.019997</v>
      </c>
      <c r="G128" s="37">
        <v>229355391.257377</v>
      </c>
      <c r="H128" s="37">
        <v>229608937.42695799</v>
      </c>
      <c r="I128" s="37">
        <v>229700279.801218</v>
      </c>
      <c r="J128" s="37">
        <v>229652318.46923301</v>
      </c>
      <c r="K128" s="37">
        <v>229604633.64891201</v>
      </c>
      <c r="L128" s="37">
        <v>229569988.790259</v>
      </c>
      <c r="M128" s="37">
        <v>229550578.135921</v>
      </c>
      <c r="N128" s="37">
        <v>229528149.46409199</v>
      </c>
      <c r="O128" s="37">
        <v>229513826.14767301</v>
      </c>
      <c r="P128" s="37">
        <v>229496967.48161501</v>
      </c>
      <c r="Q128" s="37">
        <v>229486197.77623999</v>
      </c>
      <c r="R128" s="37">
        <v>229473023.38149801</v>
      </c>
    </row>
    <row r="129" spans="1:18" x14ac:dyDescent="0.35">
      <c r="A129" s="9" t="s">
        <v>862</v>
      </c>
      <c r="B129" s="9" t="s">
        <v>863</v>
      </c>
      <c r="C129" s="37">
        <v>540093744</v>
      </c>
      <c r="D129" s="37">
        <v>540093744</v>
      </c>
      <c r="E129" s="37">
        <v>540093744</v>
      </c>
      <c r="F129" s="37">
        <v>540093744</v>
      </c>
      <c r="G129" s="37">
        <v>540093744</v>
      </c>
      <c r="H129" s="37">
        <v>540093744</v>
      </c>
      <c r="I129" s="37">
        <v>540093744</v>
      </c>
      <c r="J129" s="37">
        <v>540093744</v>
      </c>
      <c r="K129" s="37">
        <v>540093744</v>
      </c>
      <c r="L129" s="37">
        <v>540093744</v>
      </c>
      <c r="M129" s="37">
        <v>540093744</v>
      </c>
      <c r="N129" s="37">
        <v>540093744</v>
      </c>
      <c r="O129" s="37">
        <v>540093744</v>
      </c>
      <c r="P129" s="37">
        <v>540093744</v>
      </c>
      <c r="Q129" s="37">
        <v>540093744</v>
      </c>
      <c r="R129" s="37">
        <v>540093744</v>
      </c>
    </row>
    <row r="130" spans="1:18" x14ac:dyDescent="0.35">
      <c r="A130" s="9" t="s">
        <v>864</v>
      </c>
      <c r="B130" s="9" t="s">
        <v>863</v>
      </c>
      <c r="C130" s="37">
        <v>200412144</v>
      </c>
      <c r="D130" s="37">
        <v>200412144</v>
      </c>
      <c r="E130" s="37">
        <v>200412144</v>
      </c>
      <c r="F130" s="37">
        <v>200412144</v>
      </c>
      <c r="G130" s="37">
        <v>200412144</v>
      </c>
      <c r="H130" s="37">
        <v>200412144</v>
      </c>
      <c r="I130" s="37">
        <v>200412144</v>
      </c>
      <c r="J130" s="37">
        <v>200412144</v>
      </c>
      <c r="K130" s="37">
        <v>200412144</v>
      </c>
      <c r="L130" s="37">
        <v>200412144</v>
      </c>
      <c r="M130" s="37">
        <v>200412144</v>
      </c>
      <c r="N130" s="37">
        <v>200412144</v>
      </c>
      <c r="O130" s="37">
        <v>200412144</v>
      </c>
      <c r="P130" s="37">
        <v>200412144</v>
      </c>
      <c r="Q130" s="37">
        <v>200412144</v>
      </c>
      <c r="R130" s="37">
        <v>200412144</v>
      </c>
    </row>
    <row r="131" spans="1:18" x14ac:dyDescent="0.35">
      <c r="A131" s="9" t="s">
        <v>865</v>
      </c>
      <c r="B131" s="9" t="s">
        <v>863</v>
      </c>
      <c r="C131" s="37">
        <v>140679886.967742</v>
      </c>
      <c r="D131" s="37">
        <v>140679886.967742</v>
      </c>
      <c r="E131" s="37">
        <v>140679886.967742</v>
      </c>
      <c r="F131" s="37">
        <v>140679886.967742</v>
      </c>
      <c r="G131" s="37">
        <v>140679886.967742</v>
      </c>
      <c r="H131" s="37">
        <v>140679886.967742</v>
      </c>
      <c r="I131" s="37">
        <v>140679886.967742</v>
      </c>
      <c r="J131" s="37">
        <v>140679886.967742</v>
      </c>
      <c r="K131" s="37">
        <v>140679886.967742</v>
      </c>
      <c r="L131" s="37">
        <v>140679886.967742</v>
      </c>
      <c r="M131" s="37">
        <v>140679886.967742</v>
      </c>
      <c r="N131" s="37">
        <v>140679886.967742</v>
      </c>
      <c r="O131" s="37">
        <v>140679886.967742</v>
      </c>
      <c r="P131" s="37">
        <v>140679886.967742</v>
      </c>
      <c r="Q131" s="37">
        <v>140679886.967742</v>
      </c>
      <c r="R131" s="37">
        <v>140679886.967742</v>
      </c>
    </row>
    <row r="132" spans="1:18" x14ac:dyDescent="0.35">
      <c r="A132" s="9" t="s">
        <v>866</v>
      </c>
      <c r="B132" s="9" t="s">
        <v>867</v>
      </c>
      <c r="C132" s="37">
        <v>61708824</v>
      </c>
      <c r="D132" s="37">
        <v>61708824</v>
      </c>
      <c r="E132" s="37">
        <v>61708824</v>
      </c>
      <c r="F132" s="37">
        <v>61708824</v>
      </c>
      <c r="G132" s="37">
        <v>61708824</v>
      </c>
      <c r="H132" s="37">
        <v>61708824</v>
      </c>
      <c r="I132" s="37">
        <v>61708824</v>
      </c>
      <c r="J132" s="37">
        <v>61708824</v>
      </c>
      <c r="K132" s="37">
        <v>61708824</v>
      </c>
      <c r="L132" s="37">
        <v>61708824</v>
      </c>
      <c r="M132" s="37">
        <v>61708824</v>
      </c>
      <c r="N132" s="37">
        <v>61708824</v>
      </c>
      <c r="O132" s="37">
        <v>61708824</v>
      </c>
      <c r="P132" s="37">
        <v>61708824</v>
      </c>
      <c r="Q132" s="37">
        <v>61708824</v>
      </c>
      <c r="R132" s="37">
        <v>61708824</v>
      </c>
    </row>
    <row r="133" spans="1:18" x14ac:dyDescent="0.35">
      <c r="A133" s="9" t="s">
        <v>868</v>
      </c>
      <c r="B133" s="9" t="s">
        <v>869</v>
      </c>
      <c r="C133" s="37">
        <v>11723323.9139785</v>
      </c>
      <c r="D133" s="37">
        <v>11723323.9139785</v>
      </c>
      <c r="E133" s="37">
        <v>11723323.9139785</v>
      </c>
      <c r="F133" s="37">
        <v>11723323.9139785</v>
      </c>
      <c r="G133" s="37">
        <v>11723323.9139785</v>
      </c>
      <c r="H133" s="37">
        <v>11723323.9139785</v>
      </c>
      <c r="I133" s="37">
        <v>11723323.9139785</v>
      </c>
      <c r="J133" s="37">
        <v>11723323.9139785</v>
      </c>
      <c r="K133" s="37">
        <v>11723323.9139785</v>
      </c>
      <c r="L133" s="37">
        <v>11723323.9139785</v>
      </c>
      <c r="M133" s="37">
        <v>11723323.9139785</v>
      </c>
      <c r="N133" s="37">
        <v>11723323.9139785</v>
      </c>
      <c r="O133" s="37">
        <v>11723323.9139785</v>
      </c>
      <c r="P133" s="37">
        <v>11723323.9139785</v>
      </c>
      <c r="Q133" s="37">
        <v>11723323.9139785</v>
      </c>
      <c r="R133" s="37">
        <v>11723323.9139785</v>
      </c>
    </row>
    <row r="134" spans="1:18" x14ac:dyDescent="0.35">
      <c r="A134" s="9" t="s">
        <v>870</v>
      </c>
      <c r="B134" s="9" t="s">
        <v>867</v>
      </c>
      <c r="C134" s="37">
        <v>72283369.664801598</v>
      </c>
      <c r="D134" s="37">
        <v>71931282.029872194</v>
      </c>
      <c r="E134" s="37">
        <v>72138988.557524204</v>
      </c>
      <c r="F134" s="37">
        <v>72117880.084066004</v>
      </c>
      <c r="G134" s="37">
        <v>72062716.890487507</v>
      </c>
      <c r="H134" s="37">
        <v>72106528.510692596</v>
      </c>
      <c r="I134" s="37">
        <v>72095708.495082006</v>
      </c>
      <c r="J134" s="37">
        <v>72088317.965420693</v>
      </c>
      <c r="K134" s="37">
        <v>72096851.657065094</v>
      </c>
      <c r="L134" s="37">
        <v>72093626.039189294</v>
      </c>
      <c r="M134" s="37">
        <v>72092931.887225002</v>
      </c>
      <c r="N134" s="37">
        <v>72094469.861159801</v>
      </c>
      <c r="O134" s="37">
        <v>72093675.929191396</v>
      </c>
      <c r="P134" s="37">
        <v>72093692.559192106</v>
      </c>
      <c r="Q134" s="37">
        <v>72093946.1165144</v>
      </c>
      <c r="R134" s="37">
        <v>72093771.534966007</v>
      </c>
    </row>
    <row r="135" spans="1:18" x14ac:dyDescent="0.35">
      <c r="A135" s="9" t="s">
        <v>871</v>
      </c>
      <c r="B135" s="9" t="s">
        <v>869</v>
      </c>
      <c r="C135" s="37">
        <v>45650003.611519799</v>
      </c>
      <c r="D135" s="37">
        <v>45427645.3860991</v>
      </c>
      <c r="E135" s="37">
        <v>45558820.838785</v>
      </c>
      <c r="F135" s="37">
        <v>45545489.945468001</v>
      </c>
      <c r="G135" s="37">
        <v>45510652.056783997</v>
      </c>
      <c r="H135" s="37">
        <v>45538320.947012298</v>
      </c>
      <c r="I135" s="37">
        <v>45531487.6497548</v>
      </c>
      <c r="J135" s="37">
        <v>45526820.217850402</v>
      </c>
      <c r="K135" s="37">
        <v>45532209.604872502</v>
      </c>
      <c r="L135" s="37">
        <v>45530172.490825899</v>
      </c>
      <c r="M135" s="37">
        <v>45529734.104516201</v>
      </c>
      <c r="N135" s="37">
        <v>45530705.400071502</v>
      </c>
      <c r="O135" s="37">
        <v>45530203.9984712</v>
      </c>
      <c r="P135" s="37">
        <v>45530214.501019701</v>
      </c>
      <c r="Q135" s="37">
        <v>45530374.633187503</v>
      </c>
      <c r="R135" s="37">
        <v>45530264.377559498</v>
      </c>
    </row>
    <row r="136" spans="1:18" x14ac:dyDescent="0.35">
      <c r="A136" s="9" t="s">
        <v>882</v>
      </c>
      <c r="B136" s="9" t="s">
        <v>883</v>
      </c>
      <c r="C136" s="37">
        <v>311547.66982136702</v>
      </c>
      <c r="D136" s="37">
        <v>312052.84725464199</v>
      </c>
      <c r="E136" s="37">
        <v>311432.32601389202</v>
      </c>
      <c r="F136" s="37">
        <v>311677.37211945298</v>
      </c>
      <c r="G136" s="37">
        <v>311720.63118864899</v>
      </c>
      <c r="H136" s="37">
        <v>311610.05595814198</v>
      </c>
      <c r="I136" s="37">
        <v>311669.34617928899</v>
      </c>
      <c r="J136" s="37">
        <v>311666.67096145701</v>
      </c>
      <c r="K136" s="37">
        <v>311648.688537515</v>
      </c>
      <c r="L136" s="37">
        <v>311661.56827856199</v>
      </c>
      <c r="M136" s="37">
        <v>311658.97573472903</v>
      </c>
      <c r="N136" s="37">
        <v>311656.41074700002</v>
      </c>
      <c r="O136" s="37">
        <v>311658.98490529897</v>
      </c>
      <c r="P136" s="37">
        <v>311658.12379077799</v>
      </c>
      <c r="Q136" s="37">
        <v>311657.83981053799</v>
      </c>
      <c r="R136" s="37">
        <v>311658.31616808003</v>
      </c>
    </row>
    <row r="137" spans="1:18" x14ac:dyDescent="0.35">
      <c r="A137" s="9" t="s">
        <v>884</v>
      </c>
      <c r="B137" s="9" t="s">
        <v>885</v>
      </c>
      <c r="C137" s="37">
        <v>299474.513255711</v>
      </c>
      <c r="D137" s="37">
        <v>299979.69068898499</v>
      </c>
      <c r="E137" s="37">
        <v>299359.16944823501</v>
      </c>
      <c r="F137" s="37">
        <v>299604.21555379598</v>
      </c>
      <c r="G137" s="37">
        <v>299647.47462299198</v>
      </c>
      <c r="H137" s="37">
        <v>299536.89939248498</v>
      </c>
      <c r="I137" s="37">
        <v>299596.18961363297</v>
      </c>
      <c r="J137" s="37">
        <v>299593.514395801</v>
      </c>
      <c r="K137" s="37">
        <v>299575.531971858</v>
      </c>
      <c r="L137" s="37">
        <v>299588.41171290498</v>
      </c>
      <c r="M137" s="37">
        <v>299585.81916907302</v>
      </c>
      <c r="N137" s="37">
        <v>299583.25418134301</v>
      </c>
      <c r="O137" s="37">
        <v>299585.82833964197</v>
      </c>
      <c r="P137" s="37">
        <v>299584.96722512197</v>
      </c>
      <c r="Q137" s="37">
        <v>299584.68324488099</v>
      </c>
      <c r="R137" s="37">
        <v>299585.15960242401</v>
      </c>
    </row>
    <row r="138" spans="1:18" x14ac:dyDescent="0.35">
      <c r="A138" s="9" t="s">
        <v>908</v>
      </c>
      <c r="B138" s="9" t="s">
        <v>909</v>
      </c>
      <c r="C138" s="37">
        <v>6452.5252525252499</v>
      </c>
      <c r="D138" s="37">
        <v>6452.5252525252499</v>
      </c>
      <c r="E138" s="37">
        <v>6452.5252525252499</v>
      </c>
      <c r="F138" s="37">
        <v>6452.5252525252499</v>
      </c>
      <c r="G138" s="37">
        <v>6452.5252525252499</v>
      </c>
      <c r="H138" s="37">
        <v>6452.5252525252499</v>
      </c>
      <c r="I138" s="37">
        <v>6452.5252525252499</v>
      </c>
      <c r="J138" s="37">
        <v>6452.5252525252499</v>
      </c>
      <c r="K138" s="37">
        <v>6452.5252525252499</v>
      </c>
      <c r="L138" s="37">
        <v>6452.5252525252499</v>
      </c>
      <c r="M138" s="37">
        <v>6452.5252525252499</v>
      </c>
      <c r="N138" s="37">
        <v>6452.5252525252499</v>
      </c>
      <c r="O138" s="37">
        <v>6452.5252525252499</v>
      </c>
      <c r="P138" s="37">
        <v>6452.5252525252499</v>
      </c>
      <c r="Q138" s="37">
        <v>6452.5252525252499</v>
      </c>
      <c r="R138" s="37">
        <v>6452.5252525252499</v>
      </c>
    </row>
    <row r="139" spans="1:18" x14ac:dyDescent="0.35">
      <c r="A139" s="9" t="s">
        <v>910</v>
      </c>
      <c r="B139" s="9" t="s">
        <v>911</v>
      </c>
      <c r="C139" s="37">
        <v>5620.63131313131</v>
      </c>
      <c r="D139" s="37">
        <v>5620.63131313131</v>
      </c>
      <c r="E139" s="37">
        <v>5620.63131313131</v>
      </c>
      <c r="F139" s="37">
        <v>5620.63131313131</v>
      </c>
      <c r="G139" s="37">
        <v>5620.63131313131</v>
      </c>
      <c r="H139" s="37">
        <v>5620.63131313131</v>
      </c>
      <c r="I139" s="37">
        <v>5620.63131313131</v>
      </c>
      <c r="J139" s="37">
        <v>5620.63131313131</v>
      </c>
      <c r="K139" s="37">
        <v>5620.63131313131</v>
      </c>
      <c r="L139" s="37">
        <v>5620.63131313131</v>
      </c>
      <c r="M139" s="37">
        <v>5620.63131313131</v>
      </c>
      <c r="N139" s="37">
        <v>5620.63131313131</v>
      </c>
      <c r="O139" s="37">
        <v>5620.63131313131</v>
      </c>
      <c r="P139" s="37">
        <v>5620.63131313131</v>
      </c>
      <c r="Q139" s="37">
        <v>5620.63131313131</v>
      </c>
      <c r="R139" s="37">
        <v>5620.63131313131</v>
      </c>
    </row>
    <row r="140" spans="1:18" x14ac:dyDescent="0.35">
      <c r="B140" s="4" t="s">
        <v>912</v>
      </c>
      <c r="C140" s="19">
        <f t="shared" ref="C140:R140" si="3">(C129+C129/12+C134)*IF(C136=0,0,C138/C136)</f>
        <v>13615228.885883486</v>
      </c>
      <c r="D140" s="19">
        <f t="shared" si="3"/>
        <v>13585907.055244844</v>
      </c>
      <c r="E140" s="19">
        <f t="shared" si="3"/>
        <v>13617280.084636109</v>
      </c>
      <c r="F140" s="19">
        <f t="shared" si="3"/>
        <v>13606136.945217656</v>
      </c>
      <c r="G140" s="19">
        <f t="shared" si="3"/>
        <v>13603106.890018623</v>
      </c>
      <c r="H140" s="19">
        <f t="shared" si="3"/>
        <v>13608841.179498494</v>
      </c>
      <c r="I140" s="19">
        <f t="shared" si="3"/>
        <v>13606028.302204674</v>
      </c>
      <c r="J140" s="19">
        <f t="shared" si="3"/>
        <v>13605992.082452022</v>
      </c>
      <c r="K140" s="19">
        <f t="shared" si="3"/>
        <v>13606953.846738655</v>
      </c>
      <c r="L140" s="19">
        <f t="shared" si="3"/>
        <v>13606324.743112352</v>
      </c>
      <c r="M140" s="19">
        <f t="shared" si="3"/>
        <v>13606423.5561183</v>
      </c>
      <c r="N140" s="19">
        <f t="shared" si="3"/>
        <v>13606567.381573396</v>
      </c>
      <c r="O140" s="19">
        <f t="shared" si="3"/>
        <v>13606438.560245067</v>
      </c>
      <c r="P140" s="19">
        <f t="shared" si="3"/>
        <v>13606476.499276398</v>
      </c>
      <c r="Q140" s="19">
        <f t="shared" si="3"/>
        <v>13606494.147013064</v>
      </c>
      <c r="R140" s="19">
        <f t="shared" si="3"/>
        <v>13606469.735509945</v>
      </c>
    </row>
    <row r="141" spans="1:18" x14ac:dyDescent="0.35">
      <c r="B141" s="4" t="s">
        <v>913</v>
      </c>
      <c r="C141" s="19">
        <f t="shared" ref="C141:R141" si="4">(C130+C130/12+C131+C133+C135)*IF(C136=0,0,C138/C136)</f>
        <v>8598592.6042806841</v>
      </c>
      <c r="D141" s="19">
        <f t="shared" si="4"/>
        <v>8580074.6286971234</v>
      </c>
      <c r="E141" s="19">
        <f t="shared" si="4"/>
        <v>8599888.0230042357</v>
      </c>
      <c r="F141" s="19">
        <f t="shared" si="4"/>
        <v>8592850.6594024152</v>
      </c>
      <c r="G141" s="19">
        <f t="shared" si="4"/>
        <v>8590937.0514533035</v>
      </c>
      <c r="H141" s="19">
        <f t="shared" si="4"/>
        <v>8594558.4976681042</v>
      </c>
      <c r="I141" s="19">
        <f t="shared" si="4"/>
        <v>8592782.0467470028</v>
      </c>
      <c r="J141" s="19">
        <f t="shared" si="4"/>
        <v>8592759.1724420656</v>
      </c>
      <c r="K141" s="19">
        <f t="shared" si="4"/>
        <v>8593366.56724618</v>
      </c>
      <c r="L141" s="19">
        <f t="shared" si="4"/>
        <v>8592969.2617117818</v>
      </c>
      <c r="M141" s="19">
        <f t="shared" si="4"/>
        <v>8593031.666302206</v>
      </c>
      <c r="N141" s="19">
        <f t="shared" si="4"/>
        <v>8593122.4981570989</v>
      </c>
      <c r="O141" s="19">
        <f t="shared" si="4"/>
        <v>8593041.1420425363</v>
      </c>
      <c r="P141" s="19">
        <f t="shared" si="4"/>
        <v>8593065.1021446362</v>
      </c>
      <c r="Q141" s="19">
        <f t="shared" si="4"/>
        <v>8593076.2474363707</v>
      </c>
      <c r="R141" s="19">
        <f t="shared" si="4"/>
        <v>8593060.8305401932</v>
      </c>
    </row>
    <row r="142" spans="1:18" x14ac:dyDescent="0.35">
      <c r="B142" s="9" t="s">
        <v>914</v>
      </c>
      <c r="C142" s="19">
        <f t="shared" ref="C142:R142" si="5">C140+C141-C120-C121</f>
        <v>5.7741999626159668E-8</v>
      </c>
      <c r="D142" s="19">
        <f t="shared" si="5"/>
        <v>-1.1175870895385742E-8</v>
      </c>
      <c r="E142" s="19">
        <f t="shared" si="5"/>
        <v>-5.7276338338851929E-8</v>
      </c>
      <c r="F142" s="19">
        <f t="shared" si="5"/>
        <v>-3.0733644962310791E-8</v>
      </c>
      <c r="G142" s="19">
        <f t="shared" si="5"/>
        <v>-1.3504177331924438E-8</v>
      </c>
      <c r="H142" s="19">
        <f t="shared" si="5"/>
        <v>-8.4750354290008545E-8</v>
      </c>
      <c r="I142" s="19">
        <f t="shared" si="5"/>
        <v>-2.5611370801925659E-8</v>
      </c>
      <c r="J142" s="19">
        <f t="shared" si="5"/>
        <v>2.4680048227310181E-8</v>
      </c>
      <c r="K142" s="19">
        <f t="shared" si="5"/>
        <v>1.4435499906539917E-8</v>
      </c>
      <c r="L142" s="19">
        <f t="shared" si="5"/>
        <v>-1.909211277961731E-8</v>
      </c>
      <c r="M142" s="19">
        <f t="shared" si="5"/>
        <v>5.7741999626159668E-8</v>
      </c>
      <c r="N142" s="19">
        <f t="shared" si="5"/>
        <v>0</v>
      </c>
      <c r="O142" s="19">
        <f t="shared" si="5"/>
        <v>-6.5192580223083496E-9</v>
      </c>
      <c r="P142" s="19">
        <f t="shared" si="5"/>
        <v>4.6100467443466187E-8</v>
      </c>
      <c r="Q142" s="19">
        <f t="shared" si="5"/>
        <v>0</v>
      </c>
      <c r="R142" s="19">
        <f t="shared" si="5"/>
        <v>0</v>
      </c>
    </row>
    <row r="144" spans="1:18" x14ac:dyDescent="0.35">
      <c r="A144" s="6" t="s">
        <v>958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x14ac:dyDescent="0.35">
      <c r="A145" s="9" t="s">
        <v>959</v>
      </c>
      <c r="B145" s="9" t="s">
        <v>783</v>
      </c>
      <c r="C145" s="46">
        <v>0.99</v>
      </c>
      <c r="D145" s="46">
        <v>0.99</v>
      </c>
      <c r="E145" s="46">
        <v>0.99</v>
      </c>
      <c r="F145" s="46">
        <v>0.99</v>
      </c>
      <c r="G145" s="46">
        <v>0.99</v>
      </c>
      <c r="H145" s="46">
        <v>0.99</v>
      </c>
      <c r="I145" s="46">
        <v>0.99</v>
      </c>
      <c r="J145" s="46">
        <v>0.99</v>
      </c>
      <c r="K145" s="46">
        <v>0.99</v>
      </c>
      <c r="L145" s="46">
        <v>0.99</v>
      </c>
      <c r="M145" s="46">
        <v>0.99</v>
      </c>
      <c r="N145" s="46">
        <v>0.99</v>
      </c>
      <c r="O145" s="46">
        <v>0.99</v>
      </c>
      <c r="P145" s="46">
        <v>0.99</v>
      </c>
      <c r="Q145" s="46">
        <v>0.99</v>
      </c>
      <c r="R145" s="46">
        <v>0.99</v>
      </c>
    </row>
    <row r="146" spans="1:18" x14ac:dyDescent="0.35">
      <c r="A146" s="9" t="s">
        <v>960</v>
      </c>
      <c r="B146" s="9" t="s">
        <v>207</v>
      </c>
      <c r="C146" s="46">
        <v>0</v>
      </c>
      <c r="D146" s="46">
        <v>0</v>
      </c>
      <c r="E146" s="46">
        <v>0</v>
      </c>
      <c r="F146" s="46">
        <v>0</v>
      </c>
      <c r="G146" s="46">
        <v>0</v>
      </c>
      <c r="H146" s="46">
        <v>0</v>
      </c>
      <c r="I146" s="46">
        <v>0</v>
      </c>
      <c r="J146" s="46">
        <v>0</v>
      </c>
      <c r="K146" s="46">
        <v>0</v>
      </c>
      <c r="L146" s="46">
        <v>0</v>
      </c>
      <c r="M146" s="46">
        <v>0</v>
      </c>
      <c r="N146" s="46">
        <v>0</v>
      </c>
      <c r="O146" s="46">
        <v>0</v>
      </c>
      <c r="P146" s="46">
        <v>0</v>
      </c>
      <c r="Q146" s="46">
        <v>0</v>
      </c>
      <c r="R146" s="46">
        <v>0</v>
      </c>
    </row>
    <row r="147" spans="1:18" x14ac:dyDescent="0.35">
      <c r="A147" s="9" t="s">
        <v>961</v>
      </c>
      <c r="B147" s="9" t="s">
        <v>209</v>
      </c>
      <c r="C147" s="46">
        <v>0.01</v>
      </c>
      <c r="D147" s="46">
        <v>0.01</v>
      </c>
      <c r="E147" s="46">
        <v>0.01</v>
      </c>
      <c r="F147" s="46">
        <v>0.01</v>
      </c>
      <c r="G147" s="46">
        <v>0.01</v>
      </c>
      <c r="H147" s="46">
        <v>0.01</v>
      </c>
      <c r="I147" s="46">
        <v>0.01</v>
      </c>
      <c r="J147" s="46">
        <v>0.01</v>
      </c>
      <c r="K147" s="46">
        <v>0.01</v>
      </c>
      <c r="L147" s="46">
        <v>0.01</v>
      </c>
      <c r="M147" s="46">
        <v>0.01</v>
      </c>
      <c r="N147" s="46">
        <v>0.01</v>
      </c>
      <c r="O147" s="46">
        <v>0.01</v>
      </c>
      <c r="P147" s="46">
        <v>0.01</v>
      </c>
      <c r="Q147" s="46">
        <v>0.01</v>
      </c>
      <c r="R147" s="46">
        <v>0.01</v>
      </c>
    </row>
    <row r="148" spans="1:18" x14ac:dyDescent="0.35">
      <c r="A148" s="9" t="s">
        <v>962</v>
      </c>
      <c r="B148" s="9" t="s">
        <v>963</v>
      </c>
      <c r="C148" s="37">
        <v>5564.4250000000002</v>
      </c>
      <c r="D148" s="37">
        <v>5564.4250000000002</v>
      </c>
      <c r="E148" s="37">
        <v>5564.4250000000002</v>
      </c>
      <c r="F148" s="37">
        <v>5564.4250000000002</v>
      </c>
      <c r="G148" s="37">
        <v>5564.4250000000002</v>
      </c>
      <c r="H148" s="37">
        <v>5564.4250000000002</v>
      </c>
      <c r="I148" s="37">
        <v>5564.4250000000002</v>
      </c>
      <c r="J148" s="37">
        <v>5564.4250000000002</v>
      </c>
      <c r="K148" s="37">
        <v>5564.4250000000002</v>
      </c>
      <c r="L148" s="37">
        <v>5564.4250000000002</v>
      </c>
      <c r="M148" s="37">
        <v>5564.4250000000002</v>
      </c>
      <c r="N148" s="37">
        <v>5564.4250000000002</v>
      </c>
      <c r="O148" s="37">
        <v>5564.4250000000002</v>
      </c>
      <c r="P148" s="37">
        <v>5564.4250000000002</v>
      </c>
      <c r="Q148" s="37">
        <v>5564.4250000000002</v>
      </c>
      <c r="R148" s="37">
        <v>5564.4250000000002</v>
      </c>
    </row>
    <row r="149" spans="1:18" x14ac:dyDescent="0.35">
      <c r="A149" s="9" t="s">
        <v>964</v>
      </c>
      <c r="B149" s="9" t="s">
        <v>207</v>
      </c>
      <c r="C149" s="46">
        <v>0</v>
      </c>
      <c r="D149" s="46">
        <v>0</v>
      </c>
      <c r="E149" s="46">
        <v>0</v>
      </c>
      <c r="F149" s="46">
        <v>0</v>
      </c>
      <c r="G149" s="46">
        <v>0</v>
      </c>
      <c r="H149" s="46">
        <v>0</v>
      </c>
      <c r="I149" s="46">
        <v>0</v>
      </c>
      <c r="J149" s="46">
        <v>0</v>
      </c>
      <c r="K149" s="46">
        <v>0</v>
      </c>
      <c r="L149" s="46">
        <v>0</v>
      </c>
      <c r="M149" s="46">
        <v>0</v>
      </c>
      <c r="N149" s="46">
        <v>0</v>
      </c>
      <c r="O149" s="46">
        <v>0</v>
      </c>
      <c r="P149" s="46">
        <v>0</v>
      </c>
      <c r="Q149" s="46">
        <v>0</v>
      </c>
      <c r="R149" s="46">
        <v>0</v>
      </c>
    </row>
    <row r="150" spans="1:18" x14ac:dyDescent="0.35">
      <c r="A150" s="9" t="s">
        <v>965</v>
      </c>
      <c r="B150" s="9" t="s">
        <v>209</v>
      </c>
      <c r="C150" s="46">
        <v>56.206313131313102</v>
      </c>
      <c r="D150" s="46">
        <v>56.206313131313102</v>
      </c>
      <c r="E150" s="46">
        <v>56.206313131313102</v>
      </c>
      <c r="F150" s="46">
        <v>56.206313131313102</v>
      </c>
      <c r="G150" s="46">
        <v>56.206313131313102</v>
      </c>
      <c r="H150" s="46">
        <v>56.206313131313102</v>
      </c>
      <c r="I150" s="46">
        <v>56.206313131313102</v>
      </c>
      <c r="J150" s="46">
        <v>56.206313131313102</v>
      </c>
      <c r="K150" s="46">
        <v>56.206313131313102</v>
      </c>
      <c r="L150" s="46">
        <v>56.206313131313102</v>
      </c>
      <c r="M150" s="46">
        <v>56.206313131313102</v>
      </c>
      <c r="N150" s="46">
        <v>56.206313131313102</v>
      </c>
      <c r="O150" s="46">
        <v>56.206313131313102</v>
      </c>
      <c r="P150" s="46">
        <v>56.206313131313102</v>
      </c>
      <c r="Q150" s="46">
        <v>56.206313131313102</v>
      </c>
      <c r="R150" s="46">
        <v>56.206313131313102</v>
      </c>
    </row>
    <row r="151" spans="1:18" x14ac:dyDescent="0.35">
      <c r="A151" s="9" t="s">
        <v>966</v>
      </c>
      <c r="B151" s="9" t="s">
        <v>793</v>
      </c>
      <c r="C151" s="46">
        <v>0</v>
      </c>
      <c r="D151" s="46">
        <v>0</v>
      </c>
      <c r="E151" s="46">
        <v>0</v>
      </c>
      <c r="F151" s="46">
        <v>0</v>
      </c>
      <c r="G151" s="46">
        <v>0</v>
      </c>
      <c r="H151" s="46">
        <v>0</v>
      </c>
      <c r="I151" s="46">
        <v>0</v>
      </c>
      <c r="J151" s="46">
        <v>0</v>
      </c>
      <c r="K151" s="46">
        <v>0</v>
      </c>
      <c r="L151" s="46">
        <v>0</v>
      </c>
      <c r="M151" s="46">
        <v>0</v>
      </c>
      <c r="N151" s="46">
        <v>0</v>
      </c>
      <c r="O151" s="46">
        <v>0</v>
      </c>
      <c r="P151" s="46">
        <v>0</v>
      </c>
      <c r="Q151" s="46">
        <v>0</v>
      </c>
      <c r="R151" s="46">
        <v>0</v>
      </c>
    </row>
    <row r="152" spans="1:18" x14ac:dyDescent="0.35">
      <c r="A152" s="9" t="s">
        <v>967</v>
      </c>
      <c r="B152" s="9" t="s">
        <v>795</v>
      </c>
      <c r="C152" s="37">
        <v>5620.63131313131</v>
      </c>
      <c r="D152" s="37">
        <v>5620.63131313131</v>
      </c>
      <c r="E152" s="37">
        <v>5620.63131313131</v>
      </c>
      <c r="F152" s="37">
        <v>5620.63131313131</v>
      </c>
      <c r="G152" s="37">
        <v>5620.63131313131</v>
      </c>
      <c r="H152" s="37">
        <v>5620.63131313131</v>
      </c>
      <c r="I152" s="37">
        <v>5620.63131313131</v>
      </c>
      <c r="J152" s="37">
        <v>5620.63131313131</v>
      </c>
      <c r="K152" s="37">
        <v>5620.63131313131</v>
      </c>
      <c r="L152" s="37">
        <v>5620.63131313131</v>
      </c>
      <c r="M152" s="37">
        <v>5620.63131313131</v>
      </c>
      <c r="N152" s="37">
        <v>5620.63131313131</v>
      </c>
      <c r="O152" s="37">
        <v>5620.63131313131</v>
      </c>
      <c r="P152" s="37">
        <v>5620.63131313131</v>
      </c>
      <c r="Q152" s="37">
        <v>5620.63131313131</v>
      </c>
      <c r="R152" s="37">
        <v>5620.63131313131</v>
      </c>
    </row>
    <row r="153" spans="1:18" x14ac:dyDescent="0.35">
      <c r="A153" s="9" t="s">
        <v>968</v>
      </c>
      <c r="B153" s="9" t="s">
        <v>816</v>
      </c>
      <c r="C153" s="46">
        <v>3.7290115330874301</v>
      </c>
      <c r="D153" s="46">
        <v>3.7290115330874301</v>
      </c>
      <c r="E153" s="46">
        <v>3.7290115330874301</v>
      </c>
      <c r="F153" s="46">
        <v>3.7290115330874301</v>
      </c>
      <c r="G153" s="46">
        <v>3.7290115330874301</v>
      </c>
      <c r="H153" s="46">
        <v>3.7290115330874301</v>
      </c>
      <c r="I153" s="46">
        <v>3.7290115330874301</v>
      </c>
      <c r="J153" s="46">
        <v>3.7290115330874301</v>
      </c>
      <c r="K153" s="46">
        <v>3.7290115330874301</v>
      </c>
      <c r="L153" s="46">
        <v>3.7290115330874301</v>
      </c>
      <c r="M153" s="46">
        <v>3.7290115330874301</v>
      </c>
      <c r="N153" s="46">
        <v>3.7290115330874301</v>
      </c>
      <c r="O153" s="46">
        <v>3.7290115330874301</v>
      </c>
      <c r="P153" s="46">
        <v>3.7290115330874301</v>
      </c>
      <c r="Q153" s="46">
        <v>3.7290115330874301</v>
      </c>
      <c r="R153" s="46">
        <v>3.7290115330874301</v>
      </c>
    </row>
    <row r="154" spans="1:18" x14ac:dyDescent="0.35">
      <c r="A154" s="9" t="s">
        <v>969</v>
      </c>
      <c r="B154" s="9" t="s">
        <v>52</v>
      </c>
      <c r="C154" s="37">
        <v>20959.398989899</v>
      </c>
      <c r="D154" s="37">
        <v>20959.398989899</v>
      </c>
      <c r="E154" s="37">
        <v>20959.398989899</v>
      </c>
      <c r="F154" s="37">
        <v>20959.398989899</v>
      </c>
      <c r="G154" s="37">
        <v>20959.398989899</v>
      </c>
      <c r="H154" s="37">
        <v>20959.398989899</v>
      </c>
      <c r="I154" s="37">
        <v>20959.398989899</v>
      </c>
      <c r="J154" s="37">
        <v>20959.398989899</v>
      </c>
      <c r="K154" s="37">
        <v>20959.398989899</v>
      </c>
      <c r="L154" s="37">
        <v>20959.398989899</v>
      </c>
      <c r="M154" s="37">
        <v>20959.398989899</v>
      </c>
      <c r="N154" s="37">
        <v>20959.398989899</v>
      </c>
      <c r="O154" s="37">
        <v>20959.398989899</v>
      </c>
      <c r="P154" s="37">
        <v>20959.398989899</v>
      </c>
      <c r="Q154" s="37">
        <v>20959.398989899</v>
      </c>
      <c r="R154" s="37">
        <v>20959.398989899</v>
      </c>
    </row>
    <row r="155" spans="1:18" x14ac:dyDescent="0.35">
      <c r="A155" s="9" t="s">
        <v>970</v>
      </c>
      <c r="B155" s="9" t="s">
        <v>971</v>
      </c>
      <c r="C155" s="37">
        <v>95564798.882424399</v>
      </c>
      <c r="D155" s="37">
        <v>95564798.882424399</v>
      </c>
      <c r="E155" s="37">
        <v>95564798.882424399</v>
      </c>
      <c r="F155" s="37">
        <v>95564798.882424399</v>
      </c>
      <c r="G155" s="37">
        <v>95564798.882424399</v>
      </c>
      <c r="H155" s="37">
        <v>95564798.882424399</v>
      </c>
      <c r="I155" s="37">
        <v>95564798.882424399</v>
      </c>
      <c r="J155" s="37">
        <v>95564798.882424399</v>
      </c>
      <c r="K155" s="37">
        <v>95564798.882424399</v>
      </c>
      <c r="L155" s="37">
        <v>95564798.882424399</v>
      </c>
      <c r="M155" s="37">
        <v>95564798.882424399</v>
      </c>
      <c r="N155" s="37">
        <v>95564798.882424399</v>
      </c>
      <c r="O155" s="37">
        <v>95564798.882424399</v>
      </c>
      <c r="P155" s="37">
        <v>95564798.882424399</v>
      </c>
      <c r="Q155" s="37">
        <v>95564798.882424399</v>
      </c>
      <c r="R155" s="37">
        <v>95564798.882424399</v>
      </c>
    </row>
    <row r="156" spans="1:18" x14ac:dyDescent="0.35">
      <c r="A156" s="9" t="s">
        <v>972</v>
      </c>
      <c r="B156" s="9" t="s">
        <v>52</v>
      </c>
      <c r="C156" s="37">
        <v>2400.5050505050499</v>
      </c>
      <c r="D156" s="37">
        <v>2400.5050505050499</v>
      </c>
      <c r="E156" s="37">
        <v>2400.5050505050499</v>
      </c>
      <c r="F156" s="37">
        <v>2400.5050505050499</v>
      </c>
      <c r="G156" s="37">
        <v>2400.5050505050499</v>
      </c>
      <c r="H156" s="37">
        <v>2400.5050505050499</v>
      </c>
      <c r="I156" s="37">
        <v>2400.5050505050499</v>
      </c>
      <c r="J156" s="37">
        <v>2400.5050505050499</v>
      </c>
      <c r="K156" s="37">
        <v>2400.5050505050499</v>
      </c>
      <c r="L156" s="37">
        <v>2400.5050505050499</v>
      </c>
      <c r="M156" s="37">
        <v>2400.5050505050499</v>
      </c>
      <c r="N156" s="37">
        <v>2400.5050505050499</v>
      </c>
      <c r="O156" s="37">
        <v>2400.5050505050499</v>
      </c>
      <c r="P156" s="37">
        <v>2400.5050505050499</v>
      </c>
      <c r="Q156" s="37">
        <v>2400.5050505050499</v>
      </c>
      <c r="R156" s="37">
        <v>2400.5050505050499</v>
      </c>
    </row>
    <row r="157" spans="1:18" x14ac:dyDescent="0.35">
      <c r="A157" s="9" t="s">
        <v>973</v>
      </c>
      <c r="B157" s="9" t="s">
        <v>53</v>
      </c>
      <c r="C157" s="37">
        <v>40319866.746745698</v>
      </c>
      <c r="D157" s="37">
        <v>40267593.660096101</v>
      </c>
      <c r="E157" s="37">
        <v>40262120.652760997</v>
      </c>
      <c r="F157" s="37">
        <v>40261545.167346098</v>
      </c>
      <c r="G157" s="37">
        <v>40261484.843890503</v>
      </c>
      <c r="H157" s="37">
        <v>40261478.516535603</v>
      </c>
      <c r="I157" s="37">
        <v>40261477.852454998</v>
      </c>
      <c r="J157" s="37">
        <v>40261477.782800399</v>
      </c>
      <c r="K157" s="37">
        <v>40261477.775492899</v>
      </c>
      <c r="L157" s="37">
        <v>40261477.774726197</v>
      </c>
      <c r="M157" s="37">
        <v>40261477.774645798</v>
      </c>
      <c r="N157" s="37">
        <v>40261477.774637401</v>
      </c>
      <c r="O157" s="37">
        <v>40261477.7746365</v>
      </c>
      <c r="P157" s="37">
        <v>40261477.774636403</v>
      </c>
      <c r="Q157" s="37">
        <v>40261477.774636403</v>
      </c>
      <c r="R157" s="37">
        <v>40261477.774636403</v>
      </c>
    </row>
    <row r="158" spans="1:18" x14ac:dyDescent="0.35">
      <c r="A158" s="9" t="s">
        <v>974</v>
      </c>
      <c r="B158" s="9" t="s">
        <v>52</v>
      </c>
      <c r="C158" s="46">
        <v>104.69898807116201</v>
      </c>
      <c r="D158" s="46">
        <v>104.69898807116201</v>
      </c>
      <c r="E158" s="46">
        <v>104.69898807116201</v>
      </c>
      <c r="F158" s="46">
        <v>104.69898807116201</v>
      </c>
      <c r="G158" s="46">
        <v>104.69898807116201</v>
      </c>
      <c r="H158" s="46">
        <v>104.69898807116201</v>
      </c>
      <c r="I158" s="46">
        <v>104.69898807116201</v>
      </c>
      <c r="J158" s="46">
        <v>104.69898807116201</v>
      </c>
      <c r="K158" s="46">
        <v>104.69898807116201</v>
      </c>
      <c r="L158" s="46">
        <v>104.69898807116201</v>
      </c>
      <c r="M158" s="46">
        <v>104.69898807116201</v>
      </c>
      <c r="N158" s="46">
        <v>104.69898807116201</v>
      </c>
      <c r="O158" s="46">
        <v>104.69898807116201</v>
      </c>
      <c r="P158" s="46">
        <v>104.69898807116201</v>
      </c>
      <c r="Q158" s="46">
        <v>104.69898807116201</v>
      </c>
      <c r="R158" s="46">
        <v>104.69898807116201</v>
      </c>
    </row>
    <row r="159" spans="1:18" x14ac:dyDescent="0.35">
      <c r="A159" s="9" t="s">
        <v>975</v>
      </c>
      <c r="B159" s="9" t="s">
        <v>54</v>
      </c>
      <c r="C159" s="37">
        <v>24028417.543347701</v>
      </c>
      <c r="D159" s="37">
        <v>24028417.762331601</v>
      </c>
      <c r="E159" s="37">
        <v>24028417.762331601</v>
      </c>
      <c r="F159" s="37">
        <v>24028417.762331601</v>
      </c>
      <c r="G159" s="37">
        <v>24028417.762331601</v>
      </c>
      <c r="H159" s="37">
        <v>24028417.762331601</v>
      </c>
      <c r="I159" s="37">
        <v>24028417.762331601</v>
      </c>
      <c r="J159" s="37">
        <v>24028417.762331601</v>
      </c>
      <c r="K159" s="37">
        <v>24028417.762331601</v>
      </c>
      <c r="L159" s="37">
        <v>24028417.762331601</v>
      </c>
      <c r="M159" s="37">
        <v>24028417.762331601</v>
      </c>
      <c r="N159" s="37">
        <v>24028417.762331601</v>
      </c>
      <c r="O159" s="37">
        <v>24028417.762331601</v>
      </c>
      <c r="P159" s="37">
        <v>24028417.762331601</v>
      </c>
      <c r="Q159" s="37">
        <v>24028417.762331601</v>
      </c>
      <c r="R159" s="37">
        <v>24028417.762331601</v>
      </c>
    </row>
    <row r="160" spans="1:18" x14ac:dyDescent="0.35">
      <c r="A160" s="9" t="s">
        <v>976</v>
      </c>
      <c r="B160" s="9" t="s">
        <v>52</v>
      </c>
      <c r="C160" s="46">
        <v>0</v>
      </c>
      <c r="D160" s="46">
        <v>0</v>
      </c>
      <c r="E160" s="46">
        <v>0</v>
      </c>
      <c r="F160" s="46">
        <v>0</v>
      </c>
      <c r="G160" s="46">
        <v>0</v>
      </c>
      <c r="H160" s="46">
        <v>0</v>
      </c>
      <c r="I160" s="46">
        <v>0</v>
      </c>
      <c r="J160" s="46">
        <v>0</v>
      </c>
      <c r="K160" s="46">
        <v>0</v>
      </c>
      <c r="L160" s="46">
        <v>0</v>
      </c>
      <c r="M160" s="46">
        <v>0</v>
      </c>
      <c r="N160" s="46">
        <v>0</v>
      </c>
      <c r="O160" s="46">
        <v>0</v>
      </c>
      <c r="P160" s="46">
        <v>0</v>
      </c>
      <c r="Q160" s="46">
        <v>0</v>
      </c>
      <c r="R160" s="46">
        <v>0</v>
      </c>
    </row>
    <row r="161" spans="1:18" x14ac:dyDescent="0.35">
      <c r="A161" s="9" t="s">
        <v>977</v>
      </c>
      <c r="B161" s="9" t="s">
        <v>826</v>
      </c>
      <c r="C161" s="46">
        <v>0</v>
      </c>
      <c r="D161" s="46">
        <v>0</v>
      </c>
      <c r="E161" s="46">
        <v>0</v>
      </c>
      <c r="F161" s="46">
        <v>0</v>
      </c>
      <c r="G161" s="46">
        <v>0</v>
      </c>
      <c r="H161" s="46">
        <v>0</v>
      </c>
      <c r="I161" s="46">
        <v>0</v>
      </c>
      <c r="J161" s="46">
        <v>0</v>
      </c>
      <c r="K161" s="46">
        <v>0</v>
      </c>
      <c r="L161" s="46">
        <v>0</v>
      </c>
      <c r="M161" s="46">
        <v>0</v>
      </c>
      <c r="N161" s="46">
        <v>0</v>
      </c>
      <c r="O161" s="46">
        <v>0</v>
      </c>
      <c r="P161" s="46">
        <v>0</v>
      </c>
      <c r="Q161" s="46">
        <v>0</v>
      </c>
      <c r="R161" s="46">
        <v>0</v>
      </c>
    </row>
    <row r="162" spans="1:18" x14ac:dyDescent="0.35">
      <c r="A162" s="9" t="s">
        <v>978</v>
      </c>
      <c r="B162" s="9" t="s">
        <v>52</v>
      </c>
      <c r="C162" s="46">
        <v>0.60331133919843605</v>
      </c>
      <c r="D162" s="46">
        <v>0.60331133919843605</v>
      </c>
      <c r="E162" s="46">
        <v>0.60331133919843605</v>
      </c>
      <c r="F162" s="46">
        <v>0.60331133919843605</v>
      </c>
      <c r="G162" s="46">
        <v>0.60331133919843605</v>
      </c>
      <c r="H162" s="46">
        <v>0.60331133919843605</v>
      </c>
      <c r="I162" s="46">
        <v>0.60331133919843605</v>
      </c>
      <c r="J162" s="46">
        <v>0.60331133919843605</v>
      </c>
      <c r="K162" s="46">
        <v>0.60331133919843605</v>
      </c>
      <c r="L162" s="46">
        <v>0.60331133919843605</v>
      </c>
      <c r="M162" s="46">
        <v>0.60331133919843605</v>
      </c>
      <c r="N162" s="46">
        <v>0.60331133919843605</v>
      </c>
      <c r="O162" s="46">
        <v>0.60331133919843605</v>
      </c>
      <c r="P162" s="46">
        <v>0.60331133919843605</v>
      </c>
      <c r="Q162" s="46">
        <v>0.60331133919843605</v>
      </c>
      <c r="R162" s="46">
        <v>0.60331133919843605</v>
      </c>
    </row>
    <row r="163" spans="1:18" x14ac:dyDescent="0.35">
      <c r="A163" s="9" t="s">
        <v>979</v>
      </c>
      <c r="B163" s="9" t="s">
        <v>268</v>
      </c>
      <c r="C163" s="37">
        <v>19305.844191764601</v>
      </c>
      <c r="D163" s="37">
        <v>19030.023881690599</v>
      </c>
      <c r="E163" s="37">
        <v>18843.3666077546</v>
      </c>
      <c r="F163" s="37">
        <v>18714.790093817199</v>
      </c>
      <c r="G163" s="37">
        <v>18627.134691260198</v>
      </c>
      <c r="H163" s="37">
        <v>18567.317197848399</v>
      </c>
      <c r="I163" s="37">
        <v>18526.382915897</v>
      </c>
      <c r="J163" s="37">
        <v>18498.432045433401</v>
      </c>
      <c r="K163" s="37">
        <v>18479.3364057123</v>
      </c>
      <c r="L163" s="37">
        <v>18466.285635404802</v>
      </c>
      <c r="M163" s="37">
        <v>18457.369996937701</v>
      </c>
      <c r="N163" s="37">
        <v>18451.278301904898</v>
      </c>
      <c r="O163" s="37">
        <v>18447.115943574499</v>
      </c>
      <c r="P163" s="37">
        <v>18444.2720899626</v>
      </c>
      <c r="Q163" s="37">
        <v>18442.329003319199</v>
      </c>
      <c r="R163" s="37">
        <v>18441.001373991599</v>
      </c>
    </row>
    <row r="164" spans="1:18" x14ac:dyDescent="0.35">
      <c r="A164" s="9" t="s">
        <v>980</v>
      </c>
      <c r="B164" s="9" t="s">
        <v>52</v>
      </c>
      <c r="C164" s="46">
        <v>0</v>
      </c>
      <c r="D164" s="46">
        <v>0</v>
      </c>
      <c r="E164" s="46">
        <v>0</v>
      </c>
      <c r="F164" s="46">
        <v>0</v>
      </c>
      <c r="G164" s="46">
        <v>0</v>
      </c>
      <c r="H164" s="46">
        <v>0</v>
      </c>
      <c r="I164" s="46">
        <v>0</v>
      </c>
      <c r="J164" s="46">
        <v>0</v>
      </c>
      <c r="K164" s="46">
        <v>0</v>
      </c>
      <c r="L164" s="46">
        <v>0</v>
      </c>
      <c r="M164" s="46">
        <v>0</v>
      </c>
      <c r="N164" s="46">
        <v>0</v>
      </c>
      <c r="O164" s="46">
        <v>0</v>
      </c>
      <c r="P164" s="46">
        <v>0</v>
      </c>
      <c r="Q164" s="46">
        <v>0</v>
      </c>
      <c r="R164" s="46">
        <v>0</v>
      </c>
    </row>
    <row r="165" spans="1:18" x14ac:dyDescent="0.35">
      <c r="A165" s="9" t="s">
        <v>981</v>
      </c>
      <c r="B165" s="9" t="s">
        <v>271</v>
      </c>
      <c r="C165" s="46">
        <v>0</v>
      </c>
      <c r="D165" s="46">
        <v>0</v>
      </c>
      <c r="E165" s="46">
        <v>0</v>
      </c>
      <c r="F165" s="46">
        <v>0</v>
      </c>
      <c r="G165" s="46">
        <v>0</v>
      </c>
      <c r="H165" s="46">
        <v>0</v>
      </c>
      <c r="I165" s="46">
        <v>0</v>
      </c>
      <c r="J165" s="46">
        <v>0</v>
      </c>
      <c r="K165" s="46">
        <v>0</v>
      </c>
      <c r="L165" s="46">
        <v>0</v>
      </c>
      <c r="M165" s="46">
        <v>0</v>
      </c>
      <c r="N165" s="46">
        <v>0</v>
      </c>
      <c r="O165" s="46">
        <v>0</v>
      </c>
      <c r="P165" s="46">
        <v>0</v>
      </c>
      <c r="Q165" s="46">
        <v>0</v>
      </c>
      <c r="R165" s="46">
        <v>0</v>
      </c>
    </row>
    <row r="166" spans="1:18" x14ac:dyDescent="0.35">
      <c r="A166" s="9" t="s">
        <v>982</v>
      </c>
      <c r="B166" s="9" t="s">
        <v>52</v>
      </c>
      <c r="C166" s="46">
        <v>116.05934343434301</v>
      </c>
      <c r="D166" s="46">
        <v>116.05934343434301</v>
      </c>
      <c r="E166" s="46">
        <v>116.05934343434301</v>
      </c>
      <c r="F166" s="46">
        <v>116.05934343434301</v>
      </c>
      <c r="G166" s="46">
        <v>116.05934343434301</v>
      </c>
      <c r="H166" s="46">
        <v>116.05934343434301</v>
      </c>
      <c r="I166" s="46">
        <v>116.05934343434301</v>
      </c>
      <c r="J166" s="46">
        <v>116.05934343434301</v>
      </c>
      <c r="K166" s="46">
        <v>116.05934343434301</v>
      </c>
      <c r="L166" s="46">
        <v>116.05934343434301</v>
      </c>
      <c r="M166" s="46">
        <v>116.05934343434301</v>
      </c>
      <c r="N166" s="46">
        <v>116.05934343434301</v>
      </c>
      <c r="O166" s="46">
        <v>116.05934343434301</v>
      </c>
      <c r="P166" s="46">
        <v>116.05934343434301</v>
      </c>
      <c r="Q166" s="46">
        <v>116.05934343434301</v>
      </c>
      <c r="R166" s="46">
        <v>116.05934343434301</v>
      </c>
    </row>
    <row r="167" spans="1:18" x14ac:dyDescent="0.35">
      <c r="A167" s="9" t="s">
        <v>983</v>
      </c>
      <c r="B167" s="9" t="s">
        <v>274</v>
      </c>
      <c r="C167" s="37">
        <v>3794042.1004658001</v>
      </c>
      <c r="D167" s="37">
        <v>3739360.1128670801</v>
      </c>
      <c r="E167" s="37">
        <v>3714855.2115896</v>
      </c>
      <c r="F167" s="37">
        <v>3703781.7344901902</v>
      </c>
      <c r="G167" s="37">
        <v>3698804.0394987701</v>
      </c>
      <c r="H167" s="37">
        <v>3696564.8574960502</v>
      </c>
      <c r="I167" s="37">
        <v>3695556.2991856099</v>
      </c>
      <c r="J167" s="37">
        <v>3695102.5248748702</v>
      </c>
      <c r="K167" s="37">
        <v>3694898.29914972</v>
      </c>
      <c r="L167" s="37">
        <v>3694806.3705210099</v>
      </c>
      <c r="M167" s="37">
        <v>3694764.9990751198</v>
      </c>
      <c r="N167" s="37">
        <v>3694746.3787341099</v>
      </c>
      <c r="O167" s="37">
        <v>3694737.9980393201</v>
      </c>
      <c r="P167" s="37">
        <v>3694734.2261717301</v>
      </c>
      <c r="Q167" s="37">
        <v>3694732.5285470299</v>
      </c>
      <c r="R167" s="37">
        <v>3694731.7644889602</v>
      </c>
    </row>
    <row r="168" spans="1:18" x14ac:dyDescent="0.35">
      <c r="A168" s="9" t="s">
        <v>984</v>
      </c>
      <c r="B168" s="9" t="s">
        <v>52</v>
      </c>
      <c r="C168" s="46">
        <v>0</v>
      </c>
      <c r="D168" s="46">
        <v>0</v>
      </c>
      <c r="E168" s="46">
        <v>0</v>
      </c>
      <c r="F168" s="46">
        <v>0</v>
      </c>
      <c r="G168" s="46">
        <v>0</v>
      </c>
      <c r="H168" s="46">
        <v>0</v>
      </c>
      <c r="I168" s="46">
        <v>0</v>
      </c>
      <c r="J168" s="46">
        <v>0</v>
      </c>
      <c r="K168" s="46">
        <v>0</v>
      </c>
      <c r="L168" s="46">
        <v>0</v>
      </c>
      <c r="M168" s="46">
        <v>0</v>
      </c>
      <c r="N168" s="46">
        <v>0</v>
      </c>
      <c r="O168" s="46">
        <v>0</v>
      </c>
      <c r="P168" s="46">
        <v>0</v>
      </c>
      <c r="Q168" s="46">
        <v>0</v>
      </c>
      <c r="R168" s="46">
        <v>0</v>
      </c>
    </row>
    <row r="169" spans="1:18" x14ac:dyDescent="0.35">
      <c r="A169" s="9" t="s">
        <v>985</v>
      </c>
      <c r="B169" s="9" t="s">
        <v>839</v>
      </c>
      <c r="C169" s="46">
        <v>0</v>
      </c>
      <c r="D169" s="46">
        <v>0</v>
      </c>
      <c r="E169" s="46">
        <v>0</v>
      </c>
      <c r="F169" s="46">
        <v>0</v>
      </c>
      <c r="G169" s="46">
        <v>0</v>
      </c>
      <c r="H169" s="46">
        <v>0</v>
      </c>
      <c r="I169" s="46">
        <v>0</v>
      </c>
      <c r="J169" s="46">
        <v>0</v>
      </c>
      <c r="K169" s="46">
        <v>0</v>
      </c>
      <c r="L169" s="46">
        <v>0</v>
      </c>
      <c r="M169" s="46">
        <v>0</v>
      </c>
      <c r="N169" s="46">
        <v>0</v>
      </c>
      <c r="O169" s="46">
        <v>0</v>
      </c>
      <c r="P169" s="46">
        <v>0</v>
      </c>
      <c r="Q169" s="46">
        <v>0</v>
      </c>
      <c r="R169" s="46">
        <v>0</v>
      </c>
    </row>
    <row r="170" spans="1:18" x14ac:dyDescent="0.35">
      <c r="A170" s="9" t="s">
        <v>986</v>
      </c>
      <c r="B170" s="9" t="s">
        <v>841</v>
      </c>
      <c r="C170" s="37">
        <v>287011.88336010498</v>
      </c>
      <c r="D170" s="37">
        <v>287011.88336010498</v>
      </c>
      <c r="E170" s="37">
        <v>287011.88336010498</v>
      </c>
      <c r="F170" s="37">
        <v>287011.88336010498</v>
      </c>
      <c r="G170" s="37">
        <v>287011.88336010498</v>
      </c>
      <c r="H170" s="37">
        <v>287011.88336010498</v>
      </c>
      <c r="I170" s="37">
        <v>287011.88336010498</v>
      </c>
      <c r="J170" s="37">
        <v>287011.88336010498</v>
      </c>
      <c r="K170" s="37">
        <v>287011.88336010498</v>
      </c>
      <c r="L170" s="37">
        <v>287011.88336010498</v>
      </c>
      <c r="M170" s="37">
        <v>287011.88336010498</v>
      </c>
      <c r="N170" s="37">
        <v>287011.88336010498</v>
      </c>
      <c r="O170" s="37">
        <v>287011.88336010498</v>
      </c>
      <c r="P170" s="37">
        <v>287011.88336010498</v>
      </c>
      <c r="Q170" s="37">
        <v>287011.88336010498</v>
      </c>
      <c r="R170" s="37">
        <v>287011.88336010498</v>
      </c>
    </row>
    <row r="171" spans="1:18" x14ac:dyDescent="0.35">
      <c r="A171" s="9" t="s">
        <v>987</v>
      </c>
      <c r="B171" s="9" t="s">
        <v>847</v>
      </c>
      <c r="C171" s="37">
        <v>20959.398989899</v>
      </c>
      <c r="D171" s="37">
        <v>20959.398989899</v>
      </c>
      <c r="E171" s="37">
        <v>20959.398989899</v>
      </c>
      <c r="F171" s="37">
        <v>20959.398989899</v>
      </c>
      <c r="G171" s="37">
        <v>20959.398989899</v>
      </c>
      <c r="H171" s="37">
        <v>20959.398989899</v>
      </c>
      <c r="I171" s="37">
        <v>20959.398989899</v>
      </c>
      <c r="J171" s="37">
        <v>20959.398989899</v>
      </c>
      <c r="K171" s="37">
        <v>20959.398989899</v>
      </c>
      <c r="L171" s="37">
        <v>20959.398989899</v>
      </c>
      <c r="M171" s="37">
        <v>20959.398989899</v>
      </c>
      <c r="N171" s="37">
        <v>20959.398989899</v>
      </c>
      <c r="O171" s="37">
        <v>20959.398989899</v>
      </c>
      <c r="P171" s="37">
        <v>20959.398989899</v>
      </c>
      <c r="Q171" s="37">
        <v>20959.398989899</v>
      </c>
      <c r="R171" s="37">
        <v>20959.398989899</v>
      </c>
    </row>
    <row r="172" spans="1:18" x14ac:dyDescent="0.35">
      <c r="A172" s="9" t="s">
        <v>988</v>
      </c>
      <c r="B172" s="9" t="s">
        <v>946</v>
      </c>
      <c r="C172" s="46">
        <v>0</v>
      </c>
      <c r="D172" s="46">
        <v>0</v>
      </c>
      <c r="E172" s="46">
        <v>0</v>
      </c>
      <c r="F172" s="46">
        <v>0</v>
      </c>
      <c r="G172" s="46">
        <v>0</v>
      </c>
      <c r="H172" s="46">
        <v>0</v>
      </c>
      <c r="I172" s="46">
        <v>0</v>
      </c>
      <c r="J172" s="46">
        <v>0</v>
      </c>
      <c r="K172" s="46">
        <v>0</v>
      </c>
      <c r="L172" s="46">
        <v>0</v>
      </c>
      <c r="M172" s="46">
        <v>0</v>
      </c>
      <c r="N172" s="46">
        <v>0</v>
      </c>
      <c r="O172" s="46">
        <v>0</v>
      </c>
      <c r="P172" s="46">
        <v>0</v>
      </c>
      <c r="Q172" s="46">
        <v>0</v>
      </c>
      <c r="R172" s="46">
        <v>0</v>
      </c>
    </row>
    <row r="173" spans="1:18" x14ac:dyDescent="0.35">
      <c r="A173" s="9" t="s">
        <v>989</v>
      </c>
      <c r="B173" s="9" t="s">
        <v>853</v>
      </c>
      <c r="C173" s="37">
        <v>15776819.335213499</v>
      </c>
      <c r="D173" s="37">
        <v>15744936.761571299</v>
      </c>
      <c r="E173" s="37">
        <v>15780056.7815386</v>
      </c>
      <c r="F173" s="37">
        <v>15767269.5702642</v>
      </c>
      <c r="G173" s="37">
        <v>15764086.818533201</v>
      </c>
      <c r="H173" s="37">
        <v>15770470.972253701</v>
      </c>
      <c r="I173" s="37">
        <v>15767275.758985801</v>
      </c>
      <c r="J173" s="37">
        <v>15767277.817129601</v>
      </c>
      <c r="K173" s="37">
        <v>15768341.5103868</v>
      </c>
      <c r="L173" s="37">
        <v>15767631.695039799</v>
      </c>
      <c r="M173" s="37">
        <v>15767750.3397987</v>
      </c>
      <c r="N173" s="37">
        <v>15767907.848096</v>
      </c>
      <c r="O173" s="37">
        <v>15767763.294298699</v>
      </c>
      <c r="P173" s="37">
        <v>15767807.160702299</v>
      </c>
      <c r="Q173" s="37">
        <v>15767826.101018</v>
      </c>
      <c r="R173" s="37">
        <v>15767798.8520054</v>
      </c>
    </row>
    <row r="174" spans="1:18" x14ac:dyDescent="0.35">
      <c r="A174" s="9" t="s">
        <v>990</v>
      </c>
      <c r="B174" s="9" t="s">
        <v>855</v>
      </c>
      <c r="C174" s="37">
        <v>3573077.9167287201</v>
      </c>
      <c r="D174" s="37">
        <v>3563288.4468928599</v>
      </c>
      <c r="E174" s="37">
        <v>3572755.6241214802</v>
      </c>
      <c r="F174" s="37">
        <v>3569706.2597041801</v>
      </c>
      <c r="G174" s="37">
        <v>3568582.7116836901</v>
      </c>
      <c r="H174" s="37">
        <v>3570348.1023577899</v>
      </c>
      <c r="I174" s="37">
        <v>3569545.6680594902</v>
      </c>
      <c r="J174" s="37">
        <v>3569492.1345788701</v>
      </c>
      <c r="K174" s="37">
        <v>3569795.2960608699</v>
      </c>
      <c r="L174" s="37">
        <v>3569611.0323856198</v>
      </c>
      <c r="M174" s="37">
        <v>3569632.82019145</v>
      </c>
      <c r="N174" s="37">
        <v>3569679.7159333299</v>
      </c>
      <c r="O174" s="37">
        <v>3569641.18948365</v>
      </c>
      <c r="P174" s="37">
        <v>3569651.24184736</v>
      </c>
      <c r="Q174" s="37">
        <v>3569657.3824093798</v>
      </c>
      <c r="R174" s="37">
        <v>3569649.9379122099</v>
      </c>
    </row>
    <row r="175" spans="1:18" x14ac:dyDescent="0.35">
      <c r="A175" s="9" t="s">
        <v>991</v>
      </c>
      <c r="B175" s="9" t="s">
        <v>857</v>
      </c>
      <c r="C175" s="37">
        <v>971067.42385295604</v>
      </c>
      <c r="D175" s="37">
        <v>971065.11655609705</v>
      </c>
      <c r="E175" s="37">
        <v>940932.38987500104</v>
      </c>
      <c r="F175" s="37">
        <v>961021.64347088698</v>
      </c>
      <c r="G175" s="37">
        <v>957673.05000577401</v>
      </c>
      <c r="H175" s="37">
        <v>953209.02779342397</v>
      </c>
      <c r="I175" s="37">
        <v>957301.24042458495</v>
      </c>
      <c r="J175" s="37">
        <v>956061.10607580096</v>
      </c>
      <c r="K175" s="37">
        <v>955523.79143171199</v>
      </c>
      <c r="L175" s="37">
        <v>956295.37931074901</v>
      </c>
      <c r="M175" s="37">
        <v>955960.09227278805</v>
      </c>
      <c r="N175" s="37">
        <v>955926.42100510199</v>
      </c>
      <c r="O175" s="37">
        <v>956060.63086288201</v>
      </c>
      <c r="P175" s="37">
        <v>955982.38138025801</v>
      </c>
      <c r="Q175" s="37">
        <v>955989.811082748</v>
      </c>
      <c r="R175" s="37">
        <v>956010.94110863004</v>
      </c>
    </row>
    <row r="176" spans="1:18" x14ac:dyDescent="0.35">
      <c r="A176" s="9" t="s">
        <v>992</v>
      </c>
      <c r="B176" s="9" t="s">
        <v>859</v>
      </c>
      <c r="C176" s="37">
        <v>2164175.5389398299</v>
      </c>
      <c r="D176" s="37">
        <v>2160640.96850834</v>
      </c>
      <c r="E176" s="37">
        <v>2156575.64394684</v>
      </c>
      <c r="F176" s="37">
        <v>2138560.6282371702</v>
      </c>
      <c r="G176" s="37">
        <v>2138261.2186845802</v>
      </c>
      <c r="H176" s="37">
        <v>2139026.71124807</v>
      </c>
      <c r="I176" s="37">
        <v>2138616.1875019101</v>
      </c>
      <c r="J176" s="37">
        <v>2082048.5479643201</v>
      </c>
      <c r="K176" s="37">
        <v>2082169.7492231899</v>
      </c>
      <c r="L176" s="37">
        <v>2079365.3914868999</v>
      </c>
      <c r="M176" s="37">
        <v>2078062.87959217</v>
      </c>
      <c r="N176" s="37">
        <v>2075129.6051330401</v>
      </c>
      <c r="O176" s="37">
        <v>2075112.31357813</v>
      </c>
      <c r="P176" s="37">
        <v>2075118.0979646</v>
      </c>
      <c r="Q176" s="37">
        <v>2075120.0055593699</v>
      </c>
      <c r="R176" s="37">
        <v>2075116.80570086</v>
      </c>
    </row>
    <row r="177" spans="1:18" x14ac:dyDescent="0.35">
      <c r="A177" s="9" t="s">
        <v>993</v>
      </c>
      <c r="B177" s="9" t="s">
        <v>861</v>
      </c>
      <c r="C177" s="37">
        <v>4288884.8441615999</v>
      </c>
      <c r="D177" s="37">
        <v>4284276.1079860199</v>
      </c>
      <c r="E177" s="37">
        <v>4150817.3123812098</v>
      </c>
      <c r="F177" s="37">
        <v>4154375.81830857</v>
      </c>
      <c r="G177" s="37">
        <v>4130365.7868671701</v>
      </c>
      <c r="H177" s="37">
        <v>4114549.4222559398</v>
      </c>
      <c r="I177" s="37">
        <v>4105572.5678728898</v>
      </c>
      <c r="J177" s="37">
        <v>4104564.7558477898</v>
      </c>
      <c r="K177" s="37">
        <v>4087948.0809317902</v>
      </c>
      <c r="L177" s="37">
        <v>4079091.7231817599</v>
      </c>
      <c r="M177" s="37">
        <v>4079042.5367639801</v>
      </c>
      <c r="N177" s="37">
        <v>4062074.8433943698</v>
      </c>
      <c r="O177" s="37">
        <v>4058582.25915296</v>
      </c>
      <c r="P177" s="37">
        <v>4040599.47560194</v>
      </c>
      <c r="Q177" s="37">
        <v>4037896.0366615299</v>
      </c>
      <c r="R177" s="37">
        <v>4023477.5106277601</v>
      </c>
    </row>
    <row r="178" spans="1:18" x14ac:dyDescent="0.35">
      <c r="A178" s="9" t="s">
        <v>994</v>
      </c>
      <c r="B178" s="9" t="s">
        <v>893</v>
      </c>
      <c r="C178" s="37">
        <v>190787468.059432</v>
      </c>
      <c r="D178" s="37">
        <v>190630419.72647601</v>
      </c>
      <c r="E178" s="37">
        <v>190477185.51093799</v>
      </c>
      <c r="F178" s="37">
        <v>190455204.14003101</v>
      </c>
      <c r="G178" s="37">
        <v>190418114.131971</v>
      </c>
      <c r="H178" s="37">
        <v>190404443.45525399</v>
      </c>
      <c r="I178" s="37">
        <v>190394100.485517</v>
      </c>
      <c r="J178" s="37">
        <v>190334751.62943301</v>
      </c>
      <c r="K178" s="37">
        <v>190318862.367199</v>
      </c>
      <c r="L178" s="37">
        <v>190306974.18040401</v>
      </c>
      <c r="M178" s="37">
        <v>190305377.340453</v>
      </c>
      <c r="N178" s="37">
        <v>190285622.39335099</v>
      </c>
      <c r="O178" s="37">
        <v>190282051.104112</v>
      </c>
      <c r="P178" s="37">
        <v>190264043.15851101</v>
      </c>
      <c r="Q178" s="37">
        <v>190261370.49703401</v>
      </c>
      <c r="R178" s="37">
        <v>190246933.11596999</v>
      </c>
    </row>
    <row r="179" spans="1:18" x14ac:dyDescent="0.35">
      <c r="A179" s="9" t="s">
        <v>995</v>
      </c>
      <c r="B179" s="9" t="s">
        <v>996</v>
      </c>
      <c r="C179" s="37">
        <v>33944.134996668603</v>
      </c>
      <c r="D179" s="37">
        <v>33916.193592187999</v>
      </c>
      <c r="E179" s="37">
        <v>33888.930780058698</v>
      </c>
      <c r="F179" s="37">
        <v>33885.019943413899</v>
      </c>
      <c r="G179" s="37">
        <v>33878.421039128298</v>
      </c>
      <c r="H179" s="37">
        <v>33875.988807595</v>
      </c>
      <c r="I179" s="37">
        <v>33874.148628234201</v>
      </c>
      <c r="J179" s="37">
        <v>33863.589519696798</v>
      </c>
      <c r="K179" s="37">
        <v>33860.7625663976</v>
      </c>
      <c r="L179" s="37">
        <v>33858.647468264797</v>
      </c>
      <c r="M179" s="37">
        <v>33858.363364956604</v>
      </c>
      <c r="N179" s="37">
        <v>33854.848644634003</v>
      </c>
      <c r="O179" s="37">
        <v>33854.213255290597</v>
      </c>
      <c r="P179" s="37">
        <v>33851.009354412301</v>
      </c>
      <c r="Q179" s="37">
        <v>33850.533845287398</v>
      </c>
      <c r="R179" s="37">
        <v>33847.965204816399</v>
      </c>
    </row>
    <row r="180" spans="1:18" x14ac:dyDescent="0.35">
      <c r="A180" s="9" t="s">
        <v>997</v>
      </c>
      <c r="B180" s="9" t="s">
        <v>998</v>
      </c>
      <c r="C180" s="37">
        <v>33380.674944970197</v>
      </c>
      <c r="D180" s="37">
        <v>33768.3019265076</v>
      </c>
      <c r="E180" s="37">
        <v>33855.617277021098</v>
      </c>
      <c r="F180" s="37">
        <v>33876.899947348698</v>
      </c>
      <c r="G180" s="37">
        <v>33878.000966366802</v>
      </c>
      <c r="H180" s="37">
        <v>33876.544496017697</v>
      </c>
      <c r="I180" s="37">
        <v>33874.810283769599</v>
      </c>
      <c r="J180" s="37">
        <v>33866.6883053274</v>
      </c>
      <c r="K180" s="37">
        <v>33862.399049842701</v>
      </c>
      <c r="L180" s="37">
        <v>33859.683524901498</v>
      </c>
      <c r="M180" s="37">
        <v>33858.727947318403</v>
      </c>
      <c r="N180" s="37">
        <v>33855.919973407799</v>
      </c>
      <c r="O180" s="37">
        <v>33854.684591604499</v>
      </c>
      <c r="P180" s="37">
        <v>33852.024327379098</v>
      </c>
      <c r="Q180" s="37">
        <v>33850.945464715303</v>
      </c>
      <c r="R180" s="37">
        <v>33848.788249173303</v>
      </c>
    </row>
    <row r="181" spans="1:18" x14ac:dyDescent="0.35">
      <c r="A181" s="9" t="s">
        <v>999</v>
      </c>
      <c r="B181" s="9" t="s">
        <v>907</v>
      </c>
      <c r="C181" s="37">
        <v>187652136.86126</v>
      </c>
      <c r="D181" s="37">
        <v>189807487.64467201</v>
      </c>
      <c r="E181" s="37">
        <v>190291815.021797</v>
      </c>
      <c r="F181" s="37">
        <v>190410021.03092599</v>
      </c>
      <c r="G181" s="37">
        <v>190415776.66859499</v>
      </c>
      <c r="H181" s="37">
        <v>190407535.54180601</v>
      </c>
      <c r="I181" s="37">
        <v>190397782.21812001</v>
      </c>
      <c r="J181" s="37">
        <v>190351994.58966601</v>
      </c>
      <c r="K181" s="37">
        <v>190327968.45659301</v>
      </c>
      <c r="L181" s="37">
        <v>190312739.23985401</v>
      </c>
      <c r="M181" s="37">
        <v>190307406.03166199</v>
      </c>
      <c r="N181" s="37">
        <v>190291583.72196299</v>
      </c>
      <c r="O181" s="37">
        <v>190284673.81968001</v>
      </c>
      <c r="P181" s="37">
        <v>190269690.899461</v>
      </c>
      <c r="Q181" s="37">
        <v>190263660.92246899</v>
      </c>
      <c r="R181" s="37">
        <v>190251512.88456601</v>
      </c>
    </row>
    <row r="182" spans="1:18" x14ac:dyDescent="0.35">
      <c r="A182" s="9" t="s">
        <v>862</v>
      </c>
      <c r="B182" s="9" t="s">
        <v>863</v>
      </c>
      <c r="C182" s="37">
        <v>540093744</v>
      </c>
      <c r="D182" s="37">
        <v>540093744</v>
      </c>
      <c r="E182" s="37">
        <v>540093744</v>
      </c>
      <c r="F182" s="37">
        <v>540093744</v>
      </c>
      <c r="G182" s="37">
        <v>540093744</v>
      </c>
      <c r="H182" s="37">
        <v>540093744</v>
      </c>
      <c r="I182" s="37">
        <v>540093744</v>
      </c>
      <c r="J182" s="37">
        <v>540093744</v>
      </c>
      <c r="K182" s="37">
        <v>540093744</v>
      </c>
      <c r="L182" s="37">
        <v>540093744</v>
      </c>
      <c r="M182" s="37">
        <v>540093744</v>
      </c>
      <c r="N182" s="37">
        <v>540093744</v>
      </c>
      <c r="O182" s="37">
        <v>540093744</v>
      </c>
      <c r="P182" s="37">
        <v>540093744</v>
      </c>
      <c r="Q182" s="37">
        <v>540093744</v>
      </c>
      <c r="R182" s="37">
        <v>540093744</v>
      </c>
    </row>
    <row r="183" spans="1:18" x14ac:dyDescent="0.35">
      <c r="A183" s="9" t="s">
        <v>864</v>
      </c>
      <c r="B183" s="9" t="s">
        <v>863</v>
      </c>
      <c r="C183" s="37">
        <v>200412144</v>
      </c>
      <c r="D183" s="37">
        <v>200412144</v>
      </c>
      <c r="E183" s="37">
        <v>200412144</v>
      </c>
      <c r="F183" s="37">
        <v>200412144</v>
      </c>
      <c r="G183" s="37">
        <v>200412144</v>
      </c>
      <c r="H183" s="37">
        <v>200412144</v>
      </c>
      <c r="I183" s="37">
        <v>200412144</v>
      </c>
      <c r="J183" s="37">
        <v>200412144</v>
      </c>
      <c r="K183" s="37">
        <v>200412144</v>
      </c>
      <c r="L183" s="37">
        <v>200412144</v>
      </c>
      <c r="M183" s="37">
        <v>200412144</v>
      </c>
      <c r="N183" s="37">
        <v>200412144</v>
      </c>
      <c r="O183" s="37">
        <v>200412144</v>
      </c>
      <c r="P183" s="37">
        <v>200412144</v>
      </c>
      <c r="Q183" s="37">
        <v>200412144</v>
      </c>
      <c r="R183" s="37">
        <v>200412144</v>
      </c>
    </row>
    <row r="184" spans="1:18" x14ac:dyDescent="0.35">
      <c r="A184" s="9" t="s">
        <v>865</v>
      </c>
      <c r="B184" s="9" t="s">
        <v>863</v>
      </c>
      <c r="C184" s="37">
        <v>140679886.967742</v>
      </c>
      <c r="D184" s="37">
        <v>140679886.967742</v>
      </c>
      <c r="E184" s="37">
        <v>140679886.967742</v>
      </c>
      <c r="F184" s="37">
        <v>140679886.967742</v>
      </c>
      <c r="G184" s="37">
        <v>140679886.967742</v>
      </c>
      <c r="H184" s="37">
        <v>140679886.967742</v>
      </c>
      <c r="I184" s="37">
        <v>140679886.967742</v>
      </c>
      <c r="J184" s="37">
        <v>140679886.967742</v>
      </c>
      <c r="K184" s="37">
        <v>140679886.967742</v>
      </c>
      <c r="L184" s="37">
        <v>140679886.967742</v>
      </c>
      <c r="M184" s="37">
        <v>140679886.967742</v>
      </c>
      <c r="N184" s="37">
        <v>140679886.967742</v>
      </c>
      <c r="O184" s="37">
        <v>140679886.967742</v>
      </c>
      <c r="P184" s="37">
        <v>140679886.967742</v>
      </c>
      <c r="Q184" s="37">
        <v>140679886.967742</v>
      </c>
      <c r="R184" s="37">
        <v>140679886.967742</v>
      </c>
    </row>
    <row r="185" spans="1:18" x14ac:dyDescent="0.35">
      <c r="A185" s="9" t="s">
        <v>866</v>
      </c>
      <c r="B185" s="9" t="s">
        <v>867</v>
      </c>
      <c r="C185" s="37">
        <v>61708824</v>
      </c>
      <c r="D185" s="37">
        <v>61708824</v>
      </c>
      <c r="E185" s="37">
        <v>61708824</v>
      </c>
      <c r="F185" s="37">
        <v>61708824</v>
      </c>
      <c r="G185" s="37">
        <v>61708824</v>
      </c>
      <c r="H185" s="37">
        <v>61708824</v>
      </c>
      <c r="I185" s="37">
        <v>61708824</v>
      </c>
      <c r="J185" s="37">
        <v>61708824</v>
      </c>
      <c r="K185" s="37">
        <v>61708824</v>
      </c>
      <c r="L185" s="37">
        <v>61708824</v>
      </c>
      <c r="M185" s="37">
        <v>61708824</v>
      </c>
      <c r="N185" s="37">
        <v>61708824</v>
      </c>
      <c r="O185" s="37">
        <v>61708824</v>
      </c>
      <c r="P185" s="37">
        <v>61708824</v>
      </c>
      <c r="Q185" s="37">
        <v>61708824</v>
      </c>
      <c r="R185" s="37">
        <v>61708824</v>
      </c>
    </row>
    <row r="186" spans="1:18" x14ac:dyDescent="0.35">
      <c r="A186" s="9" t="s">
        <v>868</v>
      </c>
      <c r="B186" s="9" t="s">
        <v>869</v>
      </c>
      <c r="C186" s="37">
        <v>11723323.9139785</v>
      </c>
      <c r="D186" s="37">
        <v>11723323.9139785</v>
      </c>
      <c r="E186" s="37">
        <v>11723323.9139785</v>
      </c>
      <c r="F186" s="37">
        <v>11723323.9139785</v>
      </c>
      <c r="G186" s="37">
        <v>11723323.9139785</v>
      </c>
      <c r="H186" s="37">
        <v>11723323.9139785</v>
      </c>
      <c r="I186" s="37">
        <v>11723323.9139785</v>
      </c>
      <c r="J186" s="37">
        <v>11723323.9139785</v>
      </c>
      <c r="K186" s="37">
        <v>11723323.9139785</v>
      </c>
      <c r="L186" s="37">
        <v>11723323.9139785</v>
      </c>
      <c r="M186" s="37">
        <v>11723323.9139785</v>
      </c>
      <c r="N186" s="37">
        <v>11723323.9139785</v>
      </c>
      <c r="O186" s="37">
        <v>11723323.9139785</v>
      </c>
      <c r="P186" s="37">
        <v>11723323.9139785</v>
      </c>
      <c r="Q186" s="37">
        <v>11723323.9139785</v>
      </c>
      <c r="R186" s="37">
        <v>11723323.9139785</v>
      </c>
    </row>
    <row r="187" spans="1:18" x14ac:dyDescent="0.35">
      <c r="A187" s="9" t="s">
        <v>870</v>
      </c>
      <c r="B187" s="9" t="s">
        <v>867</v>
      </c>
      <c r="C187" s="37">
        <v>72283369.664801598</v>
      </c>
      <c r="D187" s="37">
        <v>71931282.029872194</v>
      </c>
      <c r="E187" s="37">
        <v>72138988.557524204</v>
      </c>
      <c r="F187" s="37">
        <v>72117880.084066004</v>
      </c>
      <c r="G187" s="37">
        <v>72062716.890487507</v>
      </c>
      <c r="H187" s="37">
        <v>72106528.510692596</v>
      </c>
      <c r="I187" s="37">
        <v>72095708.495082006</v>
      </c>
      <c r="J187" s="37">
        <v>72088317.965420693</v>
      </c>
      <c r="K187" s="37">
        <v>72096851.657065094</v>
      </c>
      <c r="L187" s="37">
        <v>72093626.039189294</v>
      </c>
      <c r="M187" s="37">
        <v>72092931.887225002</v>
      </c>
      <c r="N187" s="37">
        <v>72094469.861159801</v>
      </c>
      <c r="O187" s="37">
        <v>72093675.929191396</v>
      </c>
      <c r="P187" s="37">
        <v>72093692.559192106</v>
      </c>
      <c r="Q187" s="37">
        <v>72093946.1165144</v>
      </c>
      <c r="R187" s="37">
        <v>72093771.534966007</v>
      </c>
    </row>
    <row r="188" spans="1:18" x14ac:dyDescent="0.35">
      <c r="A188" s="9" t="s">
        <v>871</v>
      </c>
      <c r="B188" s="9" t="s">
        <v>869</v>
      </c>
      <c r="C188" s="37">
        <v>45650003.611519799</v>
      </c>
      <c r="D188" s="37">
        <v>45427645.3860991</v>
      </c>
      <c r="E188" s="37">
        <v>45558820.838785</v>
      </c>
      <c r="F188" s="37">
        <v>45545489.945468001</v>
      </c>
      <c r="G188" s="37">
        <v>45510652.056783997</v>
      </c>
      <c r="H188" s="37">
        <v>45538320.947012298</v>
      </c>
      <c r="I188" s="37">
        <v>45531487.6497548</v>
      </c>
      <c r="J188" s="37">
        <v>45526820.217850402</v>
      </c>
      <c r="K188" s="37">
        <v>45532209.604872502</v>
      </c>
      <c r="L188" s="37">
        <v>45530172.490825899</v>
      </c>
      <c r="M188" s="37">
        <v>45529734.104516201</v>
      </c>
      <c r="N188" s="37">
        <v>45530705.400071502</v>
      </c>
      <c r="O188" s="37">
        <v>45530203.9984712</v>
      </c>
      <c r="P188" s="37">
        <v>45530214.501019701</v>
      </c>
      <c r="Q188" s="37">
        <v>45530374.633187503</v>
      </c>
      <c r="R188" s="37">
        <v>45530264.377559498</v>
      </c>
    </row>
    <row r="189" spans="1:18" x14ac:dyDescent="0.35">
      <c r="A189" s="9" t="s">
        <v>882</v>
      </c>
      <c r="B189" s="9" t="s">
        <v>883</v>
      </c>
      <c r="C189" s="37">
        <v>311547.66982136702</v>
      </c>
      <c r="D189" s="37">
        <v>312052.84725464199</v>
      </c>
      <c r="E189" s="37">
        <v>311432.32601389202</v>
      </c>
      <c r="F189" s="37">
        <v>311677.37211945298</v>
      </c>
      <c r="G189" s="37">
        <v>311720.63118864899</v>
      </c>
      <c r="H189" s="37">
        <v>311610.05595814198</v>
      </c>
      <c r="I189" s="37">
        <v>311669.34617928899</v>
      </c>
      <c r="J189" s="37">
        <v>311666.67096145701</v>
      </c>
      <c r="K189" s="37">
        <v>311648.688537515</v>
      </c>
      <c r="L189" s="37">
        <v>311661.56827856199</v>
      </c>
      <c r="M189" s="37">
        <v>311658.97573472903</v>
      </c>
      <c r="N189" s="37">
        <v>311656.41074700002</v>
      </c>
      <c r="O189" s="37">
        <v>311658.98490529897</v>
      </c>
      <c r="P189" s="37">
        <v>311658.12379077799</v>
      </c>
      <c r="Q189" s="37">
        <v>311657.83981053799</v>
      </c>
      <c r="R189" s="37">
        <v>311658.31616808003</v>
      </c>
    </row>
    <row r="190" spans="1:18" x14ac:dyDescent="0.35">
      <c r="A190" s="9" t="s">
        <v>884</v>
      </c>
      <c r="B190" s="9" t="s">
        <v>885</v>
      </c>
      <c r="C190" s="37">
        <v>299474.513255711</v>
      </c>
      <c r="D190" s="37">
        <v>299979.69068898499</v>
      </c>
      <c r="E190" s="37">
        <v>299359.16944823501</v>
      </c>
      <c r="F190" s="37">
        <v>299604.21555379598</v>
      </c>
      <c r="G190" s="37">
        <v>299647.47462299198</v>
      </c>
      <c r="H190" s="37">
        <v>299536.89939248498</v>
      </c>
      <c r="I190" s="37">
        <v>299596.18961363297</v>
      </c>
      <c r="J190" s="37">
        <v>299593.514395801</v>
      </c>
      <c r="K190" s="37">
        <v>299575.531971858</v>
      </c>
      <c r="L190" s="37">
        <v>299588.41171290498</v>
      </c>
      <c r="M190" s="37">
        <v>299585.81916907302</v>
      </c>
      <c r="N190" s="37">
        <v>299583.25418134301</v>
      </c>
      <c r="O190" s="37">
        <v>299585.82833964197</v>
      </c>
      <c r="P190" s="37">
        <v>299584.96722512197</v>
      </c>
      <c r="Q190" s="37">
        <v>299584.68324488099</v>
      </c>
      <c r="R190" s="37">
        <v>299585.15960242401</v>
      </c>
    </row>
    <row r="191" spans="1:18" x14ac:dyDescent="0.35">
      <c r="A191" s="9" t="s">
        <v>908</v>
      </c>
      <c r="B191" s="9" t="s">
        <v>909</v>
      </c>
      <c r="C191" s="37">
        <v>6452.5252525252499</v>
      </c>
      <c r="D191" s="37">
        <v>6452.5252525252499</v>
      </c>
      <c r="E191" s="37">
        <v>6452.5252525252499</v>
      </c>
      <c r="F191" s="37">
        <v>6452.5252525252499</v>
      </c>
      <c r="G191" s="37">
        <v>6452.5252525252499</v>
      </c>
      <c r="H191" s="37">
        <v>6452.5252525252499</v>
      </c>
      <c r="I191" s="37">
        <v>6452.5252525252499</v>
      </c>
      <c r="J191" s="37">
        <v>6452.5252525252499</v>
      </c>
      <c r="K191" s="37">
        <v>6452.5252525252499</v>
      </c>
      <c r="L191" s="37">
        <v>6452.5252525252499</v>
      </c>
      <c r="M191" s="37">
        <v>6452.5252525252499</v>
      </c>
      <c r="N191" s="37">
        <v>6452.5252525252499</v>
      </c>
      <c r="O191" s="37">
        <v>6452.5252525252499</v>
      </c>
      <c r="P191" s="37">
        <v>6452.5252525252499</v>
      </c>
      <c r="Q191" s="37">
        <v>6452.5252525252499</v>
      </c>
      <c r="R191" s="37">
        <v>6452.5252525252499</v>
      </c>
    </row>
    <row r="192" spans="1:18" x14ac:dyDescent="0.35">
      <c r="A192" s="9" t="s">
        <v>910</v>
      </c>
      <c r="B192" s="9" t="s">
        <v>911</v>
      </c>
      <c r="C192" s="37">
        <v>5620.63131313131</v>
      </c>
      <c r="D192" s="37">
        <v>5620.63131313131</v>
      </c>
      <c r="E192" s="37">
        <v>5620.63131313131</v>
      </c>
      <c r="F192" s="37">
        <v>5620.63131313131</v>
      </c>
      <c r="G192" s="37">
        <v>5620.63131313131</v>
      </c>
      <c r="H192" s="37">
        <v>5620.63131313131</v>
      </c>
      <c r="I192" s="37">
        <v>5620.63131313131</v>
      </c>
      <c r="J192" s="37">
        <v>5620.63131313131</v>
      </c>
      <c r="K192" s="37">
        <v>5620.63131313131</v>
      </c>
      <c r="L192" s="37">
        <v>5620.63131313131</v>
      </c>
      <c r="M192" s="37">
        <v>5620.63131313131</v>
      </c>
      <c r="N192" s="37">
        <v>5620.63131313131</v>
      </c>
      <c r="O192" s="37">
        <v>5620.63131313131</v>
      </c>
      <c r="P192" s="37">
        <v>5620.63131313131</v>
      </c>
      <c r="Q192" s="37">
        <v>5620.63131313131</v>
      </c>
      <c r="R192" s="37">
        <v>5620.63131313131</v>
      </c>
    </row>
    <row r="193" spans="1:18" x14ac:dyDescent="0.35">
      <c r="B193" s="4" t="s">
        <v>912</v>
      </c>
      <c r="C193" s="19">
        <f t="shared" ref="C193:R193" si="6">(C182+C182/12+C187)*IF(C189=0,0,C192/C189)</f>
        <v>11859881.025881683</v>
      </c>
      <c r="D193" s="19">
        <f t="shared" si="6"/>
        <v>11834339.52189743</v>
      </c>
      <c r="E193" s="19">
        <f t="shared" si="6"/>
        <v>11861667.773160813</v>
      </c>
      <c r="F193" s="19">
        <f t="shared" si="6"/>
        <v>11851961.266655093</v>
      </c>
      <c r="G193" s="19">
        <f t="shared" si="6"/>
        <v>11849321.862318704</v>
      </c>
      <c r="H193" s="19">
        <f t="shared" si="6"/>
        <v>11854316.85664228</v>
      </c>
      <c r="I193" s="19">
        <f t="shared" si="6"/>
        <v>11851866.630478278</v>
      </c>
      <c r="J193" s="19">
        <f t="shared" si="6"/>
        <v>11851835.080369141</v>
      </c>
      <c r="K193" s="19">
        <f t="shared" si="6"/>
        <v>11852672.848878948</v>
      </c>
      <c r="L193" s="19">
        <f t="shared" si="6"/>
        <v>11852124.852644481</v>
      </c>
      <c r="M193" s="19">
        <f t="shared" si="6"/>
        <v>11852210.926151153</v>
      </c>
      <c r="N193" s="19">
        <f t="shared" si="6"/>
        <v>11852336.208862167</v>
      </c>
      <c r="O193" s="19">
        <f t="shared" si="6"/>
        <v>11852223.995865945</v>
      </c>
      <c r="P193" s="19">
        <f t="shared" si="6"/>
        <v>11852257.043595187</v>
      </c>
      <c r="Q193" s="19">
        <f t="shared" si="6"/>
        <v>11852272.416091604</v>
      </c>
      <c r="R193" s="19">
        <f t="shared" si="6"/>
        <v>11852251.151849547</v>
      </c>
    </row>
    <row r="194" spans="1:18" x14ac:dyDescent="0.35">
      <c r="B194" s="4" t="s">
        <v>913</v>
      </c>
      <c r="C194" s="19">
        <f t="shared" ref="C194:R194" si="7">(C183+C183/12+C184+C186+C188)*IF(C189=0,0,C192/C189)</f>
        <v>7490016.2260605088</v>
      </c>
      <c r="D194" s="19">
        <f t="shared" si="7"/>
        <v>7473885.6865666863</v>
      </c>
      <c r="E194" s="19">
        <f t="shared" si="7"/>
        <v>7491144.6324992692</v>
      </c>
      <c r="F194" s="19">
        <f t="shared" si="7"/>
        <v>7485014.5633132868</v>
      </c>
      <c r="G194" s="19">
        <f t="shared" si="7"/>
        <v>7483347.667898098</v>
      </c>
      <c r="H194" s="19">
        <f t="shared" si="7"/>
        <v>7486502.2179691344</v>
      </c>
      <c r="I194" s="19">
        <f t="shared" si="7"/>
        <v>7484954.7965670293</v>
      </c>
      <c r="J194" s="19">
        <f t="shared" si="7"/>
        <v>7484934.8713393761</v>
      </c>
      <c r="K194" s="19">
        <f t="shared" si="7"/>
        <v>7485463.9575686939</v>
      </c>
      <c r="L194" s="19">
        <f t="shared" si="7"/>
        <v>7485117.8747809296</v>
      </c>
      <c r="M194" s="19">
        <f t="shared" si="7"/>
        <v>7485172.2338390173</v>
      </c>
      <c r="N194" s="19">
        <f t="shared" si="7"/>
        <v>7485251.355167157</v>
      </c>
      <c r="O194" s="19">
        <f t="shared" si="7"/>
        <v>7485180.4879164109</v>
      </c>
      <c r="P194" s="19">
        <f t="shared" si="7"/>
        <v>7485201.3589544706</v>
      </c>
      <c r="Q194" s="19">
        <f t="shared" si="7"/>
        <v>7485211.0673358059</v>
      </c>
      <c r="R194" s="19">
        <f t="shared" si="7"/>
        <v>7485197.6380680343</v>
      </c>
    </row>
    <row r="195" spans="1:18" x14ac:dyDescent="0.35">
      <c r="B195" s="9" t="s">
        <v>914</v>
      </c>
      <c r="C195" s="19">
        <f t="shared" ref="C195:R195" si="8">C193+C194-C173-C174</f>
        <v>-2.7939677238464355E-8</v>
      </c>
      <c r="D195" s="19">
        <f t="shared" si="8"/>
        <v>-4.3306499719619751E-8</v>
      </c>
      <c r="E195" s="19">
        <f t="shared" si="8"/>
        <v>0</v>
      </c>
      <c r="F195" s="19">
        <f t="shared" si="8"/>
        <v>0</v>
      </c>
      <c r="G195" s="19">
        <f t="shared" si="8"/>
        <v>-8.8941305875778198E-8</v>
      </c>
      <c r="H195" s="19">
        <f t="shared" si="8"/>
        <v>-7.6368451118469238E-8</v>
      </c>
      <c r="I195" s="19">
        <f t="shared" si="8"/>
        <v>1.7229467630386353E-8</v>
      </c>
      <c r="J195" s="19">
        <f t="shared" si="8"/>
        <v>4.7031790018081665E-8</v>
      </c>
      <c r="K195" s="19">
        <f t="shared" si="8"/>
        <v>-3.0267983675003052E-8</v>
      </c>
      <c r="L195" s="19">
        <f t="shared" si="8"/>
        <v>-7.9162418842315674E-9</v>
      </c>
      <c r="M195" s="19">
        <f t="shared" si="8"/>
        <v>1.909211277961731E-8</v>
      </c>
      <c r="N195" s="19">
        <f t="shared" si="8"/>
        <v>-5.1222741603851318E-9</v>
      </c>
      <c r="O195" s="19">
        <f t="shared" si="8"/>
        <v>5.5879354476928711E-9</v>
      </c>
      <c r="P195" s="19">
        <f t="shared" si="8"/>
        <v>0</v>
      </c>
      <c r="Q195" s="19">
        <f t="shared" si="8"/>
        <v>2.8870999813079834E-8</v>
      </c>
      <c r="R195" s="19">
        <f t="shared" si="8"/>
        <v>-2.8870999813079834E-8</v>
      </c>
    </row>
    <row r="197" spans="1:18" x14ac:dyDescent="0.35">
      <c r="A197" s="6" t="s">
        <v>6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x14ac:dyDescent="0.35">
      <c r="A198" s="9" t="s">
        <v>1000</v>
      </c>
      <c r="B198" s="9" t="s">
        <v>1001</v>
      </c>
      <c r="C198" s="37">
        <v>40912327.563482203</v>
      </c>
      <c r="D198" s="37">
        <v>41069007.1813557</v>
      </c>
      <c r="E198" s="37">
        <v>41125442.269775897</v>
      </c>
      <c r="F198" s="37">
        <v>41046643.256647803</v>
      </c>
      <c r="G198" s="37">
        <v>41045071.270415999</v>
      </c>
      <c r="H198" s="37">
        <v>41031042.764100797</v>
      </c>
      <c r="I198" s="37">
        <v>41034475.5776131</v>
      </c>
      <c r="J198" s="37">
        <v>40677936.138356403</v>
      </c>
      <c r="K198" s="37">
        <v>40672354.564948797</v>
      </c>
      <c r="L198" s="37">
        <v>40654376.651822798</v>
      </c>
      <c r="M198" s="37">
        <v>40645818.129050203</v>
      </c>
      <c r="N198" s="37">
        <v>40623026.855253302</v>
      </c>
      <c r="O198" s="37">
        <v>40622446.358502597</v>
      </c>
      <c r="P198" s="37">
        <v>40618140.323501803</v>
      </c>
      <c r="Q198" s="37">
        <v>40617478.580802202</v>
      </c>
      <c r="R198" s="37">
        <v>40614134.839400798</v>
      </c>
    </row>
    <row r="199" spans="1:18" x14ac:dyDescent="0.35">
      <c r="A199" s="9" t="s">
        <v>1002</v>
      </c>
      <c r="B199" s="9" t="s">
        <v>1003</v>
      </c>
      <c r="C199" s="37">
        <v>40912327.563482203</v>
      </c>
      <c r="D199" s="37">
        <v>41069007.1813557</v>
      </c>
      <c r="E199" s="37">
        <v>41125442.269775897</v>
      </c>
      <c r="F199" s="37">
        <v>41046643.256647803</v>
      </c>
      <c r="G199" s="37">
        <v>41045071.270415999</v>
      </c>
      <c r="H199" s="37">
        <v>41031042.764100797</v>
      </c>
      <c r="I199" s="37">
        <v>41034475.5776131</v>
      </c>
      <c r="J199" s="37">
        <v>40677936.138356403</v>
      </c>
      <c r="K199" s="37">
        <v>40672354.564948797</v>
      </c>
      <c r="L199" s="37">
        <v>40654376.651822798</v>
      </c>
      <c r="M199" s="37">
        <v>40645818.129050203</v>
      </c>
      <c r="N199" s="37">
        <v>40623026.855253302</v>
      </c>
      <c r="O199" s="37">
        <v>40622446.358502597</v>
      </c>
      <c r="P199" s="37">
        <v>40618140.323501803</v>
      </c>
      <c r="Q199" s="37">
        <v>40617478.580802202</v>
      </c>
      <c r="R199" s="37">
        <v>40614134.839400798</v>
      </c>
    </row>
  </sheetData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RINGKASAN</vt:lpstr>
      <vt:lpstr>FCC</vt:lpstr>
      <vt:lpstr>UU</vt:lpstr>
      <vt:lpstr>UO</vt:lpstr>
      <vt:lpstr>LAIN-LAIN</vt:lpstr>
      <vt:lpstr>BIAYA BERSAMA</vt:lpstr>
      <vt:lpstr>REKON &amp; KONTROL</vt:lpstr>
      <vt:lpstr>ASUMSI</vt:lpstr>
      <vt:lpstr>BUDGET</vt:lpstr>
      <vt:lpstr>FCC!Print_Area</vt:lpstr>
      <vt:lpstr>'LAIN-LAIN'!Print_Area</vt:lpstr>
      <vt:lpstr>UO!Print_Area</vt:lpstr>
      <vt:lpstr>UU!Print_Area</vt:lpstr>
      <vt:lpstr>ASUMSI!Print_Titles</vt:lpstr>
      <vt:lpstr>BUDGET!Print_Titles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Dika Gustiana</cp:lastModifiedBy>
  <cp:revision>0</cp:revision>
  <dcterms:created xsi:type="dcterms:W3CDTF">2026-09-28T03:08:51Z</dcterms:created>
  <dcterms:modified xsi:type="dcterms:W3CDTF">2026-09-28T03:14:51Z</dcterms:modified>
  <dc:language>en-US</dc:language>
</cp:coreProperties>
</file>